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Data\GitHub\"/>
    </mc:Choice>
  </mc:AlternateContent>
  <xr:revisionPtr revIDLastSave="0" documentId="13_ncr:1_{7EE945FB-DB3D-4DD8-A891-E3C433317CFC}" xr6:coauthVersionLast="47" xr6:coauthVersionMax="47" xr10:uidLastSave="{00000000-0000-0000-0000-000000000000}"/>
  <bookViews>
    <workbookView xWindow="-120" yWindow="-120" windowWidth="20730" windowHeight="11160" activeTab="2" xr2:uid="{8C4E0743-97A7-4BD0-A629-3E583189C49C}"/>
  </bookViews>
  <sheets>
    <sheet name="orders_raw" sheetId="1" r:id="rId1"/>
    <sheet name="Customer" sheetId="9" r:id="rId2"/>
    <sheet name="Pivot Table" sheetId="7" r:id="rId3"/>
    <sheet name="Dashboard" sheetId="10" r:id="rId4"/>
  </sheets>
  <definedNames>
    <definedName name="_xlnm._FilterDatabase" localSheetId="0" hidden="1">orders_raw!$A$1:$J$1395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0" l="1"/>
  <c r="B2" i="10"/>
  <c r="A2" i="10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2" i="1"/>
</calcChain>
</file>

<file path=xl/sharedStrings.xml><?xml version="1.0" encoding="utf-8"?>
<sst xmlns="http://schemas.openxmlformats.org/spreadsheetml/2006/main" count="6020" uniqueCount="288">
  <si>
    <t>order_id</t>
  </si>
  <si>
    <t>customer_id</t>
  </si>
  <si>
    <t>Order_Date</t>
  </si>
  <si>
    <t>Product_Name</t>
  </si>
  <si>
    <t>Category</t>
  </si>
  <si>
    <t>quantity</t>
  </si>
  <si>
    <t>Order_Type</t>
  </si>
  <si>
    <t>unit_price</t>
  </si>
  <si>
    <t>payment_method</t>
  </si>
  <si>
    <t>Iced Latte</t>
  </si>
  <si>
    <t>Cold Drinks</t>
  </si>
  <si>
    <t>Bought</t>
  </si>
  <si>
    <t xml:space="preserve">Online </t>
  </si>
  <si>
    <t>Latte</t>
  </si>
  <si>
    <t>Hot Drinks</t>
  </si>
  <si>
    <t>card</t>
  </si>
  <si>
    <t>Chocolate Cake</t>
  </si>
  <si>
    <t>Bakery</t>
  </si>
  <si>
    <t>Cappuccino</t>
  </si>
  <si>
    <t>Card</t>
  </si>
  <si>
    <t>Blueberry Muffin</t>
  </si>
  <si>
    <t>Online</t>
  </si>
  <si>
    <t>Hot Chocolate</t>
  </si>
  <si>
    <t>Cheesecake</t>
  </si>
  <si>
    <t>Cash</t>
  </si>
  <si>
    <t>Cold Brew</t>
  </si>
  <si>
    <t>Return</t>
  </si>
  <si>
    <t>Green Tea</t>
  </si>
  <si>
    <t>CASH</t>
  </si>
  <si>
    <t>Espresso</t>
  </si>
  <si>
    <t>Americano</t>
  </si>
  <si>
    <t>Croissant</t>
  </si>
  <si>
    <t>Unknown</t>
  </si>
  <si>
    <t>Total_Price</t>
  </si>
  <si>
    <t>Month</t>
  </si>
  <si>
    <t>Row Labels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</si>
  <si>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</si>
  <si>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</si>
  <si>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</si>
  <si>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</si>
  <si>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</si>
  <si>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</si>
  <si>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</si>
  <si>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</si>
  <si>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</si>
  <si>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</si>
  <si>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</si>
  <si>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</si>
  <si>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</si>
  <si>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Column Labels</t>
  </si>
  <si>
    <t>Sum of Total_Price</t>
  </si>
  <si>
    <t>Customer_Name</t>
  </si>
  <si>
    <t>email</t>
  </si>
  <si>
    <t>City</t>
  </si>
  <si>
    <t>signup_date</t>
  </si>
  <si>
    <t>Leila Rezaei</t>
  </si>
  <si>
    <t>leila.rezaei229@gmail.com</t>
  </si>
  <si>
    <t>Tehran</t>
  </si>
  <si>
    <t>Reza Naderi</t>
  </si>
  <si>
    <t>reza.naderi31@gmail.com</t>
  </si>
  <si>
    <t>Esfahan</t>
  </si>
  <si>
    <t>Hamed Abbasi</t>
  </si>
  <si>
    <t>hamed.abbasi734@gmail.com</t>
  </si>
  <si>
    <t>Kaveh Salehi</t>
  </si>
  <si>
    <t>kaveh.salehi285@gmail.com</t>
  </si>
  <si>
    <t>Mashhad</t>
  </si>
  <si>
    <t>Sara Sadeghi</t>
  </si>
  <si>
    <t>sara.sadeghi160@gmail.com</t>
  </si>
  <si>
    <t>Qom</t>
  </si>
  <si>
    <t>Sepideh Mousavi</t>
  </si>
  <si>
    <t>sepideh.mousavi100@gmail.com</t>
  </si>
  <si>
    <t>Farhad Vakili</t>
  </si>
  <si>
    <t>farhad.vakili550@gmail.com</t>
  </si>
  <si>
    <t>Tabriz</t>
  </si>
  <si>
    <t>Milad Norouzi</t>
  </si>
  <si>
    <t>milad.norouzi634@gmail.com</t>
  </si>
  <si>
    <t>Farhad Zare</t>
  </si>
  <si>
    <t>farhad.zare47@gmail.com</t>
  </si>
  <si>
    <t>Sepideh Rostami</t>
  </si>
  <si>
    <t>sepideh.rostami390@gmail.com</t>
  </si>
  <si>
    <t>Leila Kazemi</t>
  </si>
  <si>
    <t>leila.kazemi215@gmail.com</t>
  </si>
  <si>
    <t>Shiraz</t>
  </si>
  <si>
    <t>Golnaz Karimi</t>
  </si>
  <si>
    <t>golnaz.karimi474@gmail.com</t>
  </si>
  <si>
    <t>Milad Naderi</t>
  </si>
  <si>
    <t>milad.naderi864@gmail.com</t>
  </si>
  <si>
    <t>Ali Ghasemi</t>
  </si>
  <si>
    <t>No Email Provided</t>
  </si>
  <si>
    <t>Milad Zare</t>
  </si>
  <si>
    <t>milad.zare512@gmail.com</t>
  </si>
  <si>
    <t>Karaj</t>
  </si>
  <si>
    <t>Milad Yousefi</t>
  </si>
  <si>
    <t>milad.yousefi253@gmail.com</t>
  </si>
  <si>
    <t>Kaveh Jafari</t>
  </si>
  <si>
    <t>kaveh.jafari371@gmail.com</t>
  </si>
  <si>
    <t>Niloofar Abbasi</t>
  </si>
  <si>
    <t>niloofar.abbasi882@gmail.com</t>
  </si>
  <si>
    <t>Rasht</t>
  </si>
  <si>
    <t>Leila Sadeghi</t>
  </si>
  <si>
    <t>leila.sadeghi395@gmail.com</t>
  </si>
  <si>
    <t>Setareh Abbasi</t>
  </si>
  <si>
    <t>setareh.abbasi697@gmail.com</t>
  </si>
  <si>
    <t>Sina Naderi</t>
  </si>
  <si>
    <t>sina.naderi115@gmail.com</t>
  </si>
  <si>
    <t>Amir Yousefi</t>
  </si>
  <si>
    <t>amir.yousefi781@gmail.com</t>
  </si>
  <si>
    <t>Milad Rezaei</t>
  </si>
  <si>
    <t>milad.rezaei624@gmail.com</t>
  </si>
  <si>
    <t>Farhad Sadeghi</t>
  </si>
  <si>
    <t>Milad Kazemi</t>
  </si>
  <si>
    <t>milad.kazemi247@gmail.com</t>
  </si>
  <si>
    <t>Mona Karimi</t>
  </si>
  <si>
    <t>mona.karimi785@gmail.com</t>
  </si>
  <si>
    <t>Sina Fallahi</t>
  </si>
  <si>
    <t>sina.fallahi894@gmail.com</t>
  </si>
  <si>
    <t>Yasaman Naderi</t>
  </si>
  <si>
    <t>yasaman.naderi409@gmail.com</t>
  </si>
  <si>
    <t>leila.kazemi124@gmail.com</t>
  </si>
  <si>
    <t>Mona Mousavi</t>
  </si>
  <si>
    <t>mona.mousavi236@gmail.com</t>
  </si>
  <si>
    <t>Sara Karimi</t>
  </si>
  <si>
    <t>Elham Karimi</t>
  </si>
  <si>
    <t>elham.karimi498@gmail.com</t>
  </si>
  <si>
    <t>Niloofar Zare</t>
  </si>
  <si>
    <t>niloofar.zare827@gmail.com</t>
  </si>
  <si>
    <t>Reza Rezaei</t>
  </si>
  <si>
    <t>reza.rezaei421@gmail.com</t>
  </si>
  <si>
    <t>Babak Hosseini</t>
  </si>
  <si>
    <t>babak.hosseini746@gmail.com</t>
  </si>
  <si>
    <t>Payam Rezaei</t>
  </si>
  <si>
    <t>payam.rezaei550@gmail.com</t>
  </si>
  <si>
    <t>Omid Sadeghi</t>
  </si>
  <si>
    <t>omid.sadeghi896@gmail.com</t>
  </si>
  <si>
    <t>Setareh Naderi</t>
  </si>
  <si>
    <t>setareh.naderi554@gmail.com</t>
  </si>
  <si>
    <t>Mona Ghasemi</t>
  </si>
  <si>
    <t>mona.ghasemi493@gmail.com</t>
  </si>
  <si>
    <t>Nazanin Hosseini</t>
  </si>
  <si>
    <t>nazanin.hosseini400@gmail.com</t>
  </si>
  <si>
    <t>Iman Yousefi</t>
  </si>
  <si>
    <t>iman.yousefi678@gmail.com</t>
  </si>
  <si>
    <t>Niloofar Ebrahimi</t>
  </si>
  <si>
    <t>niloofar.ebrahimi594@gmail.com</t>
  </si>
  <si>
    <t>Ali Mousavi</t>
  </si>
  <si>
    <t>ali.mousavi489@gmail.com</t>
  </si>
  <si>
    <t>Payam Abbasi</t>
  </si>
  <si>
    <t>payam.abbasi83@gmail.com</t>
  </si>
  <si>
    <t>Mona Vakili</t>
  </si>
  <si>
    <t>mona.vakili123@gmail.com</t>
  </si>
  <si>
    <t>Mahsa Ghasemi</t>
  </si>
  <si>
    <t>mahsa.ghasemi430@gmail.com</t>
  </si>
  <si>
    <t>Mahsa Abbasi</t>
  </si>
  <si>
    <t>mahsa.abbasi686@gmail.com</t>
  </si>
  <si>
    <t>Hamed Jafari</t>
  </si>
  <si>
    <t>hamed.jafari661@gmail.com</t>
  </si>
  <si>
    <t>elham.karimi577@gmail.com</t>
  </si>
  <si>
    <t>Mona Naderi</t>
  </si>
  <si>
    <t>mona.naderi136@gmail.com</t>
  </si>
  <si>
    <t>Azadeh Karimi</t>
  </si>
  <si>
    <t>azadeh.karimi162@gmail.com</t>
  </si>
  <si>
    <t>Kaveh Rostami</t>
  </si>
  <si>
    <t>kaveh.rostami955@gmail.com</t>
  </si>
  <si>
    <t>Azadeh Moradi</t>
  </si>
  <si>
    <t>azadeh.moradi761@gmail.com</t>
  </si>
  <si>
    <t>Parisa Rostami</t>
  </si>
  <si>
    <t>parisa.rostami209@gmail.com</t>
  </si>
  <si>
    <t>Payam Jafari</t>
  </si>
  <si>
    <t>payam.jafari95@gmail.com</t>
  </si>
  <si>
    <t>Tara Jafari</t>
  </si>
  <si>
    <t>tara.jafari790@gmail.com</t>
  </si>
  <si>
    <t>Parisa Sadeghi</t>
  </si>
  <si>
    <t>Mona Moradi</t>
  </si>
  <si>
    <t>mona.moradi566@gmail.com</t>
  </si>
  <si>
    <t>Niloofar Hosseini</t>
  </si>
  <si>
    <t>niloofar.hosseini921@gmail.com</t>
  </si>
  <si>
    <t>Sina Ghasemi</t>
  </si>
  <si>
    <t>sina.ghasemi906@gmail.com</t>
  </si>
  <si>
    <t>Arman Moradi</t>
  </si>
  <si>
    <t>arman.moradi903@gmail.com</t>
  </si>
  <si>
    <t>Amir Mousavi</t>
  </si>
  <si>
    <t>amir.mousavi274@gmail.com</t>
  </si>
  <si>
    <t>Golnaz Rezaei</t>
  </si>
  <si>
    <t>golnaz.rezaei228@gmail.com</t>
  </si>
  <si>
    <t>Yasaman Norouzi</t>
  </si>
  <si>
    <t>yasaman.norouzi991@gmail.com</t>
  </si>
  <si>
    <t>Farhad Abbasi</t>
  </si>
  <si>
    <t>farhad.abbasi340@gmail.com</t>
  </si>
  <si>
    <t>Reza Jafari</t>
  </si>
  <si>
    <t>reza.jafari112@gmail.com</t>
  </si>
  <si>
    <t>Farhad Mousavi</t>
  </si>
  <si>
    <t>farhad.mousavi119@gmail.com</t>
  </si>
  <si>
    <t>Mahsa Ebrahimi</t>
  </si>
  <si>
    <t>mahsa.ebrahimi2@gmail.com</t>
  </si>
  <si>
    <t>Iman Naderi</t>
  </si>
  <si>
    <t>iman.naderi72@gmail.com</t>
  </si>
  <si>
    <t>Milad Mousavi</t>
  </si>
  <si>
    <t>milad.mousavi738@gmail.com</t>
  </si>
  <si>
    <t>Roya Rostami</t>
  </si>
  <si>
    <t>roya.rostami714@gmail.com</t>
  </si>
  <si>
    <t>niloofar.ebrahimi694@gmail.com</t>
  </si>
  <si>
    <t>Amir Vakili</t>
  </si>
  <si>
    <t>Kian Ebrahimi</t>
  </si>
  <si>
    <t>kian.ebrahimi671@gmail.com</t>
  </si>
  <si>
    <t>Setareh Yousefi</t>
  </si>
  <si>
    <t>setareh.yousefi813@gmail.com</t>
  </si>
  <si>
    <t>Iman Sadeghi</t>
  </si>
  <si>
    <t>iman.sadeghi680@gmail.com</t>
  </si>
  <si>
    <t>elham.karimi231@gmail.com</t>
  </si>
  <si>
    <t>Niloofar Ahmadi</t>
  </si>
  <si>
    <t>niloofar.ahmadi626@gmail.com</t>
  </si>
  <si>
    <t>Mona Yousefi</t>
  </si>
  <si>
    <t>mona.yousefi200@gmail.com</t>
  </si>
  <si>
    <t>Nazanin Fallahi</t>
  </si>
  <si>
    <t>nazanin.fallahi672@gmail.com</t>
  </si>
  <si>
    <t>Azadeh Rezaei</t>
  </si>
  <si>
    <t>azadeh.rezaei824@gmail.com</t>
  </si>
  <si>
    <t>Roya Yousefi</t>
  </si>
  <si>
    <t>roya.yousefi940@gmail.com</t>
  </si>
  <si>
    <t>Setareh Moradi</t>
  </si>
  <si>
    <t>setareh.moradi573@gmail.com</t>
  </si>
  <si>
    <t>Sepideh Yousefi</t>
  </si>
  <si>
    <t>sepideh.yousefi919@gmail.com</t>
  </si>
  <si>
    <t>Payam Fallahi</t>
  </si>
  <si>
    <t>payam.fallahi861@gmail.com</t>
  </si>
  <si>
    <t>Sepideh Abbasi</t>
  </si>
  <si>
    <t>sepideh.abbasi282@gmail.com</t>
  </si>
  <si>
    <t>Golnaz Rostami</t>
  </si>
  <si>
    <t>golnaz.rostami328@gmail.com</t>
  </si>
  <si>
    <t>mona.moradi711@gmail.com</t>
  </si>
  <si>
    <t>Yasaman Karimi</t>
  </si>
  <si>
    <t>yasaman.karimi556@gmail.com</t>
  </si>
  <si>
    <t>Ali Ebrahimi</t>
  </si>
  <si>
    <t>ali.ebrahimi969@gmail.com</t>
  </si>
  <si>
    <t>Payam Zare</t>
  </si>
  <si>
    <t>payam.zare966@gmail.com</t>
  </si>
  <si>
    <t>Sepideh Norouzi</t>
  </si>
  <si>
    <t>sepideh.norouzi820@gmail.com</t>
  </si>
  <si>
    <t>Hamed Fallahi</t>
  </si>
  <si>
    <t>Elham Norouzi</t>
  </si>
  <si>
    <t>elham.norouzi638@gmail.com</t>
  </si>
  <si>
    <t>milad.norouzi439@gmail.com</t>
  </si>
  <si>
    <t>Setareh Sadeghi</t>
  </si>
  <si>
    <t>setareh.sadeghi336@gmail.com</t>
  </si>
  <si>
    <t>Elham Mousavi</t>
  </si>
  <si>
    <t>elham.mousavi259@gmail.com</t>
  </si>
  <si>
    <t>Behnam Ahmadi</t>
  </si>
  <si>
    <t>Leila Hosseini</t>
  </si>
  <si>
    <t>Niloofar Ghasemi</t>
  </si>
  <si>
    <t>niloofar.ghasemi118@gmail.com</t>
  </si>
  <si>
    <t>Yasaman Yousefi</t>
  </si>
  <si>
    <t>yasaman.yousefi621@gmail.com</t>
  </si>
  <si>
    <t>Babak Rezaei</t>
  </si>
  <si>
    <t>Kian Zare</t>
  </si>
  <si>
    <t>kian.zare78@gmail.com</t>
  </si>
  <si>
    <t>Tara Ghasemi</t>
  </si>
  <si>
    <t>tara.ghasemi615@gmail.com</t>
  </si>
  <si>
    <t>Iman Zare</t>
  </si>
  <si>
    <t>iman.zare439@gmail.com</t>
  </si>
  <si>
    <t>Mona Abbasi</t>
  </si>
  <si>
    <t>mona.abbasi843@gmail.com</t>
  </si>
  <si>
    <t>Omid Kazemi</t>
  </si>
  <si>
    <t>omid.kazemi446@gmail.com</t>
  </si>
  <si>
    <t>Roya Jafari</t>
  </si>
  <si>
    <t>roya.jafari846@gmail.com</t>
  </si>
  <si>
    <t>Parisa Mousavi</t>
  </si>
  <si>
    <t>parisa.mousavi903@gmail.com</t>
  </si>
  <si>
    <t>sepideh.yousefi507@gmail.com</t>
  </si>
  <si>
    <t>Amir Fallahi</t>
  </si>
  <si>
    <t>amir.fallahi349@gmail.com</t>
  </si>
  <si>
    <t>Arman Jafari</t>
  </si>
  <si>
    <t>arman.jafari88@gmail.com</t>
  </si>
  <si>
    <t>Omid Fallahi</t>
  </si>
  <si>
    <t>omid.fallahi662@gmail.com</t>
  </si>
  <si>
    <t>Setareh Ahmadi</t>
  </si>
  <si>
    <t>setareh.ahmadi415@gmail.com</t>
  </si>
  <si>
    <t>kian.zare544@gmail.com</t>
  </si>
  <si>
    <t>Babak Naderi</t>
  </si>
  <si>
    <t>babak.naderi278@gmail.com</t>
  </si>
  <si>
    <t>Hamed Rezaei</t>
  </si>
  <si>
    <t>hamed.rezaei761@gmail.com</t>
  </si>
  <si>
    <t>Sepideh Sadeghi</t>
  </si>
  <si>
    <t>sepideh.sadeghi284@gmail.com</t>
  </si>
  <si>
    <t>sepideh.abbasi304@gmail.com</t>
  </si>
  <si>
    <t>Sum count of orders</t>
  </si>
  <si>
    <t>sum count of returned orders</t>
  </si>
  <si>
    <t>Percent of returns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</si>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</sst>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* #,##0_-[$ريال-429]_ ;_ * #,##0\-[$ريال-429]_ ;_ * &quot;-&quot;??_-[$ريال-429]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42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[orders_raw.xlsx]Pivot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</a:t>
            </a:r>
          </a:p>
        </c:rich>
      </c:tx>
      <c:layout>
        <c:manualLayout>
          <c:xMode val="edge"/>
          <c:yMode val="edge"/>
          <c:x val="0.38840966754155731"/>
          <c:y val="1.1627906976744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80314960629921"/>
          <c:y val="0.102984496124031"/>
          <c:w val="0.85005708661417323"/>
          <c:h val="0.5449569675883538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Bakery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Table'!$A$3:$A$15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'Pivot Table'!$B$3:$B$15</c:f>
              <c:numCache>
                <c:formatCode>General</c:formatCode>
                <c:ptCount val="12"/>
                <c:pt idx="0">
                  <c:v>5127142.8571428563</c:v>
                </c:pt>
                <c:pt idx="1">
                  <c:v>5366369.9633699637</c:v>
                </c:pt>
                <c:pt idx="2">
                  <c:v>4025000</c:v>
                </c:pt>
                <c:pt idx="3">
                  <c:v>4376714.2857142854</c:v>
                </c:pt>
                <c:pt idx="4">
                  <c:v>2796399.2673992673</c:v>
                </c:pt>
                <c:pt idx="5">
                  <c:v>4500000</c:v>
                </c:pt>
                <c:pt idx="6">
                  <c:v>5521428.5714285718</c:v>
                </c:pt>
                <c:pt idx="7">
                  <c:v>4959841.1172161177</c:v>
                </c:pt>
                <c:pt idx="8">
                  <c:v>3804739.5833333335</c:v>
                </c:pt>
                <c:pt idx="9">
                  <c:v>3195256.41025641</c:v>
                </c:pt>
                <c:pt idx="10">
                  <c:v>3804958.333333333</c:v>
                </c:pt>
                <c:pt idx="11">
                  <c:v>4180000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A-4DFE-A364-E792FD6FB473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Cold Drinks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Table'!$A$3:$A$15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'Pivot Table'!$C$3:$C$15</c:f>
              <c:numCache>
                <c:formatCode>General</c:formatCode>
                <c:ptCount val="12"/>
                <c:pt idx="0">
                  <c:v>2361265.4867256638</c:v>
                </c:pt>
                <c:pt idx="1">
                  <c:v>2206000</c:v>
                </c:pt>
                <c:pt idx="2">
                  <c:v>2354376.1467889911</c:v>
                </c:pt>
                <c:pt idx="3">
                  <c:v>2486182.9179183245</c:v>
                </c:pt>
                <c:pt idx="4">
                  <c:v>1882458.7155963304</c:v>
                </c:pt>
                <c:pt idx="5">
                  <c:v>2169000</c:v>
                </c:pt>
                <c:pt idx="6">
                  <c:v>1924917.4311926607</c:v>
                </c:pt>
                <c:pt idx="7">
                  <c:v>1750530.9734513275</c:v>
                </c:pt>
                <c:pt idx="8">
                  <c:v>2141000</c:v>
                </c:pt>
                <c:pt idx="9">
                  <c:v>2680530.9734513275</c:v>
                </c:pt>
                <c:pt idx="10">
                  <c:v>3746000</c:v>
                </c:pt>
                <c:pt idx="11">
                  <c:v>2206000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7A-4DFE-A364-E792FD6FB473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Hot Drinks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Table'!$A$3:$A$15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'Pivot Table'!$D$3:$D$15</c:f>
              <c:numCache>
                <c:formatCode>General</c:formatCode>
                <c:ptCount val="12"/>
                <c:pt idx="0">
                  <c:v>6133320</c:v>
                </c:pt>
                <c:pt idx="1">
                  <c:v>7018935.3275878048</c:v>
                </c:pt>
                <c:pt idx="2">
                  <c:v>5330960</c:v>
                </c:pt>
                <c:pt idx="3">
                  <c:v>3651782.8571428573</c:v>
                </c:pt>
                <c:pt idx="4">
                  <c:v>5413936.1820974723</c:v>
                </c:pt>
                <c:pt idx="5">
                  <c:v>4883707.5268817209</c:v>
                </c:pt>
                <c:pt idx="6">
                  <c:v>5393000</c:v>
                </c:pt>
                <c:pt idx="7">
                  <c:v>4410032.4344361033</c:v>
                </c:pt>
                <c:pt idx="8">
                  <c:v>5328992.417319946</c:v>
                </c:pt>
                <c:pt idx="9">
                  <c:v>5969482.3348694313</c:v>
                </c:pt>
                <c:pt idx="10">
                  <c:v>5580918.7418086501</c:v>
                </c:pt>
                <c:pt idx="11">
                  <c:v>6513419.3838780997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7A-4DFE-A364-E792FD6FB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184240"/>
        <c:axId val="1191186160"/>
      </c:lineChart>
      <c:catAx>
        <c:axId val="11911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186160"/>
        <c:crosses val="autoZero"/>
        <c:auto val="1"/>
        <c:lblAlgn val="ctr"/>
        <c:lblOffset val="100"/>
        <c:noMultiLvlLbl val="0"/>
      </c:catAx>
      <c:valAx>
        <c:axId val="11911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18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930468066491689"/>
          <c:y val="0.8196780198986755"/>
          <c:w val="0.19791754155730534"/>
          <c:h val="0.178894891045596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[orders_raw.xlsx]Pivot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per month</a:t>
            </a:r>
          </a:p>
        </c:rich>
      </c:tx>
      <c:layout>
        <c:manualLayout>
          <c:xMode val="edge"/>
          <c:yMode val="edge"/>
          <c:x val="0.3791329385713578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569872162206145E-2"/>
          <c:y val="0.11226113175461738"/>
          <c:w val="0.89848278399162351"/>
          <c:h val="0.7753447901707120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Table'!$A$43:$A$55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'Pivot Table'!$B$43:$B$55</c:f>
              <c:numCache>
                <c:formatCode>General</c:formatCode>
                <c:ptCount val="12"/>
                <c:pt idx="0">
                  <c:v>13621728.34386852</c:v>
                </c:pt>
                <c:pt idx="1">
                  <c:v>14591305.290957769</c:v>
                </c:pt>
                <c:pt idx="2">
                  <c:v>11710336.146788992</c:v>
                </c:pt>
                <c:pt idx="3">
                  <c:v>10514680.060775468</c:v>
                </c:pt>
                <c:pt idx="4">
                  <c:v>10092794.165093072</c:v>
                </c:pt>
                <c:pt idx="5">
                  <c:v>11552707.526881721</c:v>
                </c:pt>
                <c:pt idx="6">
                  <c:v>12839346.002621232</c:v>
                </c:pt>
                <c:pt idx="7">
                  <c:v>11120404.52510355</c:v>
                </c:pt>
                <c:pt idx="8">
                  <c:v>11274732.00065328</c:v>
                </c:pt>
                <c:pt idx="9">
                  <c:v>11845269.718577171</c:v>
                </c:pt>
                <c:pt idx="10">
                  <c:v>13131877.075141985</c:v>
                </c:pt>
                <c:pt idx="11">
                  <c:v>12899419.383878101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F-47D1-87D4-127FDDBC7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124272"/>
        <c:axId val="1388126192"/>
      </c:lineChart>
      <c:catAx>
        <c:axId val="13881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26192"/>
        <c:crosses val="autoZero"/>
        <c:auto val="1"/>
        <c:lblAlgn val="ctr"/>
        <c:lblOffset val="100"/>
        <c:noMultiLvlLbl val="0"/>
      </c:catAx>
      <c:valAx>
        <c:axId val="13881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12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158095804062234"/>
          <c:y val="1.1969242368918276E-2"/>
          <c:w val="8.5723624169620302E-2"/>
          <c:h val="7.9365620155699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9525</xdr:rowOff>
    </xdr:from>
    <xdr:to>
      <xdr:col>13</xdr:col>
      <xdr:colOff>314325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95C63-48E9-37B4-DC7E-495D28C94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41</xdr:row>
      <xdr:rowOff>4762</xdr:rowOff>
    </xdr:from>
    <xdr:to>
      <xdr:col>13</xdr:col>
      <xdr:colOff>590550</xdr:colOff>
      <xdr:row>55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9550B1-54CE-BFDB-8FF7-F1FB47CA8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" refreshedDate="46276.962820833331" createdVersion="8" refreshedVersion="8" minRefreshableVersion="3" recordCount="1394" xr:uid="{A932FAB1-3581-4A76-AC63-E864783F8DB7}">
  <cacheSource type="worksheet">
    <worksheetSource ref="A1:L1395" sheet="orders_raw"/>
  </cacheSource>
  <cacheFields count="12">
    <cacheField name="order_id" numFmtId="0">
      <sharedItems containsSemiMixedTypes="0" containsString="0" containsNumber="1" containsInteger="1" minValue="1000" maxValue="2399"/>
    </cacheField>
    <cacheField name="customer_id" numFmtId="0">
      <sharedItems containsSemiMixedTypes="0" containsString="0" containsNumber="1" containsInteger="1" minValue="1" maxValue="120"/>
    </cacheField>
    <cacheField name="Customer_Name" numFmtId="0">
      <sharedItems count="110">
        <s v="Milad Rezaei"/>
        <s v="Milad Norouzi"/>
        <s v="Amir Mousavi"/>
        <s v="Golnaz Rezaei"/>
        <s v="Elham Karimi"/>
        <s v="Mona Ghasemi"/>
        <s v="Sepideh Yousefi"/>
        <s v="Mona Moradi"/>
        <s v="Milad Zare"/>
        <s v="Yasaman Yousefi"/>
        <s v="Kaveh Rostami"/>
        <s v="Elham Norouzi"/>
        <s v="Iman Zare"/>
        <s v="Farhad Sadeghi"/>
        <s v="Niloofar Ebrahimi"/>
        <s v="Sara Sadeghi"/>
        <s v="Amir Fallahi"/>
        <s v="Parisa Sadeghi"/>
        <s v="Kaveh Salehi"/>
        <s v="Leila Kazemi"/>
        <s v="Mona Abbasi"/>
        <s v="Farhad Abbasi"/>
        <s v="Omid Sadeghi"/>
        <s v="Ali Mousavi"/>
        <s v="Mona Naderi"/>
        <s v="Arman Moradi"/>
        <s v="Nazanin Fallahi"/>
        <s v="Sepideh Mousavi"/>
        <s v="Azadeh Moradi"/>
        <s v="Golnaz Rostami"/>
        <s v="Niloofar Zare"/>
        <s v="Setareh Naderi"/>
        <s v="Setareh Sadeghi"/>
        <s v="Niloofar Ghasemi"/>
        <s v="Reza Naderi"/>
        <s v="Niloofar Abbasi"/>
        <s v="Niloofar Hosseini"/>
        <s v="Niloofar Ahmadi"/>
        <s v="Milad Naderi"/>
        <s v="Payam Jafari"/>
        <s v="Kaveh Jafari"/>
        <s v="Yasaman Norouzi"/>
        <s v="Golnaz Karimi"/>
        <s v="Sina Ghasemi"/>
        <s v="Farhad Vakili"/>
        <s v="Amir Vakili"/>
        <s v="Yasaman Karimi"/>
        <s v="Leila Sadeghi"/>
        <s v="Setareh Abbasi"/>
        <s v="Iman Sadeghi"/>
        <s v="Milad Yousefi"/>
        <s v="Roya Rostami"/>
        <s v="Hamed Rezaei"/>
        <s v="Tara Jafari"/>
        <s v="Payam Abbasi"/>
        <s v="Mona Vakili"/>
        <s v="Sepideh Sadeghi"/>
        <s v="Roya Yousefi"/>
        <s v="Hamed Jafari"/>
        <s v="Mahsa Abbasi"/>
        <s v="Mahsa Ebrahimi"/>
        <s v="Leila Hosseini"/>
        <s v="Elham Mousavi"/>
        <s v="Omid Fallahi"/>
        <s v="Payam Zare"/>
        <s v="Azadeh Rezaei"/>
        <s v="Amir Yousefi"/>
        <s v="Mona Karimi"/>
        <s v="Sina Fallahi"/>
        <s v="Arman Jafari"/>
        <s v="Kian Ebrahimi"/>
        <s v="Sepideh Abbasi"/>
        <s v="Hamed Abbasi"/>
        <s v="Hamed Fallahi"/>
        <s v="Ali Ebrahimi"/>
        <s v="Setareh Moradi"/>
        <s v="Kian Zare"/>
        <s v="Leila Rezaei"/>
        <s v="Sepideh Norouzi"/>
        <s v="Nazanin Hosseini"/>
        <s v="Setareh Ahmadi"/>
        <s v="Babak Hosseini"/>
        <s v="Yasaman Naderi"/>
        <s v="Parisa Mousavi"/>
        <s v="Sepideh Rostami"/>
        <s v="Ali Ghasemi"/>
        <s v="Iman Yousefi"/>
        <s v="Behnam Ahmadi"/>
        <s v="Farhad Zare"/>
        <s v="Parisa Rostami"/>
        <s v="Reza Jafari"/>
        <s v="Babak Rezaei"/>
        <s v="Payam Rezaei"/>
        <s v="Azadeh Karimi"/>
        <s v="Milad Kazemi"/>
        <s v="Setareh Yousefi"/>
        <s v="Milad Mousavi"/>
        <s v="Iman Naderi"/>
        <s v="Mahsa Ghasemi"/>
        <s v="Payam Fallahi"/>
        <s v="Reza Rezaei"/>
        <s v="Mona Mousavi"/>
        <s v="Mona Yousefi"/>
        <s v="Sara Karimi"/>
        <s v="Tara Ghasemi"/>
        <s v="Sina Naderi"/>
        <s v="Roya Jafari"/>
        <s v="Omid Kazemi"/>
        <s v="Farhad Mousavi"/>
        <s v="Babak Naderi"/>
      </sharedItems>
    </cacheField>
    <cacheField name="Order_Date" numFmtId="14">
      <sharedItems containsSemiMixedTypes="0" containsNonDate="0" containsDate="1" containsString="0" minDate="2025-01-01T00:00:00" maxDate="2026-01-01T00:00:00"/>
    </cacheField>
    <cacheField name="Product_Name" numFmtId="0">
      <sharedItems count="12">
        <s v="Iced Latte"/>
        <s v="Latte"/>
        <s v="Chocolate Cake"/>
        <s v="Cappuccino"/>
        <s v="Blueberry Muffin"/>
        <s v="Hot Chocolate"/>
        <s v="Cheesecake"/>
        <s v="Cold Brew"/>
        <s v="Green Tea"/>
        <s v="Espresso"/>
        <s v="Americano"/>
        <s v="Croissant"/>
      </sharedItems>
    </cacheField>
    <cacheField name="Category" numFmtId="0">
      <sharedItems count="3">
        <s v="Cold Drinks"/>
        <s v="Hot Drinks"/>
        <s v="Bakery"/>
      </sharedItems>
    </cacheField>
    <cacheField name="quantity" numFmtId="0">
      <sharedItems containsSemiMixedTypes="0" containsString="0" containsNumber="1" containsInteger="1" minValue="-4" maxValue="4" count="8">
        <n v="1"/>
        <n v="4"/>
        <n v="2"/>
        <n v="-2"/>
        <n v="-1"/>
        <n v="3"/>
        <n v="-3"/>
        <n v="-4"/>
      </sharedItems>
    </cacheField>
    <cacheField name="Order_Type" numFmtId="0">
      <sharedItems count="2">
        <s v="Bought"/>
        <s v="Return"/>
      </sharedItems>
    </cacheField>
    <cacheField name="unit_price" numFmtId="164">
      <sharedItems containsSemiMixedTypes="0" containsString="0" containsNumber="1" minValue="30000" maxValue="90000"/>
    </cacheField>
    <cacheField name="payment_method" numFmtId="0">
      <sharedItems/>
    </cacheField>
    <cacheField name="Total_Price" numFmtId="164">
      <sharedItems containsSemiMixedTypes="0" containsString="0" containsNumber="1" minValue="-248000" maxValue="360000"/>
    </cacheField>
    <cacheField name="Month" numFmtId="0">
      <sharedItems count="12">
        <s v="2025-01"/>
        <s v="2025-11"/>
        <s v="2025-06"/>
        <s v="2025-10"/>
        <s v="2025-08"/>
        <s v="2025-03"/>
        <s v="2025-02"/>
        <s v="2025-04"/>
        <s v="2025-09"/>
        <s v="2025-12"/>
        <s v="2025-07"/>
        <s v="2025-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4">
  <r>
    <n v="1000"/>
    <n v="23"/>
    <x v="0"/>
    <d v="2025-01-08T00:00:00"/>
    <x v="0"/>
    <x v="0"/>
    <x v="0"/>
    <x v="0"/>
    <n v="57000"/>
    <s v="Online "/>
    <n v="57000"/>
    <x v="0"/>
  </r>
  <r>
    <n v="1001"/>
    <n v="96"/>
    <x v="1"/>
    <d v="2025-11-23T00:00:00"/>
    <x v="1"/>
    <x v="1"/>
    <x v="1"/>
    <x v="0"/>
    <n v="53000"/>
    <s v="card"/>
    <n v="212000"/>
    <x v="1"/>
  </r>
  <r>
    <n v="1002"/>
    <n v="62"/>
    <x v="2"/>
    <d v="2025-06-24T00:00:00"/>
    <x v="2"/>
    <x v="2"/>
    <x v="0"/>
    <x v="0"/>
    <n v="75000"/>
    <s v="card"/>
    <n v="75000"/>
    <x v="2"/>
  </r>
  <r>
    <n v="1003"/>
    <n v="63"/>
    <x v="3"/>
    <d v="2025-10-23T00:00:00"/>
    <x v="3"/>
    <x v="1"/>
    <x v="0"/>
    <x v="0"/>
    <n v="55000"/>
    <s v="card"/>
    <n v="55000"/>
    <x v="3"/>
  </r>
  <r>
    <n v="1004"/>
    <n v="32"/>
    <x v="4"/>
    <d v="2025-10-13T00:00:00"/>
    <x v="3"/>
    <x v="1"/>
    <x v="1"/>
    <x v="0"/>
    <n v="60000"/>
    <s v="card"/>
    <n v="240000"/>
    <x v="3"/>
  </r>
  <r>
    <n v="1005"/>
    <n v="39"/>
    <x v="5"/>
    <d v="2025-08-08T00:00:00"/>
    <x v="4"/>
    <x v="2"/>
    <x v="2"/>
    <x v="0"/>
    <n v="45000"/>
    <s v="Online"/>
    <n v="90000"/>
    <x v="4"/>
  </r>
  <r>
    <n v="1006"/>
    <n v="85"/>
    <x v="6"/>
    <d v="2025-03-22T00:00:00"/>
    <x v="3"/>
    <x v="1"/>
    <x v="2"/>
    <x v="0"/>
    <n v="50000"/>
    <s v="card"/>
    <n v="100000"/>
    <x v="5"/>
  </r>
  <r>
    <n v="1007"/>
    <n v="58"/>
    <x v="7"/>
    <d v="2025-01-11T00:00:00"/>
    <x v="5"/>
    <x v="1"/>
    <x v="0"/>
    <x v="0"/>
    <n v="60000"/>
    <s v="Online "/>
    <n v="60000"/>
    <x v="0"/>
  </r>
  <r>
    <n v="1008"/>
    <n v="111"/>
    <x v="6"/>
    <d v="2025-02-06T00:00:00"/>
    <x v="2"/>
    <x v="2"/>
    <x v="0"/>
    <x v="0"/>
    <n v="80000"/>
    <s v="card"/>
    <n v="80000"/>
    <x v="6"/>
  </r>
  <r>
    <n v="1009"/>
    <n v="15"/>
    <x v="8"/>
    <d v="2025-04-26T00:00:00"/>
    <x v="6"/>
    <x v="2"/>
    <x v="0"/>
    <x v="0"/>
    <n v="85000"/>
    <s v="Cash"/>
    <n v="85000"/>
    <x v="7"/>
  </r>
  <r>
    <n v="1010"/>
    <n v="102"/>
    <x v="9"/>
    <d v="2025-01-11T00:00:00"/>
    <x v="0"/>
    <x v="0"/>
    <x v="2"/>
    <x v="0"/>
    <n v="57000"/>
    <s v="Online "/>
    <n v="114000"/>
    <x v="0"/>
  </r>
  <r>
    <n v="1011"/>
    <n v="52"/>
    <x v="10"/>
    <d v="2025-09-14T00:00:00"/>
    <x v="0"/>
    <x v="0"/>
    <x v="2"/>
    <x v="0"/>
    <n v="57000"/>
    <s v="card"/>
    <n v="114000"/>
    <x v="8"/>
  </r>
  <r>
    <n v="1012"/>
    <n v="95"/>
    <x v="11"/>
    <d v="2025-11-06T00:00:00"/>
    <x v="7"/>
    <x v="0"/>
    <x v="0"/>
    <x v="0"/>
    <n v="65000"/>
    <s v="Unknown"/>
    <n v="65000"/>
    <x v="1"/>
  </r>
  <r>
    <n v="1013"/>
    <n v="106"/>
    <x v="12"/>
    <d v="2025-10-23T00:00:00"/>
    <x v="0"/>
    <x v="0"/>
    <x v="3"/>
    <x v="1"/>
    <n v="67000"/>
    <s v="Online"/>
    <n v="-134000"/>
    <x v="3"/>
  </r>
  <r>
    <n v="1014"/>
    <n v="24"/>
    <x v="13"/>
    <d v="2025-12-08T00:00:00"/>
    <x v="4"/>
    <x v="2"/>
    <x v="0"/>
    <x v="0"/>
    <n v="50000"/>
    <s v="Online"/>
    <n v="50000"/>
    <x v="9"/>
  </r>
  <r>
    <n v="1015"/>
    <n v="42"/>
    <x v="14"/>
    <d v="2025-02-23T00:00:00"/>
    <x v="8"/>
    <x v="1"/>
    <x v="2"/>
    <x v="0"/>
    <n v="35000"/>
    <s v="Cash"/>
    <n v="70000"/>
    <x v="6"/>
  </r>
  <r>
    <n v="1016"/>
    <n v="5"/>
    <x v="15"/>
    <d v="2025-02-15T00:00:00"/>
    <x v="2"/>
    <x v="2"/>
    <x v="0"/>
    <x v="0"/>
    <n v="70000"/>
    <s v="Online "/>
    <n v="70000"/>
    <x v="6"/>
  </r>
  <r>
    <n v="1017"/>
    <n v="112"/>
    <x v="16"/>
    <d v="2025-08-25T00:00:00"/>
    <x v="6"/>
    <x v="2"/>
    <x v="4"/>
    <x v="1"/>
    <n v="90000"/>
    <s v="Online "/>
    <n v="-90000"/>
    <x v="4"/>
  </r>
  <r>
    <n v="1018"/>
    <n v="57"/>
    <x v="17"/>
    <d v="2025-04-15T00:00:00"/>
    <x v="9"/>
    <x v="1"/>
    <x v="0"/>
    <x v="0"/>
    <n v="45000"/>
    <s v="Unknown"/>
    <n v="45000"/>
    <x v="7"/>
  </r>
  <r>
    <n v="1019"/>
    <n v="4"/>
    <x v="18"/>
    <d v="2025-11-08T00:00:00"/>
    <x v="8"/>
    <x v="1"/>
    <x v="0"/>
    <x v="0"/>
    <n v="40000"/>
    <s v="card"/>
    <n v="40000"/>
    <x v="1"/>
  </r>
  <r>
    <n v="1020"/>
    <n v="29"/>
    <x v="19"/>
    <d v="2025-08-25T00:00:00"/>
    <x v="3"/>
    <x v="1"/>
    <x v="2"/>
    <x v="0"/>
    <n v="55000"/>
    <s v="card"/>
    <n v="110000"/>
    <x v="4"/>
  </r>
  <r>
    <n v="1021"/>
    <n v="107"/>
    <x v="20"/>
    <d v="2025-08-30T00:00:00"/>
    <x v="2"/>
    <x v="2"/>
    <x v="2"/>
    <x v="0"/>
    <n v="75000"/>
    <s v="Cash"/>
    <n v="150000"/>
    <x v="4"/>
  </r>
  <r>
    <n v="1022"/>
    <n v="66"/>
    <x v="21"/>
    <d v="2025-11-03T00:00:00"/>
    <x v="5"/>
    <x v="1"/>
    <x v="1"/>
    <x v="0"/>
    <n v="59954.128440366971"/>
    <s v="card"/>
    <n v="239816.51376146788"/>
    <x v="1"/>
  </r>
  <r>
    <n v="1023"/>
    <n v="37"/>
    <x v="22"/>
    <d v="2025-02-06T00:00:00"/>
    <x v="5"/>
    <x v="1"/>
    <x v="1"/>
    <x v="0"/>
    <n v="60000"/>
    <s v="Online"/>
    <n v="240000"/>
    <x v="6"/>
  </r>
  <r>
    <n v="1024"/>
    <n v="43"/>
    <x v="23"/>
    <d v="2025-06-10T00:00:00"/>
    <x v="6"/>
    <x v="2"/>
    <x v="0"/>
    <x v="0"/>
    <n v="85000"/>
    <s v="Cash"/>
    <n v="85000"/>
    <x v="2"/>
  </r>
  <r>
    <n v="1025"/>
    <n v="50"/>
    <x v="24"/>
    <d v="2025-07-30T00:00:00"/>
    <x v="10"/>
    <x v="1"/>
    <x v="5"/>
    <x v="0"/>
    <n v="48000"/>
    <s v="card"/>
    <n v="144000"/>
    <x v="10"/>
  </r>
  <r>
    <n v="1026"/>
    <n v="85"/>
    <x v="6"/>
    <d v="2025-03-19T00:00:00"/>
    <x v="8"/>
    <x v="1"/>
    <x v="0"/>
    <x v="0"/>
    <n v="40000"/>
    <s v="card"/>
    <n v="40000"/>
    <x v="5"/>
  </r>
  <r>
    <n v="1027"/>
    <n v="112"/>
    <x v="16"/>
    <d v="2025-02-21T00:00:00"/>
    <x v="2"/>
    <x v="2"/>
    <x v="0"/>
    <x v="0"/>
    <n v="75000"/>
    <s v="card"/>
    <n v="75000"/>
    <x v="6"/>
  </r>
  <r>
    <n v="1028"/>
    <n v="61"/>
    <x v="25"/>
    <d v="2025-06-23T00:00:00"/>
    <x v="0"/>
    <x v="0"/>
    <x v="5"/>
    <x v="0"/>
    <n v="57000"/>
    <s v="Online"/>
    <n v="171000"/>
    <x v="2"/>
  </r>
  <r>
    <n v="1029"/>
    <n v="81"/>
    <x v="26"/>
    <d v="2025-09-07T00:00:00"/>
    <x v="5"/>
    <x v="1"/>
    <x v="2"/>
    <x v="0"/>
    <n v="55000"/>
    <s v="Cash"/>
    <n v="110000"/>
    <x v="8"/>
  </r>
  <r>
    <n v="1030"/>
    <n v="96"/>
    <x v="1"/>
    <d v="2025-08-11T00:00:00"/>
    <x v="3"/>
    <x v="1"/>
    <x v="2"/>
    <x v="0"/>
    <n v="55000"/>
    <s v="card"/>
    <n v="110000"/>
    <x v="4"/>
  </r>
  <r>
    <n v="1031"/>
    <n v="6"/>
    <x v="27"/>
    <d v="2025-01-29T00:00:00"/>
    <x v="7"/>
    <x v="0"/>
    <x v="0"/>
    <x v="0"/>
    <n v="65000"/>
    <s v="Unknown"/>
    <n v="65000"/>
    <x v="0"/>
  </r>
  <r>
    <n v="1032"/>
    <n v="53"/>
    <x v="28"/>
    <d v="2025-12-16T00:00:00"/>
    <x v="4"/>
    <x v="2"/>
    <x v="0"/>
    <x v="0"/>
    <n v="45000"/>
    <s v="Cash"/>
    <n v="45000"/>
    <x v="9"/>
  </r>
  <r>
    <n v="1033"/>
    <n v="88"/>
    <x v="29"/>
    <d v="2025-09-12T00:00:00"/>
    <x v="10"/>
    <x v="1"/>
    <x v="0"/>
    <x v="0"/>
    <n v="48000"/>
    <s v="card"/>
    <n v="48000"/>
    <x v="8"/>
  </r>
  <r>
    <n v="1034"/>
    <n v="33"/>
    <x v="30"/>
    <d v="2025-05-01T00:00:00"/>
    <x v="8"/>
    <x v="1"/>
    <x v="6"/>
    <x v="1"/>
    <n v="40000"/>
    <s v="card"/>
    <n v="-120000"/>
    <x v="11"/>
  </r>
  <r>
    <n v="1035"/>
    <n v="96"/>
    <x v="1"/>
    <d v="2025-10-28T00:00:00"/>
    <x v="7"/>
    <x v="0"/>
    <x v="5"/>
    <x v="0"/>
    <n v="65000"/>
    <s v="Cash"/>
    <n v="195000"/>
    <x v="3"/>
  </r>
  <r>
    <n v="1036"/>
    <n v="50"/>
    <x v="24"/>
    <d v="2025-02-24T00:00:00"/>
    <x v="2"/>
    <x v="2"/>
    <x v="2"/>
    <x v="0"/>
    <n v="75000"/>
    <s v="Unknown"/>
    <n v="150000"/>
    <x v="6"/>
  </r>
  <r>
    <n v="1037"/>
    <n v="38"/>
    <x v="31"/>
    <d v="2025-04-12T00:00:00"/>
    <x v="9"/>
    <x v="1"/>
    <x v="0"/>
    <x v="0"/>
    <n v="50000"/>
    <s v="Cash"/>
    <n v="50000"/>
    <x v="7"/>
  </r>
  <r>
    <n v="1038"/>
    <n v="96"/>
    <x v="1"/>
    <d v="2025-05-27T00:00:00"/>
    <x v="2"/>
    <x v="2"/>
    <x v="0"/>
    <x v="0"/>
    <n v="75000"/>
    <s v="Online "/>
    <n v="75000"/>
    <x v="11"/>
  </r>
  <r>
    <n v="1039"/>
    <n v="97"/>
    <x v="32"/>
    <d v="2025-12-04T00:00:00"/>
    <x v="5"/>
    <x v="1"/>
    <x v="5"/>
    <x v="0"/>
    <n v="55000"/>
    <s v="Online"/>
    <n v="165000"/>
    <x v="9"/>
  </r>
  <r>
    <n v="1040"/>
    <n v="101"/>
    <x v="33"/>
    <d v="2025-01-18T00:00:00"/>
    <x v="2"/>
    <x v="2"/>
    <x v="5"/>
    <x v="0"/>
    <n v="75000"/>
    <s v="Online"/>
    <n v="225000"/>
    <x v="0"/>
  </r>
  <r>
    <n v="1041"/>
    <n v="96"/>
    <x v="1"/>
    <d v="2025-03-31T00:00:00"/>
    <x v="11"/>
    <x v="2"/>
    <x v="1"/>
    <x v="0"/>
    <n v="45000"/>
    <s v="Cash"/>
    <n v="180000"/>
    <x v="5"/>
  </r>
  <r>
    <n v="1042"/>
    <n v="33"/>
    <x v="30"/>
    <d v="2025-01-06T00:00:00"/>
    <x v="2"/>
    <x v="2"/>
    <x v="1"/>
    <x v="0"/>
    <n v="70000"/>
    <s v="Cash"/>
    <n v="280000"/>
    <x v="0"/>
  </r>
  <r>
    <n v="1043"/>
    <n v="97"/>
    <x v="32"/>
    <d v="2025-12-13T00:00:00"/>
    <x v="10"/>
    <x v="1"/>
    <x v="1"/>
    <x v="0"/>
    <n v="53000"/>
    <s v="card"/>
    <n v="212000"/>
    <x v="9"/>
  </r>
  <r>
    <n v="1044"/>
    <n v="2"/>
    <x v="34"/>
    <d v="2025-02-10T00:00:00"/>
    <x v="0"/>
    <x v="0"/>
    <x v="0"/>
    <x v="0"/>
    <n v="62000"/>
    <s v="Online "/>
    <n v="62000"/>
    <x v="6"/>
  </r>
  <r>
    <n v="1045"/>
    <n v="96"/>
    <x v="1"/>
    <d v="2025-02-25T00:00:00"/>
    <x v="7"/>
    <x v="0"/>
    <x v="2"/>
    <x v="0"/>
    <n v="60000"/>
    <s v="Cash"/>
    <n v="120000"/>
    <x v="6"/>
  </r>
  <r>
    <n v="1046"/>
    <n v="29"/>
    <x v="19"/>
    <d v="2025-02-02T00:00:00"/>
    <x v="8"/>
    <x v="1"/>
    <x v="5"/>
    <x v="0"/>
    <n v="35000"/>
    <s v="card"/>
    <n v="105000"/>
    <x v="6"/>
  </r>
  <r>
    <n v="1047"/>
    <n v="18"/>
    <x v="35"/>
    <d v="2025-01-20T00:00:00"/>
    <x v="9"/>
    <x v="1"/>
    <x v="0"/>
    <x v="0"/>
    <n v="40000"/>
    <s v="card"/>
    <n v="40000"/>
    <x v="0"/>
  </r>
  <r>
    <n v="1048"/>
    <n v="59"/>
    <x v="36"/>
    <d v="2025-10-12T00:00:00"/>
    <x v="7"/>
    <x v="0"/>
    <x v="2"/>
    <x v="0"/>
    <n v="65000"/>
    <s v="card"/>
    <n v="130000"/>
    <x v="3"/>
  </r>
  <r>
    <n v="1049"/>
    <n v="79"/>
    <x v="37"/>
    <d v="2025-05-24T00:00:00"/>
    <x v="11"/>
    <x v="2"/>
    <x v="0"/>
    <x v="0"/>
    <n v="40000"/>
    <s v="Online"/>
    <n v="40000"/>
    <x v="11"/>
  </r>
  <r>
    <n v="1050"/>
    <n v="13"/>
    <x v="38"/>
    <d v="2025-08-07T00:00:00"/>
    <x v="8"/>
    <x v="1"/>
    <x v="0"/>
    <x v="0"/>
    <n v="35000"/>
    <s v="card"/>
    <n v="35000"/>
    <x v="4"/>
  </r>
  <r>
    <n v="1051"/>
    <n v="55"/>
    <x v="39"/>
    <d v="2025-02-16T00:00:00"/>
    <x v="2"/>
    <x v="2"/>
    <x v="5"/>
    <x v="0"/>
    <n v="80000"/>
    <s v="Online"/>
    <n v="240000"/>
    <x v="6"/>
  </r>
  <r>
    <n v="1052"/>
    <n v="32"/>
    <x v="4"/>
    <d v="2025-10-17T00:00:00"/>
    <x v="1"/>
    <x v="1"/>
    <x v="1"/>
    <x v="0"/>
    <n v="63000"/>
    <s v="Cash"/>
    <n v="252000"/>
    <x v="3"/>
  </r>
  <r>
    <n v="1053"/>
    <n v="43"/>
    <x v="23"/>
    <d v="2025-02-11T00:00:00"/>
    <x v="1"/>
    <x v="1"/>
    <x v="1"/>
    <x v="0"/>
    <n v="58000"/>
    <s v="Cash"/>
    <n v="232000"/>
    <x v="6"/>
  </r>
  <r>
    <n v="1054"/>
    <n v="15"/>
    <x v="8"/>
    <d v="2025-01-14T00:00:00"/>
    <x v="8"/>
    <x v="1"/>
    <x v="0"/>
    <x v="0"/>
    <n v="35000"/>
    <s v="card"/>
    <n v="35000"/>
    <x v="0"/>
  </r>
  <r>
    <n v="1055"/>
    <n v="23"/>
    <x v="0"/>
    <d v="2025-01-27T00:00:00"/>
    <x v="0"/>
    <x v="0"/>
    <x v="2"/>
    <x v="0"/>
    <n v="57000"/>
    <s v="card"/>
    <n v="114000"/>
    <x v="0"/>
  </r>
  <r>
    <n v="1056"/>
    <n v="58"/>
    <x v="7"/>
    <d v="2025-09-20T00:00:00"/>
    <x v="7"/>
    <x v="0"/>
    <x v="2"/>
    <x v="0"/>
    <n v="70000"/>
    <s v="Online "/>
    <n v="140000"/>
    <x v="8"/>
  </r>
  <r>
    <n v="1057"/>
    <n v="101"/>
    <x v="33"/>
    <d v="2025-09-24T00:00:00"/>
    <x v="8"/>
    <x v="1"/>
    <x v="5"/>
    <x v="0"/>
    <n v="30000"/>
    <s v="card"/>
    <n v="90000"/>
    <x v="8"/>
  </r>
  <r>
    <n v="1058"/>
    <n v="55"/>
    <x v="39"/>
    <d v="2025-02-25T00:00:00"/>
    <x v="8"/>
    <x v="1"/>
    <x v="0"/>
    <x v="0"/>
    <n v="30000"/>
    <s v="card"/>
    <n v="30000"/>
    <x v="6"/>
  </r>
  <r>
    <n v="1059"/>
    <n v="17"/>
    <x v="40"/>
    <d v="2025-11-16T00:00:00"/>
    <x v="0"/>
    <x v="0"/>
    <x v="2"/>
    <x v="0"/>
    <n v="67000"/>
    <s v="card"/>
    <n v="134000"/>
    <x v="1"/>
  </r>
  <r>
    <n v="1060"/>
    <n v="65"/>
    <x v="41"/>
    <d v="2025-08-09T00:00:00"/>
    <x v="4"/>
    <x v="2"/>
    <x v="1"/>
    <x v="0"/>
    <n v="55000"/>
    <s v="card"/>
    <n v="220000"/>
    <x v="4"/>
  </r>
  <r>
    <n v="1061"/>
    <n v="58"/>
    <x v="7"/>
    <d v="2025-07-31T00:00:00"/>
    <x v="10"/>
    <x v="1"/>
    <x v="2"/>
    <x v="0"/>
    <n v="48000"/>
    <s v="Unknown"/>
    <n v="96000"/>
    <x v="10"/>
  </r>
  <r>
    <n v="1062"/>
    <n v="55"/>
    <x v="39"/>
    <d v="2025-07-12T00:00:00"/>
    <x v="7"/>
    <x v="0"/>
    <x v="0"/>
    <x v="0"/>
    <n v="65458.715596330272"/>
    <s v="card"/>
    <n v="65458.715596330272"/>
    <x v="10"/>
  </r>
  <r>
    <n v="1063"/>
    <n v="12"/>
    <x v="42"/>
    <d v="2025-02-19T00:00:00"/>
    <x v="11"/>
    <x v="2"/>
    <x v="4"/>
    <x v="1"/>
    <n v="40000"/>
    <s v="Cash"/>
    <n v="-40000"/>
    <x v="6"/>
  </r>
  <r>
    <n v="1064"/>
    <n v="60"/>
    <x v="43"/>
    <d v="2025-10-15T00:00:00"/>
    <x v="6"/>
    <x v="2"/>
    <x v="2"/>
    <x v="0"/>
    <n v="85000"/>
    <s v="Online "/>
    <n v="170000"/>
    <x v="3"/>
  </r>
  <r>
    <n v="1065"/>
    <n v="7"/>
    <x v="44"/>
    <d v="2025-04-11T00:00:00"/>
    <x v="0"/>
    <x v="0"/>
    <x v="0"/>
    <x v="0"/>
    <n v="67000"/>
    <s v="Cash"/>
    <n v="67000"/>
    <x v="7"/>
  </r>
  <r>
    <n v="1066"/>
    <n v="85"/>
    <x v="6"/>
    <d v="2025-04-25T00:00:00"/>
    <x v="2"/>
    <x v="2"/>
    <x v="1"/>
    <x v="0"/>
    <n v="80000"/>
    <s v="Online"/>
    <n v="320000"/>
    <x v="7"/>
  </r>
  <r>
    <n v="1067"/>
    <n v="74"/>
    <x v="45"/>
    <d v="2025-08-08T00:00:00"/>
    <x v="10"/>
    <x v="1"/>
    <x v="2"/>
    <x v="0"/>
    <n v="48000"/>
    <s v="Online"/>
    <n v="96000"/>
    <x v="4"/>
  </r>
  <r>
    <n v="1068"/>
    <n v="90"/>
    <x v="46"/>
    <d v="2025-06-23T00:00:00"/>
    <x v="0"/>
    <x v="0"/>
    <x v="0"/>
    <x v="0"/>
    <n v="62000"/>
    <s v="card"/>
    <n v="62000"/>
    <x v="2"/>
  </r>
  <r>
    <n v="1069"/>
    <n v="19"/>
    <x v="47"/>
    <d v="2025-11-21T00:00:00"/>
    <x v="5"/>
    <x v="1"/>
    <x v="5"/>
    <x v="0"/>
    <n v="65000"/>
    <s v="card"/>
    <n v="195000"/>
    <x v="1"/>
  </r>
  <r>
    <n v="1070"/>
    <n v="59"/>
    <x v="36"/>
    <d v="2025-03-22T00:00:00"/>
    <x v="7"/>
    <x v="0"/>
    <x v="5"/>
    <x v="0"/>
    <n v="65458.715596330272"/>
    <s v="card"/>
    <n v="196376.14678899082"/>
    <x v="5"/>
  </r>
  <r>
    <n v="1071"/>
    <n v="20"/>
    <x v="48"/>
    <d v="2025-11-13T00:00:00"/>
    <x v="1"/>
    <x v="1"/>
    <x v="0"/>
    <x v="0"/>
    <n v="58000"/>
    <s v="card"/>
    <n v="58000"/>
    <x v="1"/>
  </r>
  <r>
    <n v="1072"/>
    <n v="78"/>
    <x v="4"/>
    <d v="2025-08-01T00:00:00"/>
    <x v="2"/>
    <x v="2"/>
    <x v="1"/>
    <x v="0"/>
    <n v="80000"/>
    <s v="card"/>
    <n v="320000"/>
    <x v="4"/>
  </r>
  <r>
    <n v="1073"/>
    <n v="15"/>
    <x v="8"/>
    <d v="2025-12-14T00:00:00"/>
    <x v="0"/>
    <x v="0"/>
    <x v="2"/>
    <x v="0"/>
    <n v="62000"/>
    <s v="card"/>
    <n v="124000"/>
    <x v="9"/>
  </r>
  <r>
    <n v="1074"/>
    <n v="77"/>
    <x v="49"/>
    <d v="2025-04-01T00:00:00"/>
    <x v="9"/>
    <x v="1"/>
    <x v="0"/>
    <x v="0"/>
    <n v="45000"/>
    <s v="Online"/>
    <n v="45000"/>
    <x v="7"/>
  </r>
  <r>
    <n v="1075"/>
    <n v="16"/>
    <x v="50"/>
    <d v="2025-12-09T00:00:00"/>
    <x v="9"/>
    <x v="1"/>
    <x v="0"/>
    <x v="0"/>
    <n v="45000"/>
    <s v="Cash"/>
    <n v="45000"/>
    <x v="9"/>
  </r>
  <r>
    <n v="1076"/>
    <n v="72"/>
    <x v="51"/>
    <d v="2025-01-07T00:00:00"/>
    <x v="8"/>
    <x v="1"/>
    <x v="1"/>
    <x v="0"/>
    <n v="30000"/>
    <s v="Unknown"/>
    <n v="120000"/>
    <x v="0"/>
  </r>
  <r>
    <n v="1077"/>
    <n v="118"/>
    <x v="52"/>
    <d v="2025-10-06T00:00:00"/>
    <x v="3"/>
    <x v="1"/>
    <x v="2"/>
    <x v="0"/>
    <n v="55000"/>
    <s v="Online"/>
    <n v="110000"/>
    <x v="3"/>
  </r>
  <r>
    <n v="1078"/>
    <n v="15"/>
    <x v="8"/>
    <d v="2025-01-11T00:00:00"/>
    <x v="11"/>
    <x v="2"/>
    <x v="1"/>
    <x v="0"/>
    <n v="40428.571428571428"/>
    <s v="card"/>
    <n v="161714.28571428571"/>
    <x v="0"/>
  </r>
  <r>
    <n v="1079"/>
    <n v="56"/>
    <x v="53"/>
    <d v="2025-05-05T00:00:00"/>
    <x v="3"/>
    <x v="1"/>
    <x v="2"/>
    <x v="0"/>
    <n v="50000"/>
    <s v="Online "/>
    <n v="100000"/>
    <x v="11"/>
  </r>
  <r>
    <n v="1080"/>
    <n v="44"/>
    <x v="54"/>
    <d v="2025-06-20T00:00:00"/>
    <x v="10"/>
    <x v="1"/>
    <x v="2"/>
    <x v="0"/>
    <n v="48053.763440860217"/>
    <s v="Online"/>
    <n v="96107.526881720434"/>
    <x v="2"/>
  </r>
  <r>
    <n v="1081"/>
    <n v="45"/>
    <x v="55"/>
    <d v="2025-11-27T00:00:00"/>
    <x v="5"/>
    <x v="1"/>
    <x v="0"/>
    <x v="0"/>
    <n v="60000"/>
    <s v="Cash"/>
    <n v="60000"/>
    <x v="1"/>
  </r>
  <r>
    <n v="1082"/>
    <n v="78"/>
    <x v="4"/>
    <d v="2025-12-02T00:00:00"/>
    <x v="1"/>
    <x v="1"/>
    <x v="1"/>
    <x v="0"/>
    <n v="58000"/>
    <s v="Online "/>
    <n v="232000"/>
    <x v="9"/>
  </r>
  <r>
    <n v="1083"/>
    <n v="119"/>
    <x v="56"/>
    <d v="2025-11-26T00:00:00"/>
    <x v="4"/>
    <x v="2"/>
    <x v="1"/>
    <x v="0"/>
    <n v="49739.583333333336"/>
    <s v="card"/>
    <n v="198958.33333333334"/>
    <x v="1"/>
  </r>
  <r>
    <n v="1084"/>
    <n v="61"/>
    <x v="25"/>
    <d v="2025-11-20T00:00:00"/>
    <x v="2"/>
    <x v="2"/>
    <x v="2"/>
    <x v="0"/>
    <n v="70000"/>
    <s v="Online"/>
    <n v="140000"/>
    <x v="1"/>
  </r>
  <r>
    <n v="1085"/>
    <n v="60"/>
    <x v="43"/>
    <d v="2025-01-20T00:00:00"/>
    <x v="2"/>
    <x v="2"/>
    <x v="1"/>
    <x v="0"/>
    <n v="75000"/>
    <s v="Cash"/>
    <n v="300000"/>
    <x v="0"/>
  </r>
  <r>
    <n v="1086"/>
    <n v="77"/>
    <x v="49"/>
    <d v="2025-07-16T00:00:00"/>
    <x v="6"/>
    <x v="2"/>
    <x v="0"/>
    <x v="0"/>
    <n v="90000"/>
    <s v="Online"/>
    <n v="90000"/>
    <x v="10"/>
  </r>
  <r>
    <n v="1087"/>
    <n v="78"/>
    <x v="4"/>
    <d v="2025-09-14T00:00:00"/>
    <x v="2"/>
    <x v="2"/>
    <x v="2"/>
    <x v="0"/>
    <n v="70000"/>
    <s v="Cash"/>
    <n v="140000"/>
    <x v="8"/>
  </r>
  <r>
    <n v="1088"/>
    <n v="83"/>
    <x v="57"/>
    <d v="2025-01-21T00:00:00"/>
    <x v="1"/>
    <x v="1"/>
    <x v="2"/>
    <x v="0"/>
    <n v="63000"/>
    <s v="Online"/>
    <n v="126000"/>
    <x v="0"/>
  </r>
  <r>
    <n v="1089"/>
    <n v="48"/>
    <x v="58"/>
    <d v="2025-07-18T00:00:00"/>
    <x v="0"/>
    <x v="0"/>
    <x v="5"/>
    <x v="0"/>
    <n v="67000"/>
    <s v="card"/>
    <n v="201000"/>
    <x v="10"/>
  </r>
  <r>
    <n v="1090"/>
    <n v="43"/>
    <x v="23"/>
    <d v="2025-10-13T00:00:00"/>
    <x v="3"/>
    <x v="1"/>
    <x v="0"/>
    <x v="0"/>
    <n v="55000"/>
    <s v="Online"/>
    <n v="55000"/>
    <x v="3"/>
  </r>
  <r>
    <n v="1091"/>
    <n v="11"/>
    <x v="19"/>
    <d v="2025-06-12T00:00:00"/>
    <x v="4"/>
    <x v="2"/>
    <x v="0"/>
    <x v="0"/>
    <n v="50000"/>
    <s v="Online"/>
    <n v="50000"/>
    <x v="2"/>
  </r>
  <r>
    <n v="1092"/>
    <n v="72"/>
    <x v="51"/>
    <d v="2025-11-26T00:00:00"/>
    <x v="11"/>
    <x v="2"/>
    <x v="5"/>
    <x v="0"/>
    <n v="45000"/>
    <s v="Cash"/>
    <n v="135000"/>
    <x v="1"/>
  </r>
  <r>
    <n v="1093"/>
    <n v="47"/>
    <x v="59"/>
    <d v="2025-07-05T00:00:00"/>
    <x v="9"/>
    <x v="1"/>
    <x v="0"/>
    <x v="0"/>
    <n v="45000"/>
    <s v="Cash"/>
    <n v="45000"/>
    <x v="10"/>
  </r>
  <r>
    <n v="1094"/>
    <n v="18"/>
    <x v="35"/>
    <d v="2025-02-09T00:00:00"/>
    <x v="1"/>
    <x v="1"/>
    <x v="2"/>
    <x v="0"/>
    <n v="63000"/>
    <s v="Online "/>
    <n v="126000"/>
    <x v="6"/>
  </r>
  <r>
    <n v="1095"/>
    <n v="44"/>
    <x v="54"/>
    <d v="2025-09-03T00:00:00"/>
    <x v="4"/>
    <x v="2"/>
    <x v="0"/>
    <x v="0"/>
    <n v="49739.583333333336"/>
    <s v="Online "/>
    <n v="49739.583333333336"/>
    <x v="8"/>
  </r>
  <r>
    <n v="1096"/>
    <n v="57"/>
    <x v="17"/>
    <d v="2025-07-30T00:00:00"/>
    <x v="9"/>
    <x v="1"/>
    <x v="2"/>
    <x v="0"/>
    <n v="50000"/>
    <s v="Cash"/>
    <n v="100000"/>
    <x v="10"/>
  </r>
  <r>
    <n v="1097"/>
    <n v="69"/>
    <x v="60"/>
    <d v="2025-06-08T00:00:00"/>
    <x v="10"/>
    <x v="1"/>
    <x v="0"/>
    <x v="0"/>
    <n v="53000"/>
    <s v="Online"/>
    <n v="53000"/>
    <x v="2"/>
  </r>
  <r>
    <n v="1098"/>
    <n v="100"/>
    <x v="61"/>
    <d v="2025-09-15T00:00:00"/>
    <x v="11"/>
    <x v="2"/>
    <x v="4"/>
    <x v="1"/>
    <n v="40000"/>
    <s v="Online"/>
    <n v="-40000"/>
    <x v="8"/>
  </r>
  <r>
    <n v="1100"/>
    <n v="98"/>
    <x v="62"/>
    <d v="2025-05-20T00:00:00"/>
    <x v="1"/>
    <x v="1"/>
    <x v="1"/>
    <x v="0"/>
    <n v="58142.857142857145"/>
    <s v="card"/>
    <n v="232571.42857142858"/>
    <x v="11"/>
  </r>
  <r>
    <n v="1101"/>
    <n v="114"/>
    <x v="63"/>
    <d v="2025-01-14T00:00:00"/>
    <x v="7"/>
    <x v="0"/>
    <x v="3"/>
    <x v="1"/>
    <n v="70000"/>
    <s v="card"/>
    <n v="-140000"/>
    <x v="0"/>
  </r>
  <r>
    <n v="1102"/>
    <n v="11"/>
    <x v="19"/>
    <d v="2025-04-25T00:00:00"/>
    <x v="7"/>
    <x v="0"/>
    <x v="0"/>
    <x v="0"/>
    <n v="65000"/>
    <s v="card"/>
    <n v="65000"/>
    <x v="7"/>
  </r>
  <r>
    <n v="1103"/>
    <n v="37"/>
    <x v="22"/>
    <d v="2025-12-23T00:00:00"/>
    <x v="2"/>
    <x v="2"/>
    <x v="2"/>
    <x v="0"/>
    <n v="80000"/>
    <s v="card"/>
    <n v="160000"/>
    <x v="9"/>
  </r>
  <r>
    <n v="1104"/>
    <n v="33"/>
    <x v="30"/>
    <d v="2025-03-18T00:00:00"/>
    <x v="10"/>
    <x v="1"/>
    <x v="0"/>
    <x v="0"/>
    <n v="48000"/>
    <s v="card"/>
    <n v="48000"/>
    <x v="5"/>
  </r>
  <r>
    <n v="1105"/>
    <n v="7"/>
    <x v="44"/>
    <d v="2025-03-08T00:00:00"/>
    <x v="10"/>
    <x v="1"/>
    <x v="0"/>
    <x v="0"/>
    <n v="43000"/>
    <s v="Online "/>
    <n v="43000"/>
    <x v="5"/>
  </r>
  <r>
    <n v="1106"/>
    <n v="66"/>
    <x v="21"/>
    <d v="2025-05-04T00:00:00"/>
    <x v="4"/>
    <x v="2"/>
    <x v="0"/>
    <x v="0"/>
    <n v="50000"/>
    <s v="Cash"/>
    <n v="50000"/>
    <x v="11"/>
  </r>
  <r>
    <n v="1107"/>
    <n v="74"/>
    <x v="45"/>
    <d v="2025-04-06T00:00:00"/>
    <x v="11"/>
    <x v="2"/>
    <x v="2"/>
    <x v="0"/>
    <n v="40000"/>
    <s v="card"/>
    <n v="80000"/>
    <x v="7"/>
  </r>
  <r>
    <n v="1108"/>
    <n v="112"/>
    <x v="16"/>
    <d v="2025-01-23T00:00:00"/>
    <x v="2"/>
    <x v="2"/>
    <x v="0"/>
    <x v="0"/>
    <n v="75000"/>
    <s v="Online"/>
    <n v="75000"/>
    <x v="0"/>
  </r>
  <r>
    <n v="1109"/>
    <n v="101"/>
    <x v="33"/>
    <d v="2025-06-26T00:00:00"/>
    <x v="3"/>
    <x v="1"/>
    <x v="1"/>
    <x v="0"/>
    <n v="60000"/>
    <s v="Cash"/>
    <n v="240000"/>
    <x v="2"/>
  </r>
  <r>
    <n v="1110"/>
    <n v="6"/>
    <x v="27"/>
    <d v="2025-10-07T00:00:00"/>
    <x v="7"/>
    <x v="0"/>
    <x v="1"/>
    <x v="0"/>
    <n v="65000"/>
    <s v="Online "/>
    <n v="260000"/>
    <x v="3"/>
  </r>
  <r>
    <n v="1111"/>
    <n v="24"/>
    <x v="13"/>
    <d v="2025-02-02T00:00:00"/>
    <x v="1"/>
    <x v="1"/>
    <x v="4"/>
    <x v="1"/>
    <n v="58000"/>
    <s v="Cash"/>
    <n v="-58000"/>
    <x v="6"/>
  </r>
  <r>
    <n v="1112"/>
    <n v="114"/>
    <x v="63"/>
    <d v="2025-11-06T00:00:00"/>
    <x v="9"/>
    <x v="1"/>
    <x v="1"/>
    <x v="0"/>
    <n v="50000"/>
    <s v="card"/>
    <n v="200000"/>
    <x v="1"/>
  </r>
  <r>
    <n v="1113"/>
    <n v="97"/>
    <x v="32"/>
    <d v="2025-08-04T00:00:00"/>
    <x v="8"/>
    <x v="1"/>
    <x v="7"/>
    <x v="1"/>
    <n v="30000"/>
    <s v="Online"/>
    <n v="-120000"/>
    <x v="4"/>
  </r>
  <r>
    <n v="1114"/>
    <n v="16"/>
    <x v="50"/>
    <d v="2025-12-08T00:00:00"/>
    <x v="7"/>
    <x v="0"/>
    <x v="2"/>
    <x v="0"/>
    <n v="65000"/>
    <s v="Online "/>
    <n v="130000"/>
    <x v="9"/>
  </r>
  <r>
    <n v="1115"/>
    <n v="64"/>
    <x v="50"/>
    <d v="2025-09-23T00:00:00"/>
    <x v="7"/>
    <x v="0"/>
    <x v="5"/>
    <x v="0"/>
    <n v="65000"/>
    <s v="Cash"/>
    <n v="195000"/>
    <x v="8"/>
  </r>
  <r>
    <n v="1116"/>
    <n v="106"/>
    <x v="12"/>
    <d v="2025-07-10T00:00:00"/>
    <x v="1"/>
    <x v="1"/>
    <x v="0"/>
    <x v="0"/>
    <n v="53000"/>
    <s v="Online"/>
    <n v="53000"/>
    <x v="10"/>
  </r>
  <r>
    <n v="1117"/>
    <n v="58"/>
    <x v="7"/>
    <d v="2025-07-08T00:00:00"/>
    <x v="4"/>
    <x v="2"/>
    <x v="0"/>
    <x v="0"/>
    <n v="50000"/>
    <s v="Cash"/>
    <n v="50000"/>
    <x v="10"/>
  </r>
  <r>
    <n v="1118"/>
    <n v="56"/>
    <x v="53"/>
    <d v="2025-11-24T00:00:00"/>
    <x v="0"/>
    <x v="0"/>
    <x v="5"/>
    <x v="0"/>
    <n v="62000"/>
    <s v="card"/>
    <n v="186000"/>
    <x v="1"/>
  </r>
  <r>
    <n v="1119"/>
    <n v="19"/>
    <x v="47"/>
    <d v="2025-12-14T00:00:00"/>
    <x v="4"/>
    <x v="2"/>
    <x v="0"/>
    <x v="0"/>
    <n v="45000"/>
    <s v="Online"/>
    <n v="45000"/>
    <x v="9"/>
  </r>
  <r>
    <n v="1120"/>
    <n v="50"/>
    <x v="24"/>
    <d v="2025-01-17T00:00:00"/>
    <x v="4"/>
    <x v="2"/>
    <x v="5"/>
    <x v="0"/>
    <n v="50000"/>
    <s v="card"/>
    <n v="150000"/>
    <x v="0"/>
  </r>
  <r>
    <n v="1121"/>
    <n v="98"/>
    <x v="62"/>
    <d v="2025-10-21T00:00:00"/>
    <x v="3"/>
    <x v="1"/>
    <x v="2"/>
    <x v="0"/>
    <n v="55000"/>
    <s v="Cash"/>
    <n v="110000"/>
    <x v="3"/>
  </r>
  <r>
    <n v="1122"/>
    <n v="60"/>
    <x v="43"/>
    <d v="2025-01-14T00:00:00"/>
    <x v="3"/>
    <x v="1"/>
    <x v="2"/>
    <x v="0"/>
    <n v="60000"/>
    <s v="Online"/>
    <n v="120000"/>
    <x v="0"/>
  </r>
  <r>
    <n v="1123"/>
    <n v="100"/>
    <x v="61"/>
    <d v="2025-12-27T00:00:00"/>
    <x v="0"/>
    <x v="0"/>
    <x v="2"/>
    <x v="0"/>
    <n v="62000"/>
    <s v="Cash"/>
    <n v="124000"/>
    <x v="9"/>
  </r>
  <r>
    <n v="1124"/>
    <n v="16"/>
    <x v="50"/>
    <d v="2025-02-07T00:00:00"/>
    <x v="1"/>
    <x v="1"/>
    <x v="5"/>
    <x v="0"/>
    <n v="58000"/>
    <s v="Online "/>
    <n v="174000"/>
    <x v="6"/>
  </r>
  <r>
    <n v="1125"/>
    <n v="45"/>
    <x v="55"/>
    <d v="2025-03-02T00:00:00"/>
    <x v="5"/>
    <x v="1"/>
    <x v="0"/>
    <x v="0"/>
    <n v="60000"/>
    <s v="Online"/>
    <n v="60000"/>
    <x v="5"/>
  </r>
  <r>
    <n v="1126"/>
    <n v="66"/>
    <x v="21"/>
    <d v="2025-03-04T00:00:00"/>
    <x v="10"/>
    <x v="1"/>
    <x v="0"/>
    <x v="0"/>
    <n v="48000"/>
    <s v="Cash"/>
    <n v="48000"/>
    <x v="5"/>
  </r>
  <r>
    <n v="1127"/>
    <n v="74"/>
    <x v="45"/>
    <d v="2025-08-28T00:00:00"/>
    <x v="7"/>
    <x v="0"/>
    <x v="2"/>
    <x v="0"/>
    <n v="60000"/>
    <s v="card"/>
    <n v="120000"/>
    <x v="4"/>
  </r>
  <r>
    <n v="1128"/>
    <n v="92"/>
    <x v="64"/>
    <d v="2025-03-09T00:00:00"/>
    <x v="5"/>
    <x v="1"/>
    <x v="1"/>
    <x v="0"/>
    <n v="60000"/>
    <s v="Cash"/>
    <n v="240000"/>
    <x v="5"/>
  </r>
  <r>
    <n v="1129"/>
    <n v="78"/>
    <x v="4"/>
    <d v="2025-11-25T00:00:00"/>
    <x v="7"/>
    <x v="0"/>
    <x v="2"/>
    <x v="0"/>
    <n v="70000"/>
    <s v="Cash"/>
    <n v="140000"/>
    <x v="1"/>
  </r>
  <r>
    <n v="1130"/>
    <n v="82"/>
    <x v="65"/>
    <d v="2025-04-04T00:00:00"/>
    <x v="4"/>
    <x v="2"/>
    <x v="2"/>
    <x v="0"/>
    <n v="45000"/>
    <s v="Online"/>
    <n v="90000"/>
    <x v="7"/>
  </r>
  <r>
    <n v="1131"/>
    <n v="22"/>
    <x v="66"/>
    <d v="2025-06-15T00:00:00"/>
    <x v="1"/>
    <x v="1"/>
    <x v="0"/>
    <x v="0"/>
    <n v="63000"/>
    <s v="Online"/>
    <n v="63000"/>
    <x v="2"/>
  </r>
  <r>
    <n v="1132"/>
    <n v="26"/>
    <x v="67"/>
    <d v="2025-10-10T00:00:00"/>
    <x v="8"/>
    <x v="1"/>
    <x v="5"/>
    <x v="0"/>
    <n v="35000"/>
    <s v="Cash"/>
    <n v="105000"/>
    <x v="3"/>
  </r>
  <r>
    <n v="1133"/>
    <n v="83"/>
    <x v="57"/>
    <d v="2025-10-31T00:00:00"/>
    <x v="1"/>
    <x v="1"/>
    <x v="0"/>
    <x v="0"/>
    <n v="63000"/>
    <s v="Cash"/>
    <n v="63000"/>
    <x v="3"/>
  </r>
  <r>
    <n v="1134"/>
    <n v="6"/>
    <x v="27"/>
    <d v="2025-11-02T00:00:00"/>
    <x v="9"/>
    <x v="1"/>
    <x v="5"/>
    <x v="0"/>
    <n v="45000"/>
    <s v="Cash"/>
    <n v="135000"/>
    <x v="1"/>
  </r>
  <r>
    <n v="1135"/>
    <n v="82"/>
    <x v="65"/>
    <d v="2025-12-09T00:00:00"/>
    <x v="9"/>
    <x v="1"/>
    <x v="5"/>
    <x v="0"/>
    <n v="45000"/>
    <s v="Online "/>
    <n v="135000"/>
    <x v="9"/>
  </r>
  <r>
    <n v="1136"/>
    <n v="52"/>
    <x v="10"/>
    <d v="2025-08-21T00:00:00"/>
    <x v="0"/>
    <x v="0"/>
    <x v="0"/>
    <x v="0"/>
    <n v="62000"/>
    <s v="card"/>
    <n v="62000"/>
    <x v="4"/>
  </r>
  <r>
    <n v="1137"/>
    <n v="27"/>
    <x v="68"/>
    <d v="2025-07-11T00:00:00"/>
    <x v="7"/>
    <x v="0"/>
    <x v="1"/>
    <x v="0"/>
    <n v="65000"/>
    <s v="card"/>
    <n v="260000"/>
    <x v="10"/>
  </r>
  <r>
    <n v="1138"/>
    <n v="17"/>
    <x v="40"/>
    <d v="2025-09-21T00:00:00"/>
    <x v="7"/>
    <x v="0"/>
    <x v="0"/>
    <x v="0"/>
    <n v="65000"/>
    <s v="Online"/>
    <n v="65000"/>
    <x v="8"/>
  </r>
  <r>
    <n v="1139"/>
    <n v="58"/>
    <x v="7"/>
    <d v="2025-03-14T00:00:00"/>
    <x v="10"/>
    <x v="1"/>
    <x v="0"/>
    <x v="0"/>
    <n v="48000"/>
    <s v="Cash"/>
    <n v="48000"/>
    <x v="5"/>
  </r>
  <r>
    <n v="1140"/>
    <n v="118"/>
    <x v="52"/>
    <d v="2025-06-17T00:00:00"/>
    <x v="1"/>
    <x v="1"/>
    <x v="0"/>
    <x v="0"/>
    <n v="58000"/>
    <s v="card"/>
    <n v="58000"/>
    <x v="2"/>
  </r>
  <r>
    <n v="1141"/>
    <n v="113"/>
    <x v="69"/>
    <d v="2025-09-12T00:00:00"/>
    <x v="0"/>
    <x v="0"/>
    <x v="2"/>
    <x v="0"/>
    <n v="67000"/>
    <s v="Cash"/>
    <n v="134000"/>
    <x v="8"/>
  </r>
  <r>
    <n v="1142"/>
    <n v="75"/>
    <x v="70"/>
    <d v="2025-01-25T00:00:00"/>
    <x v="7"/>
    <x v="0"/>
    <x v="2"/>
    <x v="0"/>
    <n v="70000"/>
    <s v="Online"/>
    <n v="140000"/>
    <x v="0"/>
  </r>
  <r>
    <n v="1143"/>
    <n v="69"/>
    <x v="60"/>
    <d v="2025-02-25T00:00:00"/>
    <x v="9"/>
    <x v="1"/>
    <x v="0"/>
    <x v="0"/>
    <n v="45000"/>
    <s v="card"/>
    <n v="45000"/>
    <x v="6"/>
  </r>
  <r>
    <n v="1144"/>
    <n v="52"/>
    <x v="10"/>
    <d v="2025-10-19T00:00:00"/>
    <x v="9"/>
    <x v="1"/>
    <x v="0"/>
    <x v="0"/>
    <n v="50000"/>
    <s v="card"/>
    <n v="50000"/>
    <x v="3"/>
  </r>
  <r>
    <n v="1145"/>
    <n v="65"/>
    <x v="41"/>
    <d v="2025-10-09T00:00:00"/>
    <x v="2"/>
    <x v="2"/>
    <x v="0"/>
    <x v="0"/>
    <n v="70000"/>
    <s v="Online"/>
    <n v="70000"/>
    <x v="3"/>
  </r>
  <r>
    <n v="1146"/>
    <n v="72"/>
    <x v="51"/>
    <d v="2025-03-15T00:00:00"/>
    <x v="7"/>
    <x v="0"/>
    <x v="2"/>
    <x v="0"/>
    <n v="60000"/>
    <s v="Cash"/>
    <n v="120000"/>
    <x v="5"/>
  </r>
  <r>
    <n v="1147"/>
    <n v="92"/>
    <x v="64"/>
    <d v="2025-08-31T00:00:00"/>
    <x v="7"/>
    <x v="0"/>
    <x v="0"/>
    <x v="0"/>
    <n v="70000"/>
    <s v="Online"/>
    <n v="70000"/>
    <x v="4"/>
  </r>
  <r>
    <n v="1148"/>
    <n v="120"/>
    <x v="71"/>
    <d v="2025-06-13T00:00:00"/>
    <x v="4"/>
    <x v="2"/>
    <x v="2"/>
    <x v="0"/>
    <n v="50000"/>
    <s v="Cash"/>
    <n v="100000"/>
    <x v="2"/>
  </r>
  <r>
    <n v="1149"/>
    <n v="107"/>
    <x v="20"/>
    <d v="2025-09-30T00:00:00"/>
    <x v="6"/>
    <x v="2"/>
    <x v="2"/>
    <x v="0"/>
    <n v="80000"/>
    <s v="Online "/>
    <n v="160000"/>
    <x v="8"/>
  </r>
  <r>
    <n v="1150"/>
    <n v="15"/>
    <x v="8"/>
    <d v="2025-10-26T00:00:00"/>
    <x v="11"/>
    <x v="2"/>
    <x v="2"/>
    <x v="0"/>
    <n v="40000"/>
    <s v="Online "/>
    <n v="80000"/>
    <x v="3"/>
  </r>
  <r>
    <n v="1151"/>
    <n v="7"/>
    <x v="44"/>
    <d v="2025-03-09T00:00:00"/>
    <x v="4"/>
    <x v="2"/>
    <x v="0"/>
    <x v="0"/>
    <n v="50000"/>
    <s v="Cash"/>
    <n v="50000"/>
    <x v="5"/>
  </r>
  <r>
    <n v="1152"/>
    <n v="3"/>
    <x v="72"/>
    <d v="2025-06-10T00:00:00"/>
    <x v="2"/>
    <x v="2"/>
    <x v="0"/>
    <x v="0"/>
    <n v="75000"/>
    <s v="Online "/>
    <n v="75000"/>
    <x v="2"/>
  </r>
  <r>
    <n v="1153"/>
    <n v="94"/>
    <x v="73"/>
    <d v="2025-12-28T00:00:00"/>
    <x v="9"/>
    <x v="1"/>
    <x v="2"/>
    <x v="0"/>
    <n v="45000"/>
    <s v="Cash"/>
    <n v="90000"/>
    <x v="9"/>
  </r>
  <r>
    <n v="1154"/>
    <n v="49"/>
    <x v="4"/>
    <d v="2025-03-30T00:00:00"/>
    <x v="7"/>
    <x v="0"/>
    <x v="2"/>
    <x v="0"/>
    <n v="65000"/>
    <s v="Cash"/>
    <n v="130000"/>
    <x v="5"/>
  </r>
  <r>
    <n v="1155"/>
    <n v="62"/>
    <x v="2"/>
    <d v="2025-07-05T00:00:00"/>
    <x v="10"/>
    <x v="1"/>
    <x v="0"/>
    <x v="0"/>
    <n v="48000"/>
    <s v="Online "/>
    <n v="48000"/>
    <x v="10"/>
  </r>
  <r>
    <n v="1156"/>
    <n v="91"/>
    <x v="74"/>
    <d v="2025-12-06T00:00:00"/>
    <x v="2"/>
    <x v="2"/>
    <x v="2"/>
    <x v="0"/>
    <n v="75000"/>
    <s v="Cash"/>
    <n v="150000"/>
    <x v="9"/>
  </r>
  <r>
    <n v="1157"/>
    <n v="87"/>
    <x v="71"/>
    <d v="2025-07-14T00:00:00"/>
    <x v="6"/>
    <x v="2"/>
    <x v="1"/>
    <x v="0"/>
    <n v="84857.142857142855"/>
    <s v="Online"/>
    <n v="339428.57142857142"/>
    <x v="10"/>
  </r>
  <r>
    <n v="1158"/>
    <n v="60"/>
    <x v="43"/>
    <d v="2025-10-02T00:00:00"/>
    <x v="5"/>
    <x v="1"/>
    <x v="5"/>
    <x v="0"/>
    <n v="60000"/>
    <s v="Cash"/>
    <n v="180000"/>
    <x v="3"/>
  </r>
  <r>
    <n v="1159"/>
    <n v="26"/>
    <x v="67"/>
    <d v="2025-05-19T00:00:00"/>
    <x v="6"/>
    <x v="2"/>
    <x v="0"/>
    <x v="0"/>
    <n v="80000"/>
    <s v="Cash"/>
    <n v="80000"/>
    <x v="11"/>
  </r>
  <r>
    <n v="1160"/>
    <n v="7"/>
    <x v="44"/>
    <d v="2025-09-29T00:00:00"/>
    <x v="8"/>
    <x v="1"/>
    <x v="0"/>
    <x v="0"/>
    <n v="30000"/>
    <s v="Online "/>
    <n v="30000"/>
    <x v="8"/>
  </r>
  <r>
    <n v="1161"/>
    <n v="61"/>
    <x v="25"/>
    <d v="2025-12-15T00:00:00"/>
    <x v="3"/>
    <x v="1"/>
    <x v="2"/>
    <x v="0"/>
    <n v="55000"/>
    <s v="card"/>
    <n v="110000"/>
    <x v="9"/>
  </r>
  <r>
    <n v="1162"/>
    <n v="84"/>
    <x v="75"/>
    <d v="2025-05-28T00:00:00"/>
    <x v="10"/>
    <x v="1"/>
    <x v="5"/>
    <x v="0"/>
    <n v="43000"/>
    <s v="Cash"/>
    <n v="129000"/>
    <x v="11"/>
  </r>
  <r>
    <n v="1163"/>
    <n v="95"/>
    <x v="11"/>
    <d v="2025-01-20T00:00:00"/>
    <x v="5"/>
    <x v="1"/>
    <x v="1"/>
    <x v="0"/>
    <n v="60000"/>
    <s v="card"/>
    <n v="240000"/>
    <x v="0"/>
  </r>
  <r>
    <n v="1164"/>
    <n v="24"/>
    <x v="13"/>
    <d v="2025-05-29T00:00:00"/>
    <x v="5"/>
    <x v="1"/>
    <x v="0"/>
    <x v="0"/>
    <n v="65000"/>
    <s v="Online"/>
    <n v="65000"/>
    <x v="11"/>
  </r>
  <r>
    <n v="1165"/>
    <n v="37"/>
    <x v="22"/>
    <d v="2025-11-25T00:00:00"/>
    <x v="2"/>
    <x v="2"/>
    <x v="0"/>
    <x v="0"/>
    <n v="80000"/>
    <s v="Cash"/>
    <n v="80000"/>
    <x v="1"/>
  </r>
  <r>
    <n v="1166"/>
    <n v="104"/>
    <x v="76"/>
    <d v="2025-06-19T00:00:00"/>
    <x v="3"/>
    <x v="1"/>
    <x v="0"/>
    <x v="0"/>
    <n v="55000"/>
    <s v="card"/>
    <n v="55000"/>
    <x v="2"/>
  </r>
  <r>
    <n v="1167"/>
    <n v="95"/>
    <x v="11"/>
    <d v="2025-06-01T00:00:00"/>
    <x v="7"/>
    <x v="0"/>
    <x v="0"/>
    <x v="0"/>
    <n v="70000"/>
    <s v="Unknown"/>
    <n v="70000"/>
    <x v="2"/>
  </r>
  <r>
    <n v="1168"/>
    <n v="66"/>
    <x v="21"/>
    <d v="2025-02-14T00:00:00"/>
    <x v="7"/>
    <x v="0"/>
    <x v="0"/>
    <x v="0"/>
    <n v="65000"/>
    <s v="Cash"/>
    <n v="65000"/>
    <x v="6"/>
  </r>
  <r>
    <n v="1169"/>
    <n v="1"/>
    <x v="77"/>
    <d v="2025-07-16T00:00:00"/>
    <x v="0"/>
    <x v="0"/>
    <x v="1"/>
    <x v="0"/>
    <n v="62000"/>
    <s v="Cash"/>
    <n v="248000"/>
    <x v="10"/>
  </r>
  <r>
    <n v="1170"/>
    <n v="93"/>
    <x v="78"/>
    <d v="2025-06-01T00:00:00"/>
    <x v="4"/>
    <x v="2"/>
    <x v="5"/>
    <x v="0"/>
    <n v="50000"/>
    <s v="card"/>
    <n v="150000"/>
    <x v="2"/>
  </r>
  <r>
    <n v="1171"/>
    <n v="40"/>
    <x v="79"/>
    <d v="2025-07-27T00:00:00"/>
    <x v="1"/>
    <x v="1"/>
    <x v="5"/>
    <x v="0"/>
    <n v="53000"/>
    <s v="Online"/>
    <n v="159000"/>
    <x v="10"/>
  </r>
  <r>
    <n v="1172"/>
    <n v="79"/>
    <x v="37"/>
    <d v="2025-04-23T00:00:00"/>
    <x v="10"/>
    <x v="1"/>
    <x v="4"/>
    <x v="1"/>
    <n v="48000"/>
    <s v="card"/>
    <n v="-48000"/>
    <x v="7"/>
  </r>
  <r>
    <n v="1173"/>
    <n v="90"/>
    <x v="46"/>
    <d v="2025-08-30T00:00:00"/>
    <x v="6"/>
    <x v="2"/>
    <x v="1"/>
    <x v="0"/>
    <n v="85000"/>
    <s v="Cash"/>
    <n v="340000"/>
    <x v="4"/>
  </r>
  <r>
    <n v="1174"/>
    <n v="58"/>
    <x v="7"/>
    <d v="2025-12-27T00:00:00"/>
    <x v="6"/>
    <x v="2"/>
    <x v="2"/>
    <x v="0"/>
    <n v="80000"/>
    <s v="Cash"/>
    <n v="160000"/>
    <x v="9"/>
  </r>
  <r>
    <n v="1175"/>
    <n v="69"/>
    <x v="60"/>
    <d v="2025-03-26T00:00:00"/>
    <x v="1"/>
    <x v="1"/>
    <x v="0"/>
    <x v="0"/>
    <n v="58000"/>
    <s v="card"/>
    <n v="58000"/>
    <x v="5"/>
  </r>
  <r>
    <n v="1176"/>
    <n v="116"/>
    <x v="76"/>
    <d v="2025-08-17T00:00:00"/>
    <x v="6"/>
    <x v="2"/>
    <x v="0"/>
    <x v="0"/>
    <n v="90000"/>
    <s v="Cash"/>
    <n v="90000"/>
    <x v="4"/>
  </r>
  <r>
    <n v="1177"/>
    <n v="8"/>
    <x v="1"/>
    <d v="2025-08-25T00:00:00"/>
    <x v="6"/>
    <x v="2"/>
    <x v="5"/>
    <x v="0"/>
    <n v="80000"/>
    <s v="card"/>
    <n v="240000"/>
    <x v="4"/>
  </r>
  <r>
    <n v="1178"/>
    <n v="96"/>
    <x v="1"/>
    <d v="2025-10-24T00:00:00"/>
    <x v="10"/>
    <x v="1"/>
    <x v="2"/>
    <x v="0"/>
    <n v="48000"/>
    <s v="Cash"/>
    <n v="96000"/>
    <x v="3"/>
  </r>
  <r>
    <n v="1179"/>
    <n v="8"/>
    <x v="1"/>
    <d v="2025-08-30T00:00:00"/>
    <x v="3"/>
    <x v="1"/>
    <x v="2"/>
    <x v="0"/>
    <n v="55000"/>
    <s v="Online"/>
    <n v="110000"/>
    <x v="4"/>
  </r>
  <r>
    <n v="1180"/>
    <n v="115"/>
    <x v="80"/>
    <d v="2025-08-18T00:00:00"/>
    <x v="11"/>
    <x v="2"/>
    <x v="0"/>
    <x v="0"/>
    <n v="45000"/>
    <s v="card"/>
    <n v="45000"/>
    <x v="4"/>
  </r>
  <r>
    <n v="1181"/>
    <n v="23"/>
    <x v="0"/>
    <d v="2025-07-21T00:00:00"/>
    <x v="6"/>
    <x v="2"/>
    <x v="5"/>
    <x v="0"/>
    <n v="85000"/>
    <s v="Online"/>
    <n v="255000"/>
    <x v="10"/>
  </r>
  <r>
    <n v="1182"/>
    <n v="60"/>
    <x v="43"/>
    <d v="2025-06-10T00:00:00"/>
    <x v="8"/>
    <x v="1"/>
    <x v="1"/>
    <x v="0"/>
    <n v="35000"/>
    <s v="Online"/>
    <n v="140000"/>
    <x v="2"/>
  </r>
  <r>
    <n v="1183"/>
    <n v="20"/>
    <x v="48"/>
    <d v="2025-04-07T00:00:00"/>
    <x v="0"/>
    <x v="0"/>
    <x v="0"/>
    <x v="0"/>
    <n v="62000"/>
    <s v="Cash"/>
    <n v="62000"/>
    <x v="7"/>
  </r>
  <r>
    <n v="1184"/>
    <n v="27"/>
    <x v="68"/>
    <d v="2025-02-21T00:00:00"/>
    <x v="3"/>
    <x v="1"/>
    <x v="2"/>
    <x v="0"/>
    <n v="60000"/>
    <s v="Cash"/>
    <n v="120000"/>
    <x v="6"/>
  </r>
  <r>
    <n v="1185"/>
    <n v="95"/>
    <x v="11"/>
    <d v="2025-07-25T00:00:00"/>
    <x v="9"/>
    <x v="1"/>
    <x v="2"/>
    <x v="0"/>
    <n v="45000"/>
    <s v="Cash"/>
    <n v="90000"/>
    <x v="10"/>
  </r>
  <r>
    <n v="1186"/>
    <n v="38"/>
    <x v="31"/>
    <d v="2025-10-22T00:00:00"/>
    <x v="10"/>
    <x v="1"/>
    <x v="0"/>
    <x v="0"/>
    <n v="48000"/>
    <s v="card"/>
    <n v="48000"/>
    <x v="3"/>
  </r>
  <r>
    <n v="1187"/>
    <n v="39"/>
    <x v="5"/>
    <d v="2025-02-01T00:00:00"/>
    <x v="0"/>
    <x v="0"/>
    <x v="5"/>
    <x v="0"/>
    <n v="62000"/>
    <s v="card"/>
    <n v="186000"/>
    <x v="6"/>
  </r>
  <r>
    <n v="1188"/>
    <n v="78"/>
    <x v="4"/>
    <d v="2025-11-26T00:00:00"/>
    <x v="7"/>
    <x v="0"/>
    <x v="1"/>
    <x v="0"/>
    <n v="70000"/>
    <s v="Unknown"/>
    <n v="280000"/>
    <x v="1"/>
  </r>
  <r>
    <n v="1189"/>
    <n v="20"/>
    <x v="48"/>
    <d v="2025-12-07T00:00:00"/>
    <x v="0"/>
    <x v="0"/>
    <x v="0"/>
    <x v="0"/>
    <n v="62000"/>
    <s v="Unknown"/>
    <n v="62000"/>
    <x v="9"/>
  </r>
  <r>
    <n v="1190"/>
    <n v="118"/>
    <x v="52"/>
    <d v="2025-10-15T00:00:00"/>
    <x v="9"/>
    <x v="1"/>
    <x v="2"/>
    <x v="0"/>
    <n v="50000"/>
    <s v="Cash"/>
    <n v="100000"/>
    <x v="3"/>
  </r>
  <r>
    <n v="1191"/>
    <n v="33"/>
    <x v="30"/>
    <d v="2025-06-19T00:00:00"/>
    <x v="10"/>
    <x v="1"/>
    <x v="2"/>
    <x v="0"/>
    <n v="48000"/>
    <s v="card"/>
    <n v="96000"/>
    <x v="2"/>
  </r>
  <r>
    <n v="1192"/>
    <n v="35"/>
    <x v="81"/>
    <d v="2025-12-11T00:00:00"/>
    <x v="11"/>
    <x v="2"/>
    <x v="1"/>
    <x v="0"/>
    <n v="35000"/>
    <s v="card"/>
    <n v="140000"/>
    <x v="9"/>
  </r>
  <r>
    <n v="1193"/>
    <n v="27"/>
    <x v="68"/>
    <d v="2025-06-05T00:00:00"/>
    <x v="7"/>
    <x v="0"/>
    <x v="0"/>
    <x v="0"/>
    <n v="60000"/>
    <s v="Cash"/>
    <n v="60000"/>
    <x v="2"/>
  </r>
  <r>
    <n v="1194"/>
    <n v="90"/>
    <x v="46"/>
    <d v="2025-12-27T00:00:00"/>
    <x v="4"/>
    <x v="2"/>
    <x v="0"/>
    <x v="0"/>
    <n v="55000"/>
    <s v="card"/>
    <n v="55000"/>
    <x v="9"/>
  </r>
  <r>
    <n v="1195"/>
    <n v="60"/>
    <x v="43"/>
    <d v="2025-11-29T00:00:00"/>
    <x v="6"/>
    <x v="2"/>
    <x v="0"/>
    <x v="0"/>
    <n v="84857.142857142855"/>
    <s v="card"/>
    <n v="84857.142857142855"/>
    <x v="1"/>
  </r>
  <r>
    <n v="1196"/>
    <n v="13"/>
    <x v="38"/>
    <d v="2025-08-29T00:00:00"/>
    <x v="5"/>
    <x v="1"/>
    <x v="0"/>
    <x v="0"/>
    <n v="60000"/>
    <s v="Cash"/>
    <n v="60000"/>
    <x v="4"/>
  </r>
  <r>
    <n v="1197"/>
    <n v="111"/>
    <x v="6"/>
    <d v="2025-03-16T00:00:00"/>
    <x v="10"/>
    <x v="1"/>
    <x v="2"/>
    <x v="0"/>
    <n v="53000"/>
    <s v="Online"/>
    <n v="106000"/>
    <x v="5"/>
  </r>
  <r>
    <n v="1198"/>
    <n v="20"/>
    <x v="48"/>
    <d v="2025-06-18T00:00:00"/>
    <x v="10"/>
    <x v="1"/>
    <x v="2"/>
    <x v="0"/>
    <n v="48000"/>
    <s v="Online"/>
    <n v="96000"/>
    <x v="2"/>
  </r>
  <r>
    <n v="1199"/>
    <n v="98"/>
    <x v="62"/>
    <d v="2025-11-25T00:00:00"/>
    <x v="2"/>
    <x v="2"/>
    <x v="2"/>
    <x v="0"/>
    <n v="75000"/>
    <s v="Cash"/>
    <n v="150000"/>
    <x v="1"/>
  </r>
  <r>
    <n v="1200"/>
    <n v="18"/>
    <x v="35"/>
    <d v="2025-10-07T00:00:00"/>
    <x v="5"/>
    <x v="1"/>
    <x v="2"/>
    <x v="0"/>
    <n v="55000"/>
    <s v="card"/>
    <n v="110000"/>
    <x v="3"/>
  </r>
  <r>
    <n v="1201"/>
    <n v="96"/>
    <x v="1"/>
    <d v="2025-01-25T00:00:00"/>
    <x v="8"/>
    <x v="1"/>
    <x v="0"/>
    <x v="0"/>
    <n v="35000"/>
    <s v="card"/>
    <n v="35000"/>
    <x v="0"/>
  </r>
  <r>
    <n v="1202"/>
    <n v="28"/>
    <x v="82"/>
    <d v="2025-08-22T00:00:00"/>
    <x v="6"/>
    <x v="2"/>
    <x v="2"/>
    <x v="0"/>
    <n v="90000"/>
    <s v="card"/>
    <n v="180000"/>
    <x v="4"/>
  </r>
  <r>
    <n v="1203"/>
    <n v="1"/>
    <x v="77"/>
    <d v="2025-10-10T00:00:00"/>
    <x v="6"/>
    <x v="2"/>
    <x v="0"/>
    <x v="0"/>
    <n v="90000"/>
    <s v="Cash"/>
    <n v="90000"/>
    <x v="3"/>
  </r>
  <r>
    <n v="1204"/>
    <n v="37"/>
    <x v="22"/>
    <d v="2025-09-15T00:00:00"/>
    <x v="9"/>
    <x v="1"/>
    <x v="1"/>
    <x v="0"/>
    <n v="45000"/>
    <s v="Cash"/>
    <n v="180000"/>
    <x v="8"/>
  </r>
  <r>
    <n v="1205"/>
    <n v="20"/>
    <x v="48"/>
    <d v="2025-09-04T00:00:00"/>
    <x v="10"/>
    <x v="1"/>
    <x v="1"/>
    <x v="0"/>
    <n v="48000"/>
    <s v="card"/>
    <n v="192000"/>
    <x v="8"/>
  </r>
  <r>
    <n v="1206"/>
    <n v="48"/>
    <x v="58"/>
    <d v="2025-08-24T00:00:00"/>
    <x v="11"/>
    <x v="2"/>
    <x v="5"/>
    <x v="0"/>
    <n v="40000"/>
    <s v="Online "/>
    <n v="120000"/>
    <x v="4"/>
  </r>
  <r>
    <n v="1207"/>
    <n v="110"/>
    <x v="83"/>
    <d v="2025-01-17T00:00:00"/>
    <x v="8"/>
    <x v="1"/>
    <x v="2"/>
    <x v="0"/>
    <n v="35000"/>
    <s v="card"/>
    <n v="70000"/>
    <x v="0"/>
  </r>
  <r>
    <n v="1208"/>
    <n v="82"/>
    <x v="65"/>
    <d v="2025-12-26T00:00:00"/>
    <x v="9"/>
    <x v="1"/>
    <x v="2"/>
    <x v="0"/>
    <n v="45000"/>
    <s v="Cash"/>
    <n v="90000"/>
    <x v="9"/>
  </r>
  <r>
    <n v="1209"/>
    <n v="110"/>
    <x v="83"/>
    <d v="2025-09-28T00:00:00"/>
    <x v="3"/>
    <x v="1"/>
    <x v="0"/>
    <x v="0"/>
    <n v="60000"/>
    <s v="card"/>
    <n v="60000"/>
    <x v="8"/>
  </r>
  <r>
    <n v="1210"/>
    <n v="119"/>
    <x v="56"/>
    <d v="2025-12-17T00:00:00"/>
    <x v="3"/>
    <x v="1"/>
    <x v="0"/>
    <x v="0"/>
    <n v="55000"/>
    <s v="Cash"/>
    <n v="55000"/>
    <x v="9"/>
  </r>
  <r>
    <n v="1211"/>
    <n v="19"/>
    <x v="47"/>
    <d v="2025-07-23T00:00:00"/>
    <x v="5"/>
    <x v="1"/>
    <x v="0"/>
    <x v="0"/>
    <n v="65000"/>
    <s v="Online "/>
    <n v="65000"/>
    <x v="10"/>
  </r>
  <r>
    <n v="1212"/>
    <n v="115"/>
    <x v="80"/>
    <d v="2025-06-19T00:00:00"/>
    <x v="6"/>
    <x v="2"/>
    <x v="1"/>
    <x v="0"/>
    <n v="80000"/>
    <s v="card"/>
    <n v="320000"/>
    <x v="2"/>
  </r>
  <r>
    <n v="1213"/>
    <n v="13"/>
    <x v="38"/>
    <d v="2025-04-29T00:00:00"/>
    <x v="11"/>
    <x v="2"/>
    <x v="2"/>
    <x v="0"/>
    <n v="45000"/>
    <s v="Online"/>
    <n v="90000"/>
    <x v="7"/>
  </r>
  <r>
    <n v="1214"/>
    <n v="4"/>
    <x v="18"/>
    <d v="2025-05-20T00:00:00"/>
    <x v="8"/>
    <x v="1"/>
    <x v="0"/>
    <x v="0"/>
    <n v="35000"/>
    <s v="card"/>
    <n v="35000"/>
    <x v="11"/>
  </r>
  <r>
    <n v="1215"/>
    <n v="24"/>
    <x v="13"/>
    <d v="2025-10-27T00:00:00"/>
    <x v="8"/>
    <x v="1"/>
    <x v="0"/>
    <x v="0"/>
    <n v="35000"/>
    <s v="Online "/>
    <n v="35000"/>
    <x v="3"/>
  </r>
  <r>
    <n v="1216"/>
    <n v="10"/>
    <x v="84"/>
    <d v="2025-05-18T00:00:00"/>
    <x v="3"/>
    <x v="1"/>
    <x v="5"/>
    <x v="0"/>
    <n v="55000"/>
    <s v="Online"/>
    <n v="165000"/>
    <x v="11"/>
  </r>
  <r>
    <n v="1217"/>
    <n v="47"/>
    <x v="59"/>
    <d v="2025-02-16T00:00:00"/>
    <x v="3"/>
    <x v="1"/>
    <x v="2"/>
    <x v="0"/>
    <n v="55000"/>
    <s v="Cash"/>
    <n v="110000"/>
    <x v="6"/>
  </r>
  <r>
    <n v="1218"/>
    <n v="12"/>
    <x v="42"/>
    <d v="2025-09-08T00:00:00"/>
    <x v="1"/>
    <x v="1"/>
    <x v="0"/>
    <x v="0"/>
    <n v="53000"/>
    <s v="Unknown"/>
    <n v="53000"/>
    <x v="8"/>
  </r>
  <r>
    <n v="1219"/>
    <n v="12"/>
    <x v="42"/>
    <d v="2025-03-11T00:00:00"/>
    <x v="4"/>
    <x v="2"/>
    <x v="0"/>
    <x v="0"/>
    <n v="50000"/>
    <s v="card"/>
    <n v="50000"/>
    <x v="5"/>
  </r>
  <r>
    <n v="1220"/>
    <n v="93"/>
    <x v="78"/>
    <d v="2025-05-05T00:00:00"/>
    <x v="6"/>
    <x v="2"/>
    <x v="5"/>
    <x v="0"/>
    <n v="85000"/>
    <s v="Online"/>
    <n v="255000"/>
    <x v="11"/>
  </r>
  <r>
    <n v="1221"/>
    <n v="39"/>
    <x v="5"/>
    <d v="2025-09-10T00:00:00"/>
    <x v="0"/>
    <x v="0"/>
    <x v="0"/>
    <x v="0"/>
    <n v="62000"/>
    <s v="Unknown"/>
    <n v="62000"/>
    <x v="8"/>
  </r>
  <r>
    <n v="1222"/>
    <n v="62"/>
    <x v="2"/>
    <d v="2025-07-04T00:00:00"/>
    <x v="3"/>
    <x v="1"/>
    <x v="5"/>
    <x v="0"/>
    <n v="55000"/>
    <s v="card"/>
    <n v="165000"/>
    <x v="10"/>
  </r>
  <r>
    <n v="1223"/>
    <n v="14"/>
    <x v="85"/>
    <d v="2025-05-06T00:00:00"/>
    <x v="1"/>
    <x v="1"/>
    <x v="0"/>
    <x v="0"/>
    <n v="63000"/>
    <s v="card"/>
    <n v="63000"/>
    <x v="11"/>
  </r>
  <r>
    <n v="1224"/>
    <n v="43"/>
    <x v="23"/>
    <d v="2025-11-30T00:00:00"/>
    <x v="11"/>
    <x v="2"/>
    <x v="0"/>
    <x v="0"/>
    <n v="40428.571428571428"/>
    <s v="card"/>
    <n v="40428.571428571428"/>
    <x v="1"/>
  </r>
  <r>
    <n v="1225"/>
    <n v="41"/>
    <x v="86"/>
    <d v="2025-07-23T00:00:00"/>
    <x v="1"/>
    <x v="1"/>
    <x v="5"/>
    <x v="0"/>
    <n v="58000"/>
    <s v="Online"/>
    <n v="174000"/>
    <x v="10"/>
  </r>
  <r>
    <n v="1226"/>
    <n v="49"/>
    <x v="4"/>
    <d v="2025-07-21T00:00:00"/>
    <x v="0"/>
    <x v="0"/>
    <x v="2"/>
    <x v="0"/>
    <n v="62000"/>
    <s v="Online "/>
    <n v="124000"/>
    <x v="10"/>
  </r>
  <r>
    <n v="1227"/>
    <n v="99"/>
    <x v="87"/>
    <d v="2025-01-14T00:00:00"/>
    <x v="6"/>
    <x v="2"/>
    <x v="5"/>
    <x v="0"/>
    <n v="85000"/>
    <s v="Online "/>
    <n v="255000"/>
    <x v="0"/>
  </r>
  <r>
    <n v="1228"/>
    <n v="9"/>
    <x v="88"/>
    <d v="2025-12-11T00:00:00"/>
    <x v="11"/>
    <x v="2"/>
    <x v="0"/>
    <x v="0"/>
    <n v="40000"/>
    <s v="Online "/>
    <n v="40000"/>
    <x v="9"/>
  </r>
  <r>
    <n v="1229"/>
    <n v="20"/>
    <x v="48"/>
    <d v="2025-08-05T00:00:00"/>
    <x v="5"/>
    <x v="1"/>
    <x v="2"/>
    <x v="0"/>
    <n v="65000"/>
    <s v="Cash"/>
    <n v="130000"/>
    <x v="4"/>
  </r>
  <r>
    <n v="1230"/>
    <n v="65"/>
    <x v="41"/>
    <d v="2025-08-03T00:00:00"/>
    <x v="5"/>
    <x v="1"/>
    <x v="1"/>
    <x v="0"/>
    <n v="59954.128440366971"/>
    <s v="card"/>
    <n v="239816.51376146788"/>
    <x v="4"/>
  </r>
  <r>
    <n v="1231"/>
    <n v="99"/>
    <x v="87"/>
    <d v="2025-03-12T00:00:00"/>
    <x v="10"/>
    <x v="1"/>
    <x v="0"/>
    <x v="0"/>
    <n v="53000"/>
    <s v="Online"/>
    <n v="53000"/>
    <x v="5"/>
  </r>
  <r>
    <n v="1232"/>
    <n v="118"/>
    <x v="52"/>
    <d v="2025-02-24T00:00:00"/>
    <x v="11"/>
    <x v="2"/>
    <x v="0"/>
    <x v="0"/>
    <n v="40000"/>
    <s v="card"/>
    <n v="40000"/>
    <x v="6"/>
  </r>
  <r>
    <n v="1233"/>
    <n v="48"/>
    <x v="58"/>
    <d v="2025-08-26T00:00:00"/>
    <x v="11"/>
    <x v="2"/>
    <x v="0"/>
    <x v="0"/>
    <n v="35000"/>
    <s v="Online"/>
    <n v="35000"/>
    <x v="4"/>
  </r>
  <r>
    <n v="1234"/>
    <n v="54"/>
    <x v="89"/>
    <d v="2025-03-01T00:00:00"/>
    <x v="3"/>
    <x v="1"/>
    <x v="0"/>
    <x v="0"/>
    <n v="55000"/>
    <s v="Cash"/>
    <n v="55000"/>
    <x v="5"/>
  </r>
  <r>
    <n v="1235"/>
    <n v="67"/>
    <x v="90"/>
    <d v="2025-06-28T00:00:00"/>
    <x v="2"/>
    <x v="2"/>
    <x v="2"/>
    <x v="0"/>
    <n v="75000"/>
    <s v="Online"/>
    <n v="150000"/>
    <x v="2"/>
  </r>
  <r>
    <n v="1236"/>
    <n v="6"/>
    <x v="27"/>
    <d v="2025-02-28T00:00:00"/>
    <x v="5"/>
    <x v="1"/>
    <x v="5"/>
    <x v="0"/>
    <n v="55000"/>
    <s v="Online "/>
    <n v="165000"/>
    <x v="6"/>
  </r>
  <r>
    <n v="1237"/>
    <n v="32"/>
    <x v="4"/>
    <d v="2025-03-31T00:00:00"/>
    <x v="6"/>
    <x v="2"/>
    <x v="0"/>
    <x v="0"/>
    <n v="90000"/>
    <s v="Cash"/>
    <n v="90000"/>
    <x v="5"/>
  </r>
  <r>
    <n v="1238"/>
    <n v="103"/>
    <x v="91"/>
    <d v="2025-11-19T00:00:00"/>
    <x v="11"/>
    <x v="2"/>
    <x v="5"/>
    <x v="0"/>
    <n v="40000"/>
    <s v="Online "/>
    <n v="120000"/>
    <x v="1"/>
  </r>
  <r>
    <n v="1240"/>
    <n v="36"/>
    <x v="92"/>
    <d v="2025-02-02T00:00:00"/>
    <x v="5"/>
    <x v="1"/>
    <x v="1"/>
    <x v="0"/>
    <n v="65000"/>
    <s v="Online"/>
    <n v="260000"/>
    <x v="6"/>
  </r>
  <r>
    <n v="1241"/>
    <n v="26"/>
    <x v="67"/>
    <d v="2025-02-28T00:00:00"/>
    <x v="2"/>
    <x v="2"/>
    <x v="2"/>
    <x v="0"/>
    <n v="75000"/>
    <s v="Cash"/>
    <n v="150000"/>
    <x v="6"/>
  </r>
  <r>
    <n v="1242"/>
    <n v="51"/>
    <x v="93"/>
    <d v="2025-02-28T00:00:00"/>
    <x v="4"/>
    <x v="2"/>
    <x v="1"/>
    <x v="0"/>
    <n v="50000"/>
    <s v="Online "/>
    <n v="200000"/>
    <x v="6"/>
  </r>
  <r>
    <n v="1243"/>
    <n v="91"/>
    <x v="74"/>
    <d v="2025-11-11T00:00:00"/>
    <x v="0"/>
    <x v="0"/>
    <x v="5"/>
    <x v="0"/>
    <n v="62000"/>
    <s v="Cash"/>
    <n v="186000"/>
    <x v="1"/>
  </r>
  <r>
    <n v="1244"/>
    <n v="40"/>
    <x v="79"/>
    <d v="2025-04-04T00:00:00"/>
    <x v="3"/>
    <x v="1"/>
    <x v="0"/>
    <x v="0"/>
    <n v="55000"/>
    <s v="Cash"/>
    <n v="55000"/>
    <x v="7"/>
  </r>
  <r>
    <n v="1245"/>
    <n v="50"/>
    <x v="24"/>
    <d v="2025-04-06T00:00:00"/>
    <x v="11"/>
    <x v="2"/>
    <x v="2"/>
    <x v="0"/>
    <n v="40000"/>
    <s v="Cash"/>
    <n v="80000"/>
    <x v="7"/>
  </r>
  <r>
    <n v="1246"/>
    <n v="24"/>
    <x v="13"/>
    <d v="2025-08-19T00:00:00"/>
    <x v="7"/>
    <x v="0"/>
    <x v="1"/>
    <x v="0"/>
    <n v="65000"/>
    <s v="Cash"/>
    <n v="260000"/>
    <x v="4"/>
  </r>
  <r>
    <n v="1247"/>
    <n v="25"/>
    <x v="94"/>
    <d v="2025-10-15T00:00:00"/>
    <x v="11"/>
    <x v="2"/>
    <x v="2"/>
    <x v="0"/>
    <n v="40000"/>
    <s v="card"/>
    <n v="80000"/>
    <x v="3"/>
  </r>
  <r>
    <n v="1248"/>
    <n v="22"/>
    <x v="66"/>
    <d v="2025-10-17T00:00:00"/>
    <x v="3"/>
    <x v="1"/>
    <x v="0"/>
    <x v="0"/>
    <n v="50000"/>
    <s v="Cash"/>
    <n v="50000"/>
    <x v="3"/>
  </r>
  <r>
    <n v="1249"/>
    <n v="37"/>
    <x v="22"/>
    <d v="2025-08-23T00:00:00"/>
    <x v="1"/>
    <x v="1"/>
    <x v="2"/>
    <x v="0"/>
    <n v="63000"/>
    <s v="Online"/>
    <n v="126000"/>
    <x v="4"/>
  </r>
  <r>
    <n v="1250"/>
    <n v="100"/>
    <x v="61"/>
    <d v="2025-07-07T00:00:00"/>
    <x v="6"/>
    <x v="2"/>
    <x v="1"/>
    <x v="0"/>
    <n v="85000"/>
    <s v="card"/>
    <n v="340000"/>
    <x v="10"/>
  </r>
  <r>
    <n v="1251"/>
    <n v="14"/>
    <x v="85"/>
    <d v="2025-01-12T00:00:00"/>
    <x v="5"/>
    <x v="1"/>
    <x v="1"/>
    <x v="0"/>
    <n v="55000"/>
    <s v="Online"/>
    <n v="220000"/>
    <x v="0"/>
  </r>
  <r>
    <n v="1252"/>
    <n v="111"/>
    <x v="6"/>
    <d v="2025-08-13T00:00:00"/>
    <x v="3"/>
    <x v="1"/>
    <x v="0"/>
    <x v="0"/>
    <n v="60000"/>
    <s v="Unknown"/>
    <n v="60000"/>
    <x v="4"/>
  </r>
  <r>
    <n v="1253"/>
    <n v="79"/>
    <x v="37"/>
    <d v="2025-08-08T00:00:00"/>
    <x v="8"/>
    <x v="1"/>
    <x v="1"/>
    <x v="0"/>
    <n v="35000"/>
    <s v="Cash"/>
    <n v="140000"/>
    <x v="4"/>
  </r>
  <r>
    <n v="1254"/>
    <n v="45"/>
    <x v="55"/>
    <d v="2025-05-24T00:00:00"/>
    <x v="6"/>
    <x v="2"/>
    <x v="0"/>
    <x v="0"/>
    <n v="85000"/>
    <s v="Cash"/>
    <n v="85000"/>
    <x v="11"/>
  </r>
  <r>
    <n v="1255"/>
    <n v="116"/>
    <x v="76"/>
    <d v="2025-02-18T00:00:00"/>
    <x v="8"/>
    <x v="1"/>
    <x v="0"/>
    <x v="0"/>
    <n v="35000"/>
    <s v="Online "/>
    <n v="35000"/>
    <x v="6"/>
  </r>
  <r>
    <n v="1256"/>
    <n v="111"/>
    <x v="6"/>
    <d v="2025-08-05T00:00:00"/>
    <x v="1"/>
    <x v="1"/>
    <x v="1"/>
    <x v="0"/>
    <n v="58000"/>
    <s v="card"/>
    <n v="232000"/>
    <x v="4"/>
  </r>
  <r>
    <n v="1257"/>
    <n v="19"/>
    <x v="47"/>
    <d v="2025-11-20T00:00:00"/>
    <x v="4"/>
    <x v="2"/>
    <x v="2"/>
    <x v="0"/>
    <n v="50000"/>
    <s v="card"/>
    <n v="100000"/>
    <x v="1"/>
  </r>
  <r>
    <n v="1258"/>
    <n v="66"/>
    <x v="21"/>
    <d v="2025-05-23T00:00:00"/>
    <x v="5"/>
    <x v="1"/>
    <x v="2"/>
    <x v="0"/>
    <n v="60000"/>
    <s v="Online "/>
    <n v="120000"/>
    <x v="11"/>
  </r>
  <r>
    <n v="1259"/>
    <n v="12"/>
    <x v="42"/>
    <d v="2025-08-23T00:00:00"/>
    <x v="5"/>
    <x v="1"/>
    <x v="1"/>
    <x v="0"/>
    <n v="55000"/>
    <s v="Cash"/>
    <n v="220000"/>
    <x v="4"/>
  </r>
  <r>
    <n v="1260"/>
    <n v="118"/>
    <x v="52"/>
    <d v="2025-04-19T00:00:00"/>
    <x v="11"/>
    <x v="2"/>
    <x v="0"/>
    <x v="0"/>
    <n v="40000"/>
    <s v="Cash"/>
    <n v="40000"/>
    <x v="7"/>
  </r>
  <r>
    <n v="1261"/>
    <n v="110"/>
    <x v="83"/>
    <d v="2025-06-25T00:00:00"/>
    <x v="2"/>
    <x v="2"/>
    <x v="0"/>
    <x v="0"/>
    <n v="70000"/>
    <s v="Unknown"/>
    <n v="70000"/>
    <x v="2"/>
  </r>
  <r>
    <n v="1262"/>
    <n v="16"/>
    <x v="50"/>
    <d v="2025-08-14T00:00:00"/>
    <x v="1"/>
    <x v="1"/>
    <x v="2"/>
    <x v="0"/>
    <n v="58000"/>
    <s v="Online "/>
    <n v="116000"/>
    <x v="4"/>
  </r>
  <r>
    <n v="1263"/>
    <n v="39"/>
    <x v="5"/>
    <d v="2025-05-21T00:00:00"/>
    <x v="1"/>
    <x v="1"/>
    <x v="0"/>
    <x v="0"/>
    <n v="58142.857142857145"/>
    <s v="Unknown"/>
    <n v="58142.857142857145"/>
    <x v="11"/>
  </r>
  <r>
    <n v="1264"/>
    <n v="51"/>
    <x v="93"/>
    <d v="2025-06-06T00:00:00"/>
    <x v="8"/>
    <x v="1"/>
    <x v="2"/>
    <x v="0"/>
    <n v="30000"/>
    <s v="card"/>
    <n v="60000"/>
    <x v="2"/>
  </r>
  <r>
    <n v="1265"/>
    <n v="28"/>
    <x v="82"/>
    <d v="2025-02-09T00:00:00"/>
    <x v="2"/>
    <x v="2"/>
    <x v="2"/>
    <x v="0"/>
    <n v="75256.41025641025"/>
    <s v="Online "/>
    <n v="150512.8205128205"/>
    <x v="6"/>
  </r>
  <r>
    <n v="1266"/>
    <n v="44"/>
    <x v="54"/>
    <d v="2025-08-05T00:00:00"/>
    <x v="3"/>
    <x v="1"/>
    <x v="2"/>
    <x v="0"/>
    <n v="50000"/>
    <s v="card"/>
    <n v="100000"/>
    <x v="4"/>
  </r>
  <r>
    <n v="1267"/>
    <n v="94"/>
    <x v="73"/>
    <d v="2025-02-22T00:00:00"/>
    <x v="3"/>
    <x v="1"/>
    <x v="0"/>
    <x v="0"/>
    <n v="55320"/>
    <s v="Online "/>
    <n v="55320"/>
    <x v="6"/>
  </r>
  <r>
    <n v="1268"/>
    <n v="87"/>
    <x v="71"/>
    <d v="2025-02-05T00:00:00"/>
    <x v="1"/>
    <x v="1"/>
    <x v="2"/>
    <x v="0"/>
    <n v="58000"/>
    <s v="Online "/>
    <n v="116000"/>
    <x v="6"/>
  </r>
  <r>
    <n v="1269"/>
    <n v="28"/>
    <x v="82"/>
    <d v="2025-03-19T00:00:00"/>
    <x v="8"/>
    <x v="1"/>
    <x v="1"/>
    <x v="0"/>
    <n v="35000"/>
    <s v="Cash"/>
    <n v="140000"/>
    <x v="5"/>
  </r>
  <r>
    <n v="1270"/>
    <n v="97"/>
    <x v="32"/>
    <d v="2025-10-29T00:00:00"/>
    <x v="3"/>
    <x v="1"/>
    <x v="0"/>
    <x v="0"/>
    <n v="55000"/>
    <s v="Cash"/>
    <n v="55000"/>
    <x v="3"/>
  </r>
  <r>
    <n v="1271"/>
    <n v="36"/>
    <x v="92"/>
    <d v="2025-02-13T00:00:00"/>
    <x v="8"/>
    <x v="1"/>
    <x v="1"/>
    <x v="0"/>
    <n v="30000"/>
    <s v="Cash"/>
    <n v="120000"/>
    <x v="6"/>
  </r>
  <r>
    <n v="1272"/>
    <n v="67"/>
    <x v="90"/>
    <d v="2025-09-18T00:00:00"/>
    <x v="4"/>
    <x v="2"/>
    <x v="0"/>
    <x v="0"/>
    <n v="45000"/>
    <s v="card"/>
    <n v="45000"/>
    <x v="8"/>
  </r>
  <r>
    <n v="1273"/>
    <n v="15"/>
    <x v="8"/>
    <d v="2025-09-13T00:00:00"/>
    <x v="10"/>
    <x v="1"/>
    <x v="2"/>
    <x v="0"/>
    <n v="43000"/>
    <s v="Cash"/>
    <n v="86000"/>
    <x v="8"/>
  </r>
  <r>
    <n v="1274"/>
    <n v="50"/>
    <x v="24"/>
    <d v="2025-08-04T00:00:00"/>
    <x v="4"/>
    <x v="2"/>
    <x v="1"/>
    <x v="0"/>
    <n v="50000"/>
    <s v="Cash"/>
    <n v="200000"/>
    <x v="4"/>
  </r>
  <r>
    <n v="1275"/>
    <n v="9"/>
    <x v="88"/>
    <d v="2025-05-15T00:00:00"/>
    <x v="9"/>
    <x v="1"/>
    <x v="0"/>
    <x v="0"/>
    <n v="45000"/>
    <s v="Unknown"/>
    <n v="45000"/>
    <x v="11"/>
  </r>
  <r>
    <n v="1276"/>
    <n v="92"/>
    <x v="64"/>
    <d v="2025-01-08T00:00:00"/>
    <x v="6"/>
    <x v="2"/>
    <x v="0"/>
    <x v="0"/>
    <n v="90000"/>
    <s v="Online"/>
    <n v="90000"/>
    <x v="0"/>
  </r>
  <r>
    <n v="1277"/>
    <n v="11"/>
    <x v="19"/>
    <d v="2025-02-10T00:00:00"/>
    <x v="0"/>
    <x v="0"/>
    <x v="1"/>
    <x v="0"/>
    <n v="62000"/>
    <s v="card"/>
    <n v="248000"/>
    <x v="6"/>
  </r>
  <r>
    <n v="1278"/>
    <n v="76"/>
    <x v="95"/>
    <d v="2025-11-29T00:00:00"/>
    <x v="8"/>
    <x v="1"/>
    <x v="0"/>
    <x v="0"/>
    <n v="35000"/>
    <s v="card"/>
    <n v="35000"/>
    <x v="1"/>
  </r>
  <r>
    <n v="1279"/>
    <n v="32"/>
    <x v="4"/>
    <d v="2025-11-08T00:00:00"/>
    <x v="3"/>
    <x v="1"/>
    <x v="2"/>
    <x v="0"/>
    <n v="60000"/>
    <s v="Online "/>
    <n v="120000"/>
    <x v="1"/>
  </r>
  <r>
    <n v="1280"/>
    <n v="95"/>
    <x v="11"/>
    <d v="2025-03-31T00:00:00"/>
    <x v="8"/>
    <x v="1"/>
    <x v="5"/>
    <x v="0"/>
    <n v="35000"/>
    <s v="Cash"/>
    <n v="105000"/>
    <x v="5"/>
  </r>
  <r>
    <n v="1281"/>
    <n v="64"/>
    <x v="50"/>
    <d v="2025-09-25T00:00:00"/>
    <x v="7"/>
    <x v="0"/>
    <x v="0"/>
    <x v="0"/>
    <n v="65000"/>
    <s v="Online "/>
    <n v="65000"/>
    <x v="8"/>
  </r>
  <r>
    <n v="1282"/>
    <n v="114"/>
    <x v="63"/>
    <d v="2025-01-16T00:00:00"/>
    <x v="3"/>
    <x v="1"/>
    <x v="0"/>
    <x v="0"/>
    <n v="60000"/>
    <s v="Online "/>
    <n v="60000"/>
    <x v="0"/>
  </r>
  <r>
    <n v="1283"/>
    <n v="78"/>
    <x v="4"/>
    <d v="2025-11-18T00:00:00"/>
    <x v="4"/>
    <x v="2"/>
    <x v="2"/>
    <x v="0"/>
    <n v="55000"/>
    <s v="card"/>
    <n v="110000"/>
    <x v="1"/>
  </r>
  <r>
    <n v="1284"/>
    <n v="110"/>
    <x v="83"/>
    <d v="2025-03-27T00:00:00"/>
    <x v="4"/>
    <x v="2"/>
    <x v="0"/>
    <x v="0"/>
    <n v="45000"/>
    <s v="Cash"/>
    <n v="45000"/>
    <x v="5"/>
  </r>
  <r>
    <n v="1285"/>
    <n v="95"/>
    <x v="11"/>
    <d v="2025-01-02T00:00:00"/>
    <x v="6"/>
    <x v="2"/>
    <x v="0"/>
    <x v="0"/>
    <n v="80000"/>
    <s v="card"/>
    <n v="80000"/>
    <x v="0"/>
  </r>
  <r>
    <n v="1286"/>
    <n v="118"/>
    <x v="52"/>
    <d v="2025-02-04T00:00:00"/>
    <x v="1"/>
    <x v="1"/>
    <x v="0"/>
    <x v="0"/>
    <n v="58000"/>
    <s v="Online "/>
    <n v="58000"/>
    <x v="6"/>
  </r>
  <r>
    <n v="1287"/>
    <n v="41"/>
    <x v="86"/>
    <d v="2025-09-02T00:00:00"/>
    <x v="0"/>
    <x v="0"/>
    <x v="0"/>
    <x v="0"/>
    <n v="67000"/>
    <s v="Cash"/>
    <n v="67000"/>
    <x v="8"/>
  </r>
  <r>
    <n v="1288"/>
    <n v="29"/>
    <x v="19"/>
    <d v="2025-01-24T00:00:00"/>
    <x v="6"/>
    <x v="2"/>
    <x v="2"/>
    <x v="0"/>
    <n v="85000"/>
    <s v="card"/>
    <n v="170000"/>
    <x v="0"/>
  </r>
  <r>
    <n v="1289"/>
    <n v="71"/>
    <x v="96"/>
    <d v="2025-01-05T00:00:00"/>
    <x v="2"/>
    <x v="2"/>
    <x v="0"/>
    <x v="0"/>
    <n v="80000"/>
    <s v="card"/>
    <n v="80000"/>
    <x v="0"/>
  </r>
  <r>
    <n v="1290"/>
    <n v="48"/>
    <x v="58"/>
    <d v="2025-09-10T00:00:00"/>
    <x v="4"/>
    <x v="2"/>
    <x v="0"/>
    <x v="0"/>
    <n v="45000"/>
    <s v="Cash"/>
    <n v="45000"/>
    <x v="8"/>
  </r>
  <r>
    <n v="1291"/>
    <n v="70"/>
    <x v="97"/>
    <d v="2025-11-22T00:00:00"/>
    <x v="7"/>
    <x v="0"/>
    <x v="0"/>
    <x v="0"/>
    <n v="60000"/>
    <s v="Online "/>
    <n v="60000"/>
    <x v="1"/>
  </r>
  <r>
    <n v="1292"/>
    <n v="94"/>
    <x v="73"/>
    <d v="2025-02-23T00:00:00"/>
    <x v="0"/>
    <x v="0"/>
    <x v="2"/>
    <x v="0"/>
    <n v="62000"/>
    <s v="Online "/>
    <n v="124000"/>
    <x v="6"/>
  </r>
  <r>
    <n v="1293"/>
    <n v="36"/>
    <x v="92"/>
    <d v="2025-01-23T00:00:00"/>
    <x v="3"/>
    <x v="1"/>
    <x v="5"/>
    <x v="0"/>
    <n v="55000"/>
    <s v="Cash"/>
    <n v="165000"/>
    <x v="0"/>
  </r>
  <r>
    <n v="1294"/>
    <n v="13"/>
    <x v="38"/>
    <d v="2025-10-03T00:00:00"/>
    <x v="6"/>
    <x v="2"/>
    <x v="0"/>
    <x v="0"/>
    <n v="90000"/>
    <s v="card"/>
    <n v="90000"/>
    <x v="3"/>
  </r>
  <r>
    <n v="1295"/>
    <n v="85"/>
    <x v="6"/>
    <d v="2025-02-05T00:00:00"/>
    <x v="1"/>
    <x v="1"/>
    <x v="1"/>
    <x v="0"/>
    <n v="58000"/>
    <s v="Online"/>
    <n v="232000"/>
    <x v="6"/>
  </r>
  <r>
    <n v="1296"/>
    <n v="58"/>
    <x v="7"/>
    <d v="2025-04-30T00:00:00"/>
    <x v="0"/>
    <x v="0"/>
    <x v="0"/>
    <x v="0"/>
    <n v="67000"/>
    <s v="card"/>
    <n v="67000"/>
    <x v="7"/>
  </r>
  <r>
    <n v="1297"/>
    <n v="22"/>
    <x v="66"/>
    <d v="2025-08-27T00:00:00"/>
    <x v="2"/>
    <x v="2"/>
    <x v="0"/>
    <x v="0"/>
    <n v="80000"/>
    <s v="card"/>
    <n v="80000"/>
    <x v="4"/>
  </r>
  <r>
    <n v="1298"/>
    <n v="40"/>
    <x v="79"/>
    <d v="2025-05-16T00:00:00"/>
    <x v="2"/>
    <x v="2"/>
    <x v="0"/>
    <x v="0"/>
    <n v="75000"/>
    <s v="Cash"/>
    <n v="75000"/>
    <x v="11"/>
  </r>
  <r>
    <n v="1299"/>
    <n v="107"/>
    <x v="20"/>
    <d v="2025-03-17T00:00:00"/>
    <x v="7"/>
    <x v="0"/>
    <x v="0"/>
    <x v="0"/>
    <n v="65000"/>
    <s v="Online "/>
    <n v="65000"/>
    <x v="5"/>
  </r>
  <r>
    <n v="1300"/>
    <n v="39"/>
    <x v="5"/>
    <d v="2025-03-31T00:00:00"/>
    <x v="0"/>
    <x v="0"/>
    <x v="7"/>
    <x v="1"/>
    <n v="62000"/>
    <s v="card"/>
    <n v="-248000"/>
    <x v="5"/>
  </r>
  <r>
    <n v="1301"/>
    <n v="60"/>
    <x v="43"/>
    <d v="2025-03-13T00:00:00"/>
    <x v="3"/>
    <x v="1"/>
    <x v="0"/>
    <x v="0"/>
    <n v="55000"/>
    <s v="card"/>
    <n v="55000"/>
    <x v="5"/>
  </r>
  <r>
    <n v="1302"/>
    <n v="48"/>
    <x v="58"/>
    <d v="2025-11-19T00:00:00"/>
    <x v="8"/>
    <x v="1"/>
    <x v="2"/>
    <x v="0"/>
    <n v="40000"/>
    <s v="card"/>
    <n v="80000"/>
    <x v="1"/>
  </r>
  <r>
    <n v="1303"/>
    <n v="9"/>
    <x v="88"/>
    <d v="2025-11-27T00:00:00"/>
    <x v="10"/>
    <x v="1"/>
    <x v="0"/>
    <x v="0"/>
    <n v="48000"/>
    <s v="card"/>
    <n v="48000"/>
    <x v="1"/>
  </r>
  <r>
    <n v="1304"/>
    <n v="7"/>
    <x v="44"/>
    <d v="2025-10-21T00:00:00"/>
    <x v="1"/>
    <x v="1"/>
    <x v="2"/>
    <x v="0"/>
    <n v="53000"/>
    <s v="Cash"/>
    <n v="106000"/>
    <x v="3"/>
  </r>
  <r>
    <n v="1305"/>
    <n v="46"/>
    <x v="98"/>
    <d v="2025-06-04T00:00:00"/>
    <x v="10"/>
    <x v="1"/>
    <x v="2"/>
    <x v="0"/>
    <n v="48000"/>
    <s v="Online "/>
    <n v="96000"/>
    <x v="2"/>
  </r>
  <r>
    <n v="1306"/>
    <n v="38"/>
    <x v="31"/>
    <d v="2025-07-30T00:00:00"/>
    <x v="2"/>
    <x v="2"/>
    <x v="0"/>
    <x v="0"/>
    <n v="70000"/>
    <s v="Cash"/>
    <n v="70000"/>
    <x v="10"/>
  </r>
  <r>
    <n v="1307"/>
    <n v="54"/>
    <x v="89"/>
    <d v="2025-11-26T00:00:00"/>
    <x v="10"/>
    <x v="1"/>
    <x v="5"/>
    <x v="0"/>
    <n v="53000"/>
    <s v="Online "/>
    <n v="159000"/>
    <x v="1"/>
  </r>
  <r>
    <n v="1308"/>
    <n v="46"/>
    <x v="98"/>
    <d v="2025-06-10T00:00:00"/>
    <x v="2"/>
    <x v="2"/>
    <x v="2"/>
    <x v="0"/>
    <n v="80000"/>
    <s v="Unknown"/>
    <n v="160000"/>
    <x v="2"/>
  </r>
  <r>
    <n v="1309"/>
    <n v="24"/>
    <x v="13"/>
    <d v="2025-06-13T00:00:00"/>
    <x v="9"/>
    <x v="1"/>
    <x v="0"/>
    <x v="0"/>
    <n v="45000"/>
    <s v="Cash"/>
    <n v="45000"/>
    <x v="2"/>
  </r>
  <r>
    <n v="1310"/>
    <n v="46"/>
    <x v="98"/>
    <d v="2025-04-30T00:00:00"/>
    <x v="4"/>
    <x v="2"/>
    <x v="0"/>
    <x v="0"/>
    <n v="50000"/>
    <s v="Unknown"/>
    <n v="50000"/>
    <x v="7"/>
  </r>
  <r>
    <n v="1311"/>
    <n v="74"/>
    <x v="45"/>
    <d v="2025-07-01T00:00:00"/>
    <x v="11"/>
    <x v="2"/>
    <x v="0"/>
    <x v="0"/>
    <n v="45000"/>
    <s v="Cash"/>
    <n v="45000"/>
    <x v="10"/>
  </r>
  <r>
    <n v="1312"/>
    <n v="4"/>
    <x v="18"/>
    <d v="2025-12-25T00:00:00"/>
    <x v="5"/>
    <x v="1"/>
    <x v="2"/>
    <x v="0"/>
    <n v="60000"/>
    <s v="Cash"/>
    <n v="120000"/>
    <x v="9"/>
  </r>
  <r>
    <n v="1313"/>
    <n v="63"/>
    <x v="3"/>
    <d v="2025-02-16T00:00:00"/>
    <x v="9"/>
    <x v="1"/>
    <x v="2"/>
    <x v="0"/>
    <n v="45000"/>
    <s v="card"/>
    <n v="90000"/>
    <x v="6"/>
  </r>
  <r>
    <n v="1314"/>
    <n v="43"/>
    <x v="23"/>
    <d v="2025-04-14T00:00:00"/>
    <x v="4"/>
    <x v="2"/>
    <x v="5"/>
    <x v="0"/>
    <n v="50000"/>
    <s v="card"/>
    <n v="150000"/>
    <x v="7"/>
  </r>
  <r>
    <n v="1315"/>
    <n v="19"/>
    <x v="47"/>
    <d v="2025-12-27T00:00:00"/>
    <x v="4"/>
    <x v="2"/>
    <x v="1"/>
    <x v="0"/>
    <n v="55000"/>
    <s v="Online"/>
    <n v="220000"/>
    <x v="9"/>
  </r>
  <r>
    <n v="1316"/>
    <n v="91"/>
    <x v="74"/>
    <d v="2025-07-22T00:00:00"/>
    <x v="8"/>
    <x v="1"/>
    <x v="0"/>
    <x v="0"/>
    <n v="35000"/>
    <s v="Cash"/>
    <n v="35000"/>
    <x v="10"/>
  </r>
  <r>
    <n v="1317"/>
    <n v="94"/>
    <x v="73"/>
    <d v="2025-11-24T00:00:00"/>
    <x v="11"/>
    <x v="2"/>
    <x v="0"/>
    <x v="0"/>
    <n v="45000"/>
    <s v="Cash"/>
    <n v="45000"/>
    <x v="1"/>
  </r>
  <r>
    <n v="1318"/>
    <n v="86"/>
    <x v="99"/>
    <d v="2025-03-31T00:00:00"/>
    <x v="4"/>
    <x v="2"/>
    <x v="5"/>
    <x v="0"/>
    <n v="50000"/>
    <s v="Online "/>
    <n v="150000"/>
    <x v="5"/>
  </r>
  <r>
    <n v="1319"/>
    <n v="1"/>
    <x v="77"/>
    <d v="2025-10-21T00:00:00"/>
    <x v="5"/>
    <x v="1"/>
    <x v="0"/>
    <x v="0"/>
    <n v="65000"/>
    <s v="Online "/>
    <n v="65000"/>
    <x v="3"/>
  </r>
  <r>
    <n v="1320"/>
    <n v="73"/>
    <x v="14"/>
    <d v="2025-12-09T00:00:00"/>
    <x v="3"/>
    <x v="1"/>
    <x v="5"/>
    <x v="0"/>
    <n v="50000"/>
    <s v="Online"/>
    <n v="150000"/>
    <x v="9"/>
  </r>
  <r>
    <n v="1321"/>
    <n v="22"/>
    <x v="66"/>
    <d v="2025-02-15T00:00:00"/>
    <x v="8"/>
    <x v="1"/>
    <x v="2"/>
    <x v="0"/>
    <n v="30000"/>
    <s v="Cash"/>
    <n v="60000"/>
    <x v="6"/>
  </r>
  <r>
    <n v="1322"/>
    <n v="89"/>
    <x v="7"/>
    <d v="2025-06-29T00:00:00"/>
    <x v="3"/>
    <x v="1"/>
    <x v="5"/>
    <x v="0"/>
    <n v="50000"/>
    <s v="card"/>
    <n v="150000"/>
    <x v="2"/>
  </r>
  <r>
    <n v="1323"/>
    <n v="94"/>
    <x v="73"/>
    <d v="2025-03-27T00:00:00"/>
    <x v="11"/>
    <x v="2"/>
    <x v="2"/>
    <x v="0"/>
    <n v="40000"/>
    <s v="card"/>
    <n v="80000"/>
    <x v="5"/>
  </r>
  <r>
    <n v="1324"/>
    <n v="107"/>
    <x v="20"/>
    <d v="2025-10-23T00:00:00"/>
    <x v="2"/>
    <x v="2"/>
    <x v="0"/>
    <x v="0"/>
    <n v="75000"/>
    <s v="Online"/>
    <n v="75000"/>
    <x v="3"/>
  </r>
  <r>
    <n v="1325"/>
    <n v="3"/>
    <x v="72"/>
    <d v="2025-05-14T00:00:00"/>
    <x v="7"/>
    <x v="0"/>
    <x v="0"/>
    <x v="0"/>
    <n v="65458.715596330272"/>
    <s v="Online "/>
    <n v="65458.715596330272"/>
    <x v="11"/>
  </r>
  <r>
    <n v="1326"/>
    <n v="10"/>
    <x v="84"/>
    <d v="2025-02-17T00:00:00"/>
    <x v="6"/>
    <x v="2"/>
    <x v="5"/>
    <x v="0"/>
    <n v="80000"/>
    <s v="Cash"/>
    <n v="240000"/>
    <x v="6"/>
  </r>
  <r>
    <n v="1327"/>
    <n v="114"/>
    <x v="63"/>
    <d v="2025-03-22T00:00:00"/>
    <x v="11"/>
    <x v="2"/>
    <x v="0"/>
    <x v="0"/>
    <n v="40000"/>
    <s v="Online "/>
    <n v="40000"/>
    <x v="5"/>
  </r>
  <r>
    <n v="1328"/>
    <n v="71"/>
    <x v="96"/>
    <d v="2025-04-10T00:00:00"/>
    <x v="5"/>
    <x v="1"/>
    <x v="0"/>
    <x v="0"/>
    <n v="60000"/>
    <s v="card"/>
    <n v="60000"/>
    <x v="7"/>
  </r>
  <r>
    <n v="1329"/>
    <n v="74"/>
    <x v="45"/>
    <d v="2025-09-09T00:00:00"/>
    <x v="6"/>
    <x v="2"/>
    <x v="0"/>
    <x v="0"/>
    <n v="80000"/>
    <s v="Online"/>
    <n v="80000"/>
    <x v="8"/>
  </r>
  <r>
    <n v="1330"/>
    <n v="106"/>
    <x v="12"/>
    <d v="2025-11-17T00:00:00"/>
    <x v="8"/>
    <x v="1"/>
    <x v="0"/>
    <x v="0"/>
    <n v="30000"/>
    <s v="Cash"/>
    <n v="30000"/>
    <x v="1"/>
  </r>
  <r>
    <n v="1331"/>
    <n v="82"/>
    <x v="65"/>
    <d v="2025-02-11T00:00:00"/>
    <x v="0"/>
    <x v="0"/>
    <x v="0"/>
    <x v="0"/>
    <n v="62000"/>
    <s v="Online "/>
    <n v="62000"/>
    <x v="6"/>
  </r>
  <r>
    <n v="1332"/>
    <n v="34"/>
    <x v="100"/>
    <d v="2025-11-25T00:00:00"/>
    <x v="3"/>
    <x v="1"/>
    <x v="0"/>
    <x v="0"/>
    <n v="55000"/>
    <s v="Unknown"/>
    <n v="55000"/>
    <x v="1"/>
  </r>
  <r>
    <n v="1333"/>
    <n v="58"/>
    <x v="7"/>
    <d v="2025-05-15T00:00:00"/>
    <x v="9"/>
    <x v="1"/>
    <x v="0"/>
    <x v="0"/>
    <n v="45000"/>
    <s v="Cash"/>
    <n v="45000"/>
    <x v="11"/>
  </r>
  <r>
    <n v="1334"/>
    <n v="97"/>
    <x v="32"/>
    <d v="2025-12-08T00:00:00"/>
    <x v="5"/>
    <x v="1"/>
    <x v="5"/>
    <x v="0"/>
    <n v="59954.128440366971"/>
    <s v="Cash"/>
    <n v="179862.38532110091"/>
    <x v="9"/>
  </r>
  <r>
    <n v="1335"/>
    <n v="30"/>
    <x v="101"/>
    <d v="2025-01-02T00:00:00"/>
    <x v="6"/>
    <x v="2"/>
    <x v="2"/>
    <x v="0"/>
    <n v="85000"/>
    <s v="card"/>
    <n v="170000"/>
    <x v="0"/>
  </r>
  <r>
    <n v="1336"/>
    <n v="39"/>
    <x v="5"/>
    <d v="2025-07-22T00:00:00"/>
    <x v="3"/>
    <x v="1"/>
    <x v="2"/>
    <x v="0"/>
    <n v="60000"/>
    <s v="card"/>
    <n v="120000"/>
    <x v="10"/>
  </r>
  <r>
    <n v="1337"/>
    <n v="55"/>
    <x v="39"/>
    <d v="2025-03-30T00:00:00"/>
    <x v="2"/>
    <x v="2"/>
    <x v="1"/>
    <x v="0"/>
    <n v="75000"/>
    <s v="card"/>
    <n v="300000"/>
    <x v="5"/>
  </r>
  <r>
    <n v="1338"/>
    <n v="11"/>
    <x v="19"/>
    <d v="2025-08-11T00:00:00"/>
    <x v="8"/>
    <x v="1"/>
    <x v="1"/>
    <x v="0"/>
    <n v="40000"/>
    <s v="Online "/>
    <n v="160000"/>
    <x v="4"/>
  </r>
  <r>
    <n v="1339"/>
    <n v="118"/>
    <x v="52"/>
    <d v="2025-02-14T00:00:00"/>
    <x v="3"/>
    <x v="1"/>
    <x v="2"/>
    <x v="0"/>
    <n v="55000"/>
    <s v="card"/>
    <n v="110000"/>
    <x v="6"/>
  </r>
  <r>
    <n v="1340"/>
    <n v="101"/>
    <x v="33"/>
    <d v="2025-11-16T00:00:00"/>
    <x v="5"/>
    <x v="1"/>
    <x v="0"/>
    <x v="0"/>
    <n v="60000"/>
    <s v="Cash"/>
    <n v="60000"/>
    <x v="1"/>
  </r>
  <r>
    <n v="1341"/>
    <n v="76"/>
    <x v="95"/>
    <d v="2025-02-21T00:00:00"/>
    <x v="4"/>
    <x v="2"/>
    <x v="1"/>
    <x v="0"/>
    <n v="50000"/>
    <s v="card"/>
    <n v="200000"/>
    <x v="6"/>
  </r>
  <r>
    <n v="1342"/>
    <n v="34"/>
    <x v="100"/>
    <d v="2025-02-12T00:00:00"/>
    <x v="11"/>
    <x v="2"/>
    <x v="0"/>
    <x v="0"/>
    <n v="40000"/>
    <s v="Cash"/>
    <n v="40000"/>
    <x v="6"/>
  </r>
  <r>
    <n v="1343"/>
    <n v="80"/>
    <x v="102"/>
    <d v="2025-12-15T00:00:00"/>
    <x v="4"/>
    <x v="2"/>
    <x v="0"/>
    <x v="0"/>
    <n v="50000"/>
    <s v="card"/>
    <n v="50000"/>
    <x v="9"/>
  </r>
  <r>
    <n v="1344"/>
    <n v="96"/>
    <x v="1"/>
    <d v="2025-05-18T00:00:00"/>
    <x v="2"/>
    <x v="2"/>
    <x v="4"/>
    <x v="1"/>
    <n v="75000"/>
    <s v="card"/>
    <n v="-75000"/>
    <x v="11"/>
  </r>
  <r>
    <n v="1345"/>
    <n v="110"/>
    <x v="83"/>
    <d v="2025-12-17T00:00:00"/>
    <x v="5"/>
    <x v="1"/>
    <x v="0"/>
    <x v="0"/>
    <n v="60000"/>
    <s v="Online"/>
    <n v="60000"/>
    <x v="9"/>
  </r>
  <r>
    <n v="1346"/>
    <n v="35"/>
    <x v="81"/>
    <d v="2025-08-02T00:00:00"/>
    <x v="5"/>
    <x v="1"/>
    <x v="0"/>
    <x v="0"/>
    <n v="60000"/>
    <s v="Unknown"/>
    <n v="60000"/>
    <x v="4"/>
  </r>
  <r>
    <n v="1347"/>
    <n v="63"/>
    <x v="3"/>
    <d v="2025-07-11T00:00:00"/>
    <x v="6"/>
    <x v="2"/>
    <x v="0"/>
    <x v="0"/>
    <n v="85000"/>
    <s v="Cash"/>
    <n v="85000"/>
    <x v="10"/>
  </r>
  <r>
    <n v="1348"/>
    <n v="100"/>
    <x v="61"/>
    <d v="2025-10-19T00:00:00"/>
    <x v="6"/>
    <x v="2"/>
    <x v="0"/>
    <x v="0"/>
    <n v="85000"/>
    <s v="card"/>
    <n v="85000"/>
    <x v="3"/>
  </r>
  <r>
    <n v="1349"/>
    <n v="59"/>
    <x v="36"/>
    <d v="2025-07-04T00:00:00"/>
    <x v="9"/>
    <x v="1"/>
    <x v="0"/>
    <x v="0"/>
    <n v="45000"/>
    <s v="Online "/>
    <n v="45000"/>
    <x v="10"/>
  </r>
  <r>
    <n v="1350"/>
    <n v="119"/>
    <x v="56"/>
    <d v="2025-12-15T00:00:00"/>
    <x v="3"/>
    <x v="1"/>
    <x v="0"/>
    <x v="0"/>
    <n v="55000"/>
    <s v="Cash"/>
    <n v="55000"/>
    <x v="9"/>
  </r>
  <r>
    <n v="1351"/>
    <n v="60"/>
    <x v="43"/>
    <d v="2025-10-28T00:00:00"/>
    <x v="2"/>
    <x v="2"/>
    <x v="0"/>
    <x v="0"/>
    <n v="75256.41025641025"/>
    <s v="Online"/>
    <n v="75256.41025641025"/>
    <x v="3"/>
  </r>
  <r>
    <n v="1352"/>
    <n v="4"/>
    <x v="18"/>
    <d v="2025-01-26T00:00:00"/>
    <x v="11"/>
    <x v="2"/>
    <x v="1"/>
    <x v="0"/>
    <n v="40000"/>
    <s v="Online "/>
    <n v="160000"/>
    <x v="0"/>
  </r>
  <r>
    <n v="1353"/>
    <n v="27"/>
    <x v="68"/>
    <d v="2025-11-30T00:00:00"/>
    <x v="0"/>
    <x v="0"/>
    <x v="1"/>
    <x v="0"/>
    <n v="57000"/>
    <s v="Online "/>
    <n v="228000"/>
    <x v="1"/>
  </r>
  <r>
    <n v="1354"/>
    <n v="23"/>
    <x v="0"/>
    <d v="2025-05-01T00:00:00"/>
    <x v="4"/>
    <x v="2"/>
    <x v="2"/>
    <x v="0"/>
    <n v="50000"/>
    <s v="card"/>
    <n v="100000"/>
    <x v="11"/>
  </r>
  <r>
    <n v="1355"/>
    <n v="115"/>
    <x v="80"/>
    <d v="2025-06-28T00:00:00"/>
    <x v="11"/>
    <x v="2"/>
    <x v="0"/>
    <x v="0"/>
    <n v="40000"/>
    <s v="Cash"/>
    <n v="40000"/>
    <x v="2"/>
  </r>
  <r>
    <n v="1356"/>
    <n v="14"/>
    <x v="85"/>
    <d v="2025-09-19T00:00:00"/>
    <x v="9"/>
    <x v="1"/>
    <x v="2"/>
    <x v="0"/>
    <n v="50000"/>
    <s v="Online"/>
    <n v="100000"/>
    <x v="8"/>
  </r>
  <r>
    <n v="1357"/>
    <n v="88"/>
    <x v="29"/>
    <d v="2025-04-09T00:00:00"/>
    <x v="3"/>
    <x v="1"/>
    <x v="0"/>
    <x v="0"/>
    <n v="55000"/>
    <s v="Online "/>
    <n v="55000"/>
    <x v="7"/>
  </r>
  <r>
    <n v="1358"/>
    <n v="92"/>
    <x v="64"/>
    <d v="2025-06-02T00:00:00"/>
    <x v="8"/>
    <x v="1"/>
    <x v="2"/>
    <x v="0"/>
    <n v="35000"/>
    <s v="Online "/>
    <n v="70000"/>
    <x v="2"/>
  </r>
  <r>
    <n v="1359"/>
    <n v="41"/>
    <x v="86"/>
    <d v="2025-03-13T00:00:00"/>
    <x v="8"/>
    <x v="1"/>
    <x v="5"/>
    <x v="0"/>
    <n v="35000"/>
    <s v="card"/>
    <n v="105000"/>
    <x v="5"/>
  </r>
  <r>
    <n v="1360"/>
    <n v="52"/>
    <x v="10"/>
    <d v="2025-01-19T00:00:00"/>
    <x v="11"/>
    <x v="2"/>
    <x v="0"/>
    <x v="0"/>
    <n v="40428.571428571428"/>
    <s v="Online "/>
    <n v="40428.571428571428"/>
    <x v="0"/>
  </r>
  <r>
    <n v="1361"/>
    <n v="46"/>
    <x v="98"/>
    <d v="2025-06-03T00:00:00"/>
    <x v="6"/>
    <x v="2"/>
    <x v="0"/>
    <x v="0"/>
    <n v="80000"/>
    <s v="Online "/>
    <n v="80000"/>
    <x v="2"/>
  </r>
  <r>
    <n v="1362"/>
    <n v="34"/>
    <x v="100"/>
    <d v="2025-10-14T00:00:00"/>
    <x v="5"/>
    <x v="1"/>
    <x v="5"/>
    <x v="0"/>
    <n v="55000"/>
    <s v="Cash"/>
    <n v="165000"/>
    <x v="3"/>
  </r>
  <r>
    <n v="1363"/>
    <n v="96"/>
    <x v="1"/>
    <d v="2025-04-08T00:00:00"/>
    <x v="0"/>
    <x v="0"/>
    <x v="0"/>
    <x v="0"/>
    <n v="67000"/>
    <s v="card"/>
    <n v="67000"/>
    <x v="7"/>
  </r>
  <r>
    <n v="1364"/>
    <n v="61"/>
    <x v="25"/>
    <d v="2025-11-21T00:00:00"/>
    <x v="9"/>
    <x v="1"/>
    <x v="2"/>
    <x v="0"/>
    <n v="45000"/>
    <s v="Online "/>
    <n v="90000"/>
    <x v="1"/>
  </r>
  <r>
    <n v="1365"/>
    <n v="49"/>
    <x v="4"/>
    <d v="2025-06-02T00:00:00"/>
    <x v="6"/>
    <x v="2"/>
    <x v="1"/>
    <x v="0"/>
    <n v="85000"/>
    <s v="Online"/>
    <n v="340000"/>
    <x v="2"/>
  </r>
  <r>
    <n v="1366"/>
    <n v="53"/>
    <x v="28"/>
    <d v="2025-08-23T00:00:00"/>
    <x v="4"/>
    <x v="2"/>
    <x v="1"/>
    <x v="0"/>
    <n v="49739.583333333336"/>
    <s v="Online"/>
    <n v="198958.33333333334"/>
    <x v="4"/>
  </r>
  <r>
    <n v="1367"/>
    <n v="81"/>
    <x v="26"/>
    <d v="2025-06-10T00:00:00"/>
    <x v="1"/>
    <x v="1"/>
    <x v="0"/>
    <x v="0"/>
    <n v="58000"/>
    <s v="Cash"/>
    <n v="58000"/>
    <x v="2"/>
  </r>
  <r>
    <n v="1368"/>
    <n v="74"/>
    <x v="45"/>
    <d v="2025-09-08T00:00:00"/>
    <x v="1"/>
    <x v="1"/>
    <x v="2"/>
    <x v="0"/>
    <n v="58000"/>
    <s v="card"/>
    <n v="116000"/>
    <x v="8"/>
  </r>
  <r>
    <n v="1369"/>
    <n v="55"/>
    <x v="39"/>
    <d v="2025-07-16T00:00:00"/>
    <x v="2"/>
    <x v="2"/>
    <x v="2"/>
    <x v="0"/>
    <n v="75000"/>
    <s v="card"/>
    <n v="150000"/>
    <x v="10"/>
  </r>
  <r>
    <n v="1370"/>
    <n v="115"/>
    <x v="80"/>
    <d v="2025-09-29T00:00:00"/>
    <x v="7"/>
    <x v="0"/>
    <x v="0"/>
    <x v="0"/>
    <n v="60000"/>
    <s v="Cash"/>
    <n v="60000"/>
    <x v="8"/>
  </r>
  <r>
    <n v="1371"/>
    <n v="89"/>
    <x v="7"/>
    <d v="2025-06-09T00:00:00"/>
    <x v="7"/>
    <x v="0"/>
    <x v="2"/>
    <x v="0"/>
    <n v="70000"/>
    <s v="Cash"/>
    <n v="140000"/>
    <x v="2"/>
  </r>
  <r>
    <n v="1372"/>
    <n v="9"/>
    <x v="88"/>
    <d v="2025-02-06T00:00:00"/>
    <x v="9"/>
    <x v="1"/>
    <x v="5"/>
    <x v="0"/>
    <n v="50000"/>
    <s v="card"/>
    <n v="150000"/>
    <x v="6"/>
  </r>
  <r>
    <n v="1373"/>
    <n v="114"/>
    <x v="63"/>
    <d v="2025-10-03T00:00:00"/>
    <x v="8"/>
    <x v="1"/>
    <x v="0"/>
    <x v="0"/>
    <n v="35000"/>
    <s v="card"/>
    <n v="35000"/>
    <x v="3"/>
  </r>
  <r>
    <n v="1374"/>
    <n v="30"/>
    <x v="101"/>
    <d v="2025-03-09T00:00:00"/>
    <x v="10"/>
    <x v="1"/>
    <x v="2"/>
    <x v="0"/>
    <n v="53000"/>
    <s v="Online"/>
    <n v="106000"/>
    <x v="5"/>
  </r>
  <r>
    <n v="1375"/>
    <n v="92"/>
    <x v="64"/>
    <d v="2025-01-20T00:00:00"/>
    <x v="8"/>
    <x v="1"/>
    <x v="1"/>
    <x v="0"/>
    <n v="40000"/>
    <s v="Cash"/>
    <n v="160000"/>
    <x v="0"/>
  </r>
  <r>
    <n v="1376"/>
    <n v="7"/>
    <x v="44"/>
    <d v="2025-02-25T00:00:00"/>
    <x v="8"/>
    <x v="1"/>
    <x v="0"/>
    <x v="0"/>
    <n v="30000"/>
    <s v="card"/>
    <n v="30000"/>
    <x v="6"/>
  </r>
  <r>
    <n v="1377"/>
    <n v="16"/>
    <x v="50"/>
    <d v="2025-05-10T00:00:00"/>
    <x v="6"/>
    <x v="2"/>
    <x v="0"/>
    <x v="0"/>
    <n v="80000"/>
    <s v="Online "/>
    <n v="80000"/>
    <x v="11"/>
  </r>
  <r>
    <n v="1378"/>
    <n v="13"/>
    <x v="38"/>
    <d v="2025-09-24T00:00:00"/>
    <x v="8"/>
    <x v="1"/>
    <x v="2"/>
    <x v="0"/>
    <n v="30000"/>
    <s v="Online"/>
    <n v="60000"/>
    <x v="8"/>
  </r>
  <r>
    <n v="1379"/>
    <n v="15"/>
    <x v="8"/>
    <d v="2025-09-12T00:00:00"/>
    <x v="3"/>
    <x v="1"/>
    <x v="1"/>
    <x v="0"/>
    <n v="55000"/>
    <s v="Online"/>
    <n v="220000"/>
    <x v="8"/>
  </r>
  <r>
    <n v="1380"/>
    <n v="91"/>
    <x v="74"/>
    <d v="2025-06-01T00:00:00"/>
    <x v="11"/>
    <x v="2"/>
    <x v="2"/>
    <x v="0"/>
    <n v="40000"/>
    <s v="Online"/>
    <n v="80000"/>
    <x v="2"/>
  </r>
  <r>
    <n v="1381"/>
    <n v="31"/>
    <x v="103"/>
    <d v="2025-01-07T00:00:00"/>
    <x v="9"/>
    <x v="1"/>
    <x v="0"/>
    <x v="0"/>
    <n v="50000"/>
    <s v="Cash"/>
    <n v="50000"/>
    <x v="0"/>
  </r>
  <r>
    <n v="1382"/>
    <n v="55"/>
    <x v="39"/>
    <d v="2025-09-19T00:00:00"/>
    <x v="3"/>
    <x v="1"/>
    <x v="0"/>
    <x v="0"/>
    <n v="55000"/>
    <s v="Online"/>
    <n v="55000"/>
    <x v="8"/>
  </r>
  <r>
    <n v="1383"/>
    <n v="60"/>
    <x v="43"/>
    <d v="2025-02-21T00:00:00"/>
    <x v="9"/>
    <x v="1"/>
    <x v="1"/>
    <x v="0"/>
    <n v="45000"/>
    <s v="card"/>
    <n v="180000"/>
    <x v="6"/>
  </r>
  <r>
    <n v="1384"/>
    <n v="95"/>
    <x v="11"/>
    <d v="2025-02-18T00:00:00"/>
    <x v="3"/>
    <x v="1"/>
    <x v="1"/>
    <x v="0"/>
    <n v="55000"/>
    <s v="Online"/>
    <n v="220000"/>
    <x v="6"/>
  </r>
  <r>
    <n v="1385"/>
    <n v="46"/>
    <x v="98"/>
    <d v="2025-11-15T00:00:00"/>
    <x v="2"/>
    <x v="2"/>
    <x v="0"/>
    <x v="0"/>
    <n v="75000"/>
    <s v="card"/>
    <n v="75000"/>
    <x v="1"/>
  </r>
  <r>
    <n v="1386"/>
    <n v="52"/>
    <x v="10"/>
    <d v="2025-05-20T00:00:00"/>
    <x v="2"/>
    <x v="2"/>
    <x v="1"/>
    <x v="0"/>
    <n v="75000"/>
    <s v="card"/>
    <n v="300000"/>
    <x v="11"/>
  </r>
  <r>
    <n v="1387"/>
    <n v="17"/>
    <x v="40"/>
    <d v="2025-01-31T00:00:00"/>
    <x v="5"/>
    <x v="1"/>
    <x v="2"/>
    <x v="0"/>
    <n v="65000"/>
    <s v="Cash"/>
    <n v="130000"/>
    <x v="0"/>
  </r>
  <r>
    <n v="1388"/>
    <n v="79"/>
    <x v="37"/>
    <d v="2025-07-03T00:00:00"/>
    <x v="11"/>
    <x v="2"/>
    <x v="1"/>
    <x v="0"/>
    <n v="40428.571428571428"/>
    <s v="card"/>
    <n v="161714.28571428571"/>
    <x v="10"/>
  </r>
  <r>
    <n v="1389"/>
    <n v="114"/>
    <x v="63"/>
    <d v="2025-08-14T00:00:00"/>
    <x v="11"/>
    <x v="2"/>
    <x v="0"/>
    <x v="0"/>
    <n v="40000"/>
    <s v="Online "/>
    <n v="40000"/>
    <x v="4"/>
  </r>
  <r>
    <n v="1390"/>
    <n v="112"/>
    <x v="16"/>
    <d v="2025-09-23T00:00:00"/>
    <x v="7"/>
    <x v="0"/>
    <x v="2"/>
    <x v="0"/>
    <n v="65000"/>
    <s v="Online "/>
    <n v="130000"/>
    <x v="8"/>
  </r>
  <r>
    <n v="1391"/>
    <n v="87"/>
    <x v="71"/>
    <d v="2025-07-17T00:00:00"/>
    <x v="8"/>
    <x v="1"/>
    <x v="0"/>
    <x v="0"/>
    <n v="35000"/>
    <s v="card"/>
    <n v="35000"/>
    <x v="10"/>
  </r>
  <r>
    <n v="1392"/>
    <n v="112"/>
    <x v="16"/>
    <d v="2025-08-02T00:00:00"/>
    <x v="1"/>
    <x v="1"/>
    <x v="0"/>
    <x v="0"/>
    <n v="58000"/>
    <s v="Unknown"/>
    <n v="58000"/>
    <x v="4"/>
  </r>
  <r>
    <n v="1393"/>
    <n v="29"/>
    <x v="19"/>
    <d v="2025-11-26T00:00:00"/>
    <x v="6"/>
    <x v="2"/>
    <x v="1"/>
    <x v="0"/>
    <n v="85000"/>
    <s v="card"/>
    <n v="340000"/>
    <x v="1"/>
  </r>
  <r>
    <n v="1394"/>
    <n v="103"/>
    <x v="91"/>
    <d v="2025-08-18T00:00:00"/>
    <x v="4"/>
    <x v="2"/>
    <x v="2"/>
    <x v="0"/>
    <n v="50000"/>
    <s v="Online "/>
    <n v="100000"/>
    <x v="4"/>
  </r>
  <r>
    <n v="1395"/>
    <n v="84"/>
    <x v="75"/>
    <d v="2025-02-22T00:00:00"/>
    <x v="9"/>
    <x v="1"/>
    <x v="0"/>
    <x v="0"/>
    <n v="50000"/>
    <s v="card"/>
    <n v="50000"/>
    <x v="6"/>
  </r>
  <r>
    <n v="1396"/>
    <n v="102"/>
    <x v="9"/>
    <d v="2025-11-13T00:00:00"/>
    <x v="4"/>
    <x v="2"/>
    <x v="2"/>
    <x v="0"/>
    <n v="55000"/>
    <s v="Online"/>
    <n v="110000"/>
    <x v="1"/>
  </r>
  <r>
    <n v="1397"/>
    <n v="47"/>
    <x v="59"/>
    <d v="2025-04-25T00:00:00"/>
    <x v="9"/>
    <x v="1"/>
    <x v="2"/>
    <x v="0"/>
    <n v="50000"/>
    <s v="Online "/>
    <n v="100000"/>
    <x v="7"/>
  </r>
  <r>
    <n v="1398"/>
    <n v="85"/>
    <x v="6"/>
    <d v="2025-08-20T00:00:00"/>
    <x v="7"/>
    <x v="0"/>
    <x v="1"/>
    <x v="0"/>
    <n v="65000"/>
    <s v="Online"/>
    <n v="260000"/>
    <x v="4"/>
  </r>
  <r>
    <n v="1399"/>
    <n v="107"/>
    <x v="20"/>
    <d v="2025-05-30T00:00:00"/>
    <x v="8"/>
    <x v="1"/>
    <x v="5"/>
    <x v="0"/>
    <n v="30000"/>
    <s v="card"/>
    <n v="90000"/>
    <x v="11"/>
  </r>
  <r>
    <n v="1400"/>
    <n v="18"/>
    <x v="35"/>
    <d v="2025-07-29T00:00:00"/>
    <x v="5"/>
    <x v="1"/>
    <x v="2"/>
    <x v="0"/>
    <n v="60000"/>
    <s v="card"/>
    <n v="120000"/>
    <x v="10"/>
  </r>
  <r>
    <n v="1401"/>
    <n v="28"/>
    <x v="82"/>
    <d v="2025-08-04T00:00:00"/>
    <x v="2"/>
    <x v="2"/>
    <x v="0"/>
    <x v="0"/>
    <n v="75256.41025641025"/>
    <s v="card"/>
    <n v="75256.41025641025"/>
    <x v="4"/>
  </r>
  <r>
    <n v="1402"/>
    <n v="59"/>
    <x v="36"/>
    <d v="2025-10-29T00:00:00"/>
    <x v="8"/>
    <x v="1"/>
    <x v="2"/>
    <x v="0"/>
    <n v="35000"/>
    <s v="Cash"/>
    <n v="70000"/>
    <x v="3"/>
  </r>
  <r>
    <n v="1403"/>
    <n v="120"/>
    <x v="71"/>
    <d v="2025-10-27T00:00:00"/>
    <x v="11"/>
    <x v="2"/>
    <x v="5"/>
    <x v="0"/>
    <n v="45000"/>
    <s v="card"/>
    <n v="135000"/>
    <x v="3"/>
  </r>
  <r>
    <n v="1404"/>
    <n v="50"/>
    <x v="24"/>
    <d v="2025-04-11T00:00:00"/>
    <x v="8"/>
    <x v="1"/>
    <x v="2"/>
    <x v="0"/>
    <n v="35000"/>
    <s v="Online"/>
    <n v="70000"/>
    <x v="7"/>
  </r>
  <r>
    <n v="1405"/>
    <n v="51"/>
    <x v="93"/>
    <d v="2025-05-31T00:00:00"/>
    <x v="7"/>
    <x v="0"/>
    <x v="0"/>
    <x v="0"/>
    <n v="65000"/>
    <s v="Online "/>
    <n v="65000"/>
    <x v="11"/>
  </r>
  <r>
    <n v="1406"/>
    <n v="71"/>
    <x v="96"/>
    <d v="2025-12-31T00:00:00"/>
    <x v="7"/>
    <x v="0"/>
    <x v="0"/>
    <x v="0"/>
    <n v="65000"/>
    <s v="Unknown"/>
    <n v="65000"/>
    <x v="9"/>
  </r>
  <r>
    <n v="1407"/>
    <n v="45"/>
    <x v="55"/>
    <d v="2025-03-09T00:00:00"/>
    <x v="8"/>
    <x v="1"/>
    <x v="2"/>
    <x v="0"/>
    <n v="40000"/>
    <s v="Online "/>
    <n v="80000"/>
    <x v="5"/>
  </r>
  <r>
    <n v="1408"/>
    <n v="15"/>
    <x v="8"/>
    <d v="2025-10-15T00:00:00"/>
    <x v="7"/>
    <x v="0"/>
    <x v="5"/>
    <x v="0"/>
    <n v="70000"/>
    <s v="card"/>
    <n v="210000"/>
    <x v="3"/>
  </r>
  <r>
    <n v="1409"/>
    <n v="67"/>
    <x v="90"/>
    <d v="2025-01-13T00:00:00"/>
    <x v="3"/>
    <x v="1"/>
    <x v="0"/>
    <x v="0"/>
    <n v="50000"/>
    <s v="Cash"/>
    <n v="50000"/>
    <x v="0"/>
  </r>
  <r>
    <n v="1410"/>
    <n v="37"/>
    <x v="22"/>
    <d v="2025-05-09T00:00:00"/>
    <x v="8"/>
    <x v="1"/>
    <x v="5"/>
    <x v="0"/>
    <n v="35000"/>
    <s v="Online"/>
    <n v="105000"/>
    <x v="11"/>
  </r>
  <r>
    <n v="1411"/>
    <n v="105"/>
    <x v="104"/>
    <d v="2025-02-22T00:00:00"/>
    <x v="2"/>
    <x v="2"/>
    <x v="5"/>
    <x v="0"/>
    <n v="80000"/>
    <s v="Cash"/>
    <n v="240000"/>
    <x v="6"/>
  </r>
  <r>
    <n v="1412"/>
    <n v="101"/>
    <x v="33"/>
    <d v="2025-05-28T00:00:00"/>
    <x v="5"/>
    <x v="1"/>
    <x v="2"/>
    <x v="0"/>
    <n v="60000"/>
    <s v="Cash"/>
    <n v="120000"/>
    <x v="11"/>
  </r>
  <r>
    <n v="1413"/>
    <n v="7"/>
    <x v="44"/>
    <d v="2025-09-05T00:00:00"/>
    <x v="9"/>
    <x v="1"/>
    <x v="1"/>
    <x v="0"/>
    <n v="45353.535353535357"/>
    <s v="Cash"/>
    <n v="181414.14141414143"/>
    <x v="8"/>
  </r>
  <r>
    <n v="1414"/>
    <n v="70"/>
    <x v="97"/>
    <d v="2025-11-05T00:00:00"/>
    <x v="5"/>
    <x v="1"/>
    <x v="0"/>
    <x v="0"/>
    <n v="60000"/>
    <s v="Cash"/>
    <n v="60000"/>
    <x v="1"/>
  </r>
  <r>
    <n v="1415"/>
    <n v="118"/>
    <x v="52"/>
    <d v="2025-09-21T00:00:00"/>
    <x v="1"/>
    <x v="1"/>
    <x v="0"/>
    <x v="0"/>
    <n v="58000"/>
    <s v="Cash"/>
    <n v="58000"/>
    <x v="8"/>
  </r>
  <r>
    <n v="1416"/>
    <n v="21"/>
    <x v="105"/>
    <d v="2025-11-05T00:00:00"/>
    <x v="4"/>
    <x v="2"/>
    <x v="2"/>
    <x v="0"/>
    <n v="50000"/>
    <s v="Online"/>
    <n v="100000"/>
    <x v="1"/>
  </r>
  <r>
    <n v="1417"/>
    <n v="77"/>
    <x v="49"/>
    <d v="2025-11-17T00:00:00"/>
    <x v="9"/>
    <x v="1"/>
    <x v="0"/>
    <x v="0"/>
    <n v="50000"/>
    <s v="card"/>
    <n v="50000"/>
    <x v="1"/>
  </r>
  <r>
    <n v="1418"/>
    <n v="101"/>
    <x v="33"/>
    <d v="2025-06-12T00:00:00"/>
    <x v="5"/>
    <x v="1"/>
    <x v="0"/>
    <x v="0"/>
    <n v="65000"/>
    <s v="card"/>
    <n v="65000"/>
    <x v="2"/>
  </r>
  <r>
    <n v="1419"/>
    <n v="70"/>
    <x v="97"/>
    <d v="2025-07-26T00:00:00"/>
    <x v="6"/>
    <x v="2"/>
    <x v="0"/>
    <x v="0"/>
    <n v="84857.142857142855"/>
    <s v="Online"/>
    <n v="84857.142857142855"/>
    <x v="10"/>
  </r>
  <r>
    <n v="1420"/>
    <n v="47"/>
    <x v="59"/>
    <d v="2025-04-22T00:00:00"/>
    <x v="0"/>
    <x v="0"/>
    <x v="2"/>
    <x v="0"/>
    <n v="57000"/>
    <s v="card"/>
    <n v="114000"/>
    <x v="7"/>
  </r>
  <r>
    <n v="1421"/>
    <n v="31"/>
    <x v="103"/>
    <d v="2025-11-11T00:00:00"/>
    <x v="8"/>
    <x v="1"/>
    <x v="0"/>
    <x v="0"/>
    <n v="35000"/>
    <s v="card"/>
    <n v="35000"/>
    <x v="1"/>
  </r>
  <r>
    <n v="1422"/>
    <n v="33"/>
    <x v="30"/>
    <d v="2025-05-25T00:00:00"/>
    <x v="6"/>
    <x v="2"/>
    <x v="2"/>
    <x v="0"/>
    <n v="90000"/>
    <s v="card"/>
    <n v="180000"/>
    <x v="11"/>
  </r>
  <r>
    <n v="1423"/>
    <n v="38"/>
    <x v="31"/>
    <d v="2025-04-09T00:00:00"/>
    <x v="8"/>
    <x v="1"/>
    <x v="0"/>
    <x v="0"/>
    <n v="35000"/>
    <s v="Online "/>
    <n v="35000"/>
    <x v="7"/>
  </r>
  <r>
    <n v="1424"/>
    <n v="9"/>
    <x v="88"/>
    <d v="2025-12-10T00:00:00"/>
    <x v="10"/>
    <x v="1"/>
    <x v="1"/>
    <x v="0"/>
    <n v="48000"/>
    <s v="Cash"/>
    <n v="192000"/>
    <x v="9"/>
  </r>
  <r>
    <n v="1425"/>
    <n v="107"/>
    <x v="20"/>
    <d v="2025-08-11T00:00:00"/>
    <x v="5"/>
    <x v="1"/>
    <x v="5"/>
    <x v="0"/>
    <n v="60000"/>
    <s v="Online "/>
    <n v="180000"/>
    <x v="4"/>
  </r>
  <r>
    <n v="1426"/>
    <n v="43"/>
    <x v="23"/>
    <d v="2025-02-14T00:00:00"/>
    <x v="9"/>
    <x v="1"/>
    <x v="0"/>
    <x v="0"/>
    <n v="45000"/>
    <s v="Cash"/>
    <n v="45000"/>
    <x v="6"/>
  </r>
  <r>
    <n v="1427"/>
    <n v="106"/>
    <x v="12"/>
    <d v="2025-05-13T00:00:00"/>
    <x v="10"/>
    <x v="1"/>
    <x v="2"/>
    <x v="0"/>
    <n v="48000"/>
    <s v="card"/>
    <n v="96000"/>
    <x v="11"/>
  </r>
  <r>
    <n v="1428"/>
    <n v="50"/>
    <x v="24"/>
    <d v="2025-03-02T00:00:00"/>
    <x v="8"/>
    <x v="1"/>
    <x v="5"/>
    <x v="0"/>
    <n v="40000"/>
    <s v="Online "/>
    <n v="120000"/>
    <x v="5"/>
  </r>
  <r>
    <n v="1429"/>
    <n v="109"/>
    <x v="106"/>
    <d v="2025-07-03T00:00:00"/>
    <x v="3"/>
    <x v="1"/>
    <x v="0"/>
    <x v="0"/>
    <n v="55000"/>
    <s v="Online"/>
    <n v="55000"/>
    <x v="10"/>
  </r>
  <r>
    <n v="1430"/>
    <n v="98"/>
    <x v="62"/>
    <d v="2025-07-15T00:00:00"/>
    <x v="2"/>
    <x v="2"/>
    <x v="2"/>
    <x v="0"/>
    <n v="75000"/>
    <s v="Cash"/>
    <n v="150000"/>
    <x v="10"/>
  </r>
  <r>
    <n v="1431"/>
    <n v="96"/>
    <x v="1"/>
    <d v="2025-10-07T00:00:00"/>
    <x v="11"/>
    <x v="2"/>
    <x v="0"/>
    <x v="0"/>
    <n v="40000"/>
    <s v="card"/>
    <n v="40000"/>
    <x v="3"/>
  </r>
  <r>
    <n v="1432"/>
    <n v="6"/>
    <x v="27"/>
    <d v="2025-10-21T00:00:00"/>
    <x v="9"/>
    <x v="1"/>
    <x v="2"/>
    <x v="0"/>
    <n v="50000"/>
    <s v="Cash"/>
    <n v="100000"/>
    <x v="3"/>
  </r>
  <r>
    <n v="1433"/>
    <n v="96"/>
    <x v="1"/>
    <d v="2025-06-26T00:00:00"/>
    <x v="5"/>
    <x v="1"/>
    <x v="5"/>
    <x v="0"/>
    <n v="65000"/>
    <s v="Cash"/>
    <n v="195000"/>
    <x v="2"/>
  </r>
  <r>
    <n v="1434"/>
    <n v="29"/>
    <x v="19"/>
    <d v="2025-05-10T00:00:00"/>
    <x v="4"/>
    <x v="2"/>
    <x v="0"/>
    <x v="0"/>
    <n v="55000"/>
    <s v="Online "/>
    <n v="55000"/>
    <x v="11"/>
  </r>
  <r>
    <n v="1435"/>
    <n v="71"/>
    <x v="96"/>
    <d v="2025-05-29T00:00:00"/>
    <x v="3"/>
    <x v="1"/>
    <x v="0"/>
    <x v="0"/>
    <n v="50000"/>
    <s v="Online"/>
    <n v="50000"/>
    <x v="11"/>
  </r>
  <r>
    <n v="1436"/>
    <n v="46"/>
    <x v="98"/>
    <d v="2025-12-10T00:00:00"/>
    <x v="1"/>
    <x v="1"/>
    <x v="0"/>
    <x v="0"/>
    <n v="58000"/>
    <s v="Cash"/>
    <n v="58000"/>
    <x v="9"/>
  </r>
  <r>
    <n v="1437"/>
    <n v="41"/>
    <x v="86"/>
    <d v="2025-08-19T00:00:00"/>
    <x v="2"/>
    <x v="2"/>
    <x v="5"/>
    <x v="0"/>
    <n v="75256.41025641025"/>
    <s v="Online"/>
    <n v="225769.23076923075"/>
    <x v="4"/>
  </r>
  <r>
    <n v="1438"/>
    <n v="60"/>
    <x v="43"/>
    <d v="2025-03-28T00:00:00"/>
    <x v="11"/>
    <x v="2"/>
    <x v="0"/>
    <x v="0"/>
    <n v="40000"/>
    <s v="Online"/>
    <n v="40000"/>
    <x v="5"/>
  </r>
  <r>
    <n v="1439"/>
    <n v="108"/>
    <x v="107"/>
    <d v="2025-10-03T00:00:00"/>
    <x v="7"/>
    <x v="0"/>
    <x v="2"/>
    <x v="0"/>
    <n v="65000"/>
    <s v="Online"/>
    <n v="130000"/>
    <x v="3"/>
  </r>
  <r>
    <n v="1440"/>
    <n v="63"/>
    <x v="3"/>
    <d v="2025-02-25T00:00:00"/>
    <x v="6"/>
    <x v="2"/>
    <x v="1"/>
    <x v="0"/>
    <n v="85000"/>
    <s v="Online"/>
    <n v="340000"/>
    <x v="6"/>
  </r>
  <r>
    <n v="1441"/>
    <n v="94"/>
    <x v="73"/>
    <d v="2025-02-09T00:00:00"/>
    <x v="8"/>
    <x v="1"/>
    <x v="0"/>
    <x v="0"/>
    <n v="40000"/>
    <s v="Cash"/>
    <n v="40000"/>
    <x v="6"/>
  </r>
  <r>
    <n v="1442"/>
    <n v="75"/>
    <x v="70"/>
    <d v="2025-10-30T00:00:00"/>
    <x v="11"/>
    <x v="2"/>
    <x v="2"/>
    <x v="0"/>
    <n v="40000"/>
    <s v="Online "/>
    <n v="80000"/>
    <x v="3"/>
  </r>
  <r>
    <n v="1443"/>
    <n v="100"/>
    <x v="61"/>
    <d v="2025-07-07T00:00:00"/>
    <x v="1"/>
    <x v="1"/>
    <x v="1"/>
    <x v="0"/>
    <n v="63000"/>
    <s v="Cash"/>
    <n v="252000"/>
    <x v="10"/>
  </r>
  <r>
    <n v="1444"/>
    <n v="60"/>
    <x v="43"/>
    <d v="2025-09-19T00:00:00"/>
    <x v="6"/>
    <x v="2"/>
    <x v="0"/>
    <x v="0"/>
    <n v="90000"/>
    <s v="Cash"/>
    <n v="90000"/>
    <x v="8"/>
  </r>
  <r>
    <n v="1445"/>
    <n v="88"/>
    <x v="29"/>
    <d v="2025-09-21T00:00:00"/>
    <x v="1"/>
    <x v="1"/>
    <x v="4"/>
    <x v="1"/>
    <n v="58000"/>
    <s v="Online "/>
    <n v="-58000"/>
    <x v="8"/>
  </r>
  <r>
    <n v="1446"/>
    <n v="94"/>
    <x v="73"/>
    <d v="2025-07-03T00:00:00"/>
    <x v="2"/>
    <x v="2"/>
    <x v="1"/>
    <x v="0"/>
    <n v="75000"/>
    <s v="Online"/>
    <n v="300000"/>
    <x v="10"/>
  </r>
  <r>
    <n v="1447"/>
    <n v="48"/>
    <x v="58"/>
    <d v="2025-01-22T00:00:00"/>
    <x v="10"/>
    <x v="1"/>
    <x v="2"/>
    <x v="0"/>
    <n v="48000"/>
    <s v="card"/>
    <n v="96000"/>
    <x v="0"/>
  </r>
  <r>
    <n v="1448"/>
    <n v="113"/>
    <x v="69"/>
    <d v="2025-01-21T00:00:00"/>
    <x v="9"/>
    <x v="1"/>
    <x v="0"/>
    <x v="0"/>
    <n v="50000"/>
    <s v="Online "/>
    <n v="50000"/>
    <x v="0"/>
  </r>
  <r>
    <n v="1449"/>
    <n v="34"/>
    <x v="100"/>
    <d v="2025-10-06T00:00:00"/>
    <x v="4"/>
    <x v="2"/>
    <x v="2"/>
    <x v="0"/>
    <n v="50000"/>
    <s v="Cash"/>
    <n v="100000"/>
    <x v="3"/>
  </r>
  <r>
    <n v="1450"/>
    <n v="33"/>
    <x v="30"/>
    <d v="2025-04-25T00:00:00"/>
    <x v="11"/>
    <x v="2"/>
    <x v="0"/>
    <x v="0"/>
    <n v="40000"/>
    <s v="Cash"/>
    <n v="40000"/>
    <x v="7"/>
  </r>
  <r>
    <n v="1451"/>
    <n v="1"/>
    <x v="77"/>
    <d v="2025-03-13T00:00:00"/>
    <x v="6"/>
    <x v="2"/>
    <x v="0"/>
    <x v="0"/>
    <n v="80000"/>
    <s v="Cash"/>
    <n v="80000"/>
    <x v="5"/>
  </r>
  <r>
    <n v="1452"/>
    <n v="20"/>
    <x v="48"/>
    <d v="2025-03-22T00:00:00"/>
    <x v="1"/>
    <x v="1"/>
    <x v="5"/>
    <x v="0"/>
    <n v="58000"/>
    <s v="Online "/>
    <n v="174000"/>
    <x v="5"/>
  </r>
  <r>
    <n v="1453"/>
    <n v="15"/>
    <x v="8"/>
    <d v="2025-12-12T00:00:00"/>
    <x v="2"/>
    <x v="2"/>
    <x v="0"/>
    <x v="0"/>
    <n v="80000"/>
    <s v="card"/>
    <n v="80000"/>
    <x v="9"/>
  </r>
  <r>
    <n v="1454"/>
    <n v="32"/>
    <x v="4"/>
    <d v="2025-03-07T00:00:00"/>
    <x v="9"/>
    <x v="1"/>
    <x v="0"/>
    <x v="0"/>
    <n v="50000"/>
    <s v="card"/>
    <n v="50000"/>
    <x v="5"/>
  </r>
  <r>
    <n v="1455"/>
    <n v="22"/>
    <x v="66"/>
    <d v="2025-03-04T00:00:00"/>
    <x v="0"/>
    <x v="0"/>
    <x v="2"/>
    <x v="0"/>
    <n v="67000"/>
    <s v="Online "/>
    <n v="134000"/>
    <x v="5"/>
  </r>
  <r>
    <n v="1456"/>
    <n v="94"/>
    <x v="73"/>
    <d v="2025-05-26T00:00:00"/>
    <x v="8"/>
    <x v="1"/>
    <x v="2"/>
    <x v="0"/>
    <n v="40000"/>
    <s v="Cash"/>
    <n v="80000"/>
    <x v="11"/>
  </r>
  <r>
    <n v="1457"/>
    <n v="29"/>
    <x v="19"/>
    <d v="2025-11-04T00:00:00"/>
    <x v="11"/>
    <x v="2"/>
    <x v="2"/>
    <x v="0"/>
    <n v="45000"/>
    <s v="Online "/>
    <n v="90000"/>
    <x v="1"/>
  </r>
  <r>
    <n v="1458"/>
    <n v="88"/>
    <x v="29"/>
    <d v="2025-08-21T00:00:00"/>
    <x v="7"/>
    <x v="0"/>
    <x v="0"/>
    <x v="0"/>
    <n v="65000"/>
    <s v="card"/>
    <n v="65000"/>
    <x v="4"/>
  </r>
  <r>
    <n v="1459"/>
    <n v="3"/>
    <x v="72"/>
    <d v="2025-09-25T00:00:00"/>
    <x v="10"/>
    <x v="1"/>
    <x v="1"/>
    <x v="0"/>
    <n v="48000"/>
    <s v="Cash"/>
    <n v="192000"/>
    <x v="8"/>
  </r>
  <r>
    <n v="1460"/>
    <n v="61"/>
    <x v="25"/>
    <d v="2025-11-04T00:00:00"/>
    <x v="4"/>
    <x v="2"/>
    <x v="0"/>
    <x v="0"/>
    <n v="50000"/>
    <s v="Cash"/>
    <n v="50000"/>
    <x v="1"/>
  </r>
  <r>
    <n v="1461"/>
    <n v="70"/>
    <x v="97"/>
    <d v="2025-12-14T00:00:00"/>
    <x v="9"/>
    <x v="1"/>
    <x v="2"/>
    <x v="0"/>
    <n v="45000"/>
    <s v="Online "/>
    <n v="90000"/>
    <x v="9"/>
  </r>
  <r>
    <n v="1462"/>
    <n v="68"/>
    <x v="108"/>
    <d v="2025-04-28T00:00:00"/>
    <x v="11"/>
    <x v="2"/>
    <x v="0"/>
    <x v="0"/>
    <n v="40428.571428571428"/>
    <s v="card"/>
    <n v="40428.571428571428"/>
    <x v="7"/>
  </r>
  <r>
    <n v="1463"/>
    <n v="18"/>
    <x v="35"/>
    <d v="2025-09-02T00:00:00"/>
    <x v="0"/>
    <x v="0"/>
    <x v="0"/>
    <x v="0"/>
    <n v="67000"/>
    <s v="Online"/>
    <n v="67000"/>
    <x v="8"/>
  </r>
  <r>
    <n v="1464"/>
    <n v="25"/>
    <x v="94"/>
    <d v="2025-12-30T00:00:00"/>
    <x v="9"/>
    <x v="1"/>
    <x v="2"/>
    <x v="0"/>
    <n v="45353.535353535357"/>
    <s v="card"/>
    <n v="90707.070707070714"/>
    <x v="9"/>
  </r>
  <r>
    <n v="1465"/>
    <n v="84"/>
    <x v="75"/>
    <d v="2025-12-19T00:00:00"/>
    <x v="10"/>
    <x v="1"/>
    <x v="0"/>
    <x v="0"/>
    <n v="43000"/>
    <s v="Online "/>
    <n v="43000"/>
    <x v="9"/>
  </r>
  <r>
    <n v="1466"/>
    <n v="75"/>
    <x v="70"/>
    <d v="2025-05-14T00:00:00"/>
    <x v="0"/>
    <x v="0"/>
    <x v="2"/>
    <x v="0"/>
    <n v="62000"/>
    <s v="Online "/>
    <n v="124000"/>
    <x v="11"/>
  </r>
  <r>
    <n v="1467"/>
    <n v="51"/>
    <x v="93"/>
    <d v="2025-07-31T00:00:00"/>
    <x v="10"/>
    <x v="1"/>
    <x v="0"/>
    <x v="0"/>
    <n v="48000"/>
    <s v="Online"/>
    <n v="48000"/>
    <x v="10"/>
  </r>
  <r>
    <n v="1468"/>
    <n v="40"/>
    <x v="79"/>
    <d v="2025-06-26T00:00:00"/>
    <x v="4"/>
    <x v="2"/>
    <x v="5"/>
    <x v="0"/>
    <n v="50000"/>
    <s v="Online "/>
    <n v="150000"/>
    <x v="2"/>
  </r>
  <r>
    <n v="1469"/>
    <n v="30"/>
    <x v="101"/>
    <d v="2025-12-25T00:00:00"/>
    <x v="2"/>
    <x v="2"/>
    <x v="0"/>
    <x v="0"/>
    <n v="80000"/>
    <s v="Cash"/>
    <n v="80000"/>
    <x v="9"/>
  </r>
  <r>
    <n v="1470"/>
    <n v="79"/>
    <x v="37"/>
    <d v="2025-12-17T00:00:00"/>
    <x v="5"/>
    <x v="1"/>
    <x v="0"/>
    <x v="0"/>
    <n v="60000"/>
    <s v="card"/>
    <n v="60000"/>
    <x v="9"/>
  </r>
  <r>
    <n v="1471"/>
    <n v="106"/>
    <x v="12"/>
    <d v="2025-08-30T00:00:00"/>
    <x v="1"/>
    <x v="1"/>
    <x v="0"/>
    <x v="0"/>
    <n v="53000"/>
    <s v="Online"/>
    <n v="53000"/>
    <x v="4"/>
  </r>
  <r>
    <n v="1472"/>
    <n v="11"/>
    <x v="19"/>
    <d v="2025-01-20T00:00:00"/>
    <x v="4"/>
    <x v="2"/>
    <x v="2"/>
    <x v="0"/>
    <n v="55000"/>
    <s v="Online "/>
    <n v="110000"/>
    <x v="0"/>
  </r>
  <r>
    <n v="1473"/>
    <n v="118"/>
    <x v="52"/>
    <d v="2025-01-30T00:00:00"/>
    <x v="4"/>
    <x v="2"/>
    <x v="2"/>
    <x v="0"/>
    <n v="45000"/>
    <s v="Cash"/>
    <n v="90000"/>
    <x v="0"/>
  </r>
  <r>
    <n v="1474"/>
    <n v="5"/>
    <x v="15"/>
    <d v="2025-09-19T00:00:00"/>
    <x v="4"/>
    <x v="2"/>
    <x v="2"/>
    <x v="0"/>
    <n v="50000"/>
    <s v="Online"/>
    <n v="100000"/>
    <x v="8"/>
  </r>
  <r>
    <n v="1475"/>
    <n v="31"/>
    <x v="103"/>
    <d v="2025-01-01T00:00:00"/>
    <x v="8"/>
    <x v="1"/>
    <x v="0"/>
    <x v="0"/>
    <n v="35000"/>
    <s v="card"/>
    <n v="35000"/>
    <x v="0"/>
  </r>
  <r>
    <n v="1476"/>
    <n v="76"/>
    <x v="95"/>
    <d v="2025-09-23T00:00:00"/>
    <x v="10"/>
    <x v="1"/>
    <x v="0"/>
    <x v="0"/>
    <n v="53000"/>
    <s v="Online"/>
    <n v="53000"/>
    <x v="8"/>
  </r>
  <r>
    <n v="1477"/>
    <n v="118"/>
    <x v="52"/>
    <d v="2025-04-26T00:00:00"/>
    <x v="0"/>
    <x v="0"/>
    <x v="2"/>
    <x v="0"/>
    <n v="62000"/>
    <s v="Online"/>
    <n v="124000"/>
    <x v="7"/>
  </r>
  <r>
    <n v="1478"/>
    <n v="23"/>
    <x v="0"/>
    <d v="2025-09-17T00:00:00"/>
    <x v="11"/>
    <x v="2"/>
    <x v="2"/>
    <x v="0"/>
    <n v="40000"/>
    <s v="Cash"/>
    <n v="80000"/>
    <x v="8"/>
  </r>
  <r>
    <n v="1479"/>
    <n v="60"/>
    <x v="43"/>
    <d v="2025-03-10T00:00:00"/>
    <x v="0"/>
    <x v="0"/>
    <x v="5"/>
    <x v="0"/>
    <n v="62000"/>
    <s v="Cash"/>
    <n v="186000"/>
    <x v="5"/>
  </r>
  <r>
    <n v="1480"/>
    <n v="97"/>
    <x v="32"/>
    <d v="2025-08-23T00:00:00"/>
    <x v="7"/>
    <x v="0"/>
    <x v="2"/>
    <x v="0"/>
    <n v="60000"/>
    <s v="Online"/>
    <n v="120000"/>
    <x v="4"/>
  </r>
  <r>
    <n v="1481"/>
    <n v="9"/>
    <x v="88"/>
    <d v="2025-11-21T00:00:00"/>
    <x v="11"/>
    <x v="2"/>
    <x v="1"/>
    <x v="0"/>
    <n v="40000"/>
    <s v="Cash"/>
    <n v="160000"/>
    <x v="1"/>
  </r>
  <r>
    <n v="1482"/>
    <n v="69"/>
    <x v="60"/>
    <d v="2025-12-25T00:00:00"/>
    <x v="9"/>
    <x v="1"/>
    <x v="0"/>
    <x v="0"/>
    <n v="40000"/>
    <s v="card"/>
    <n v="40000"/>
    <x v="9"/>
  </r>
  <r>
    <n v="1483"/>
    <n v="71"/>
    <x v="96"/>
    <d v="2025-01-09T00:00:00"/>
    <x v="1"/>
    <x v="1"/>
    <x v="0"/>
    <x v="0"/>
    <n v="63000"/>
    <s v="Online "/>
    <n v="63000"/>
    <x v="0"/>
  </r>
  <r>
    <n v="1484"/>
    <n v="88"/>
    <x v="29"/>
    <d v="2025-09-13T00:00:00"/>
    <x v="10"/>
    <x v="1"/>
    <x v="0"/>
    <x v="0"/>
    <n v="48000"/>
    <s v="Cash"/>
    <n v="48000"/>
    <x v="8"/>
  </r>
  <r>
    <n v="1485"/>
    <n v="26"/>
    <x v="67"/>
    <d v="2025-11-13T00:00:00"/>
    <x v="10"/>
    <x v="1"/>
    <x v="1"/>
    <x v="0"/>
    <n v="43000"/>
    <s v="Online "/>
    <n v="172000"/>
    <x v="1"/>
  </r>
  <r>
    <n v="1486"/>
    <n v="60"/>
    <x v="43"/>
    <d v="2025-09-10T00:00:00"/>
    <x v="8"/>
    <x v="1"/>
    <x v="1"/>
    <x v="0"/>
    <n v="40000"/>
    <s v="Online"/>
    <n v="160000"/>
    <x v="8"/>
  </r>
  <r>
    <n v="1487"/>
    <n v="80"/>
    <x v="102"/>
    <d v="2025-10-09T00:00:00"/>
    <x v="7"/>
    <x v="0"/>
    <x v="2"/>
    <x v="0"/>
    <n v="65000"/>
    <s v="card"/>
    <n v="130000"/>
    <x v="3"/>
  </r>
  <r>
    <n v="1488"/>
    <n v="29"/>
    <x v="19"/>
    <d v="2025-07-03T00:00:00"/>
    <x v="4"/>
    <x v="2"/>
    <x v="2"/>
    <x v="0"/>
    <n v="55000"/>
    <s v="card"/>
    <n v="110000"/>
    <x v="10"/>
  </r>
  <r>
    <n v="1489"/>
    <n v="111"/>
    <x v="6"/>
    <d v="2025-03-31T00:00:00"/>
    <x v="8"/>
    <x v="1"/>
    <x v="5"/>
    <x v="0"/>
    <n v="40000"/>
    <s v="Online "/>
    <n v="120000"/>
    <x v="5"/>
  </r>
  <r>
    <n v="1490"/>
    <n v="2"/>
    <x v="34"/>
    <d v="2025-12-12T00:00:00"/>
    <x v="9"/>
    <x v="1"/>
    <x v="2"/>
    <x v="0"/>
    <n v="40000"/>
    <s v="Cash"/>
    <n v="80000"/>
    <x v="9"/>
  </r>
  <r>
    <n v="1491"/>
    <n v="111"/>
    <x v="6"/>
    <d v="2025-06-04T00:00:00"/>
    <x v="0"/>
    <x v="0"/>
    <x v="0"/>
    <x v="0"/>
    <n v="62000"/>
    <s v="Online"/>
    <n v="62000"/>
    <x v="2"/>
  </r>
  <r>
    <n v="1492"/>
    <n v="24"/>
    <x v="13"/>
    <d v="2025-06-08T00:00:00"/>
    <x v="2"/>
    <x v="2"/>
    <x v="5"/>
    <x v="0"/>
    <n v="75000"/>
    <s v="Online"/>
    <n v="225000"/>
    <x v="2"/>
  </r>
  <r>
    <n v="1493"/>
    <n v="58"/>
    <x v="7"/>
    <d v="2025-10-20T00:00:00"/>
    <x v="1"/>
    <x v="1"/>
    <x v="1"/>
    <x v="0"/>
    <n v="53000"/>
    <s v="Cash"/>
    <n v="212000"/>
    <x v="3"/>
  </r>
  <r>
    <n v="1494"/>
    <n v="72"/>
    <x v="51"/>
    <d v="2025-07-15T00:00:00"/>
    <x v="11"/>
    <x v="2"/>
    <x v="1"/>
    <x v="0"/>
    <n v="40000"/>
    <s v="Cash"/>
    <n v="160000"/>
    <x v="10"/>
  </r>
  <r>
    <n v="1495"/>
    <n v="54"/>
    <x v="89"/>
    <d v="2025-10-03T00:00:00"/>
    <x v="2"/>
    <x v="2"/>
    <x v="1"/>
    <x v="0"/>
    <n v="75000"/>
    <s v="Cash"/>
    <n v="300000"/>
    <x v="3"/>
  </r>
  <r>
    <n v="1496"/>
    <n v="110"/>
    <x v="83"/>
    <d v="2025-01-25T00:00:00"/>
    <x v="4"/>
    <x v="2"/>
    <x v="5"/>
    <x v="0"/>
    <n v="50000"/>
    <s v="Online"/>
    <n v="150000"/>
    <x v="0"/>
  </r>
  <r>
    <n v="1497"/>
    <n v="61"/>
    <x v="25"/>
    <d v="2025-02-19T00:00:00"/>
    <x v="8"/>
    <x v="1"/>
    <x v="0"/>
    <x v="0"/>
    <n v="35000"/>
    <s v="Online"/>
    <n v="35000"/>
    <x v="6"/>
  </r>
  <r>
    <n v="1498"/>
    <n v="3"/>
    <x v="72"/>
    <d v="2025-03-04T00:00:00"/>
    <x v="11"/>
    <x v="2"/>
    <x v="2"/>
    <x v="0"/>
    <n v="45000"/>
    <s v="Online"/>
    <n v="90000"/>
    <x v="5"/>
  </r>
  <r>
    <n v="1499"/>
    <n v="46"/>
    <x v="98"/>
    <d v="2025-11-12T00:00:00"/>
    <x v="7"/>
    <x v="0"/>
    <x v="1"/>
    <x v="0"/>
    <n v="65000"/>
    <s v="Unknown"/>
    <n v="260000"/>
    <x v="1"/>
  </r>
  <r>
    <n v="1500"/>
    <n v="37"/>
    <x v="22"/>
    <d v="2025-11-20T00:00:00"/>
    <x v="2"/>
    <x v="2"/>
    <x v="5"/>
    <x v="0"/>
    <n v="75000"/>
    <s v="card"/>
    <n v="225000"/>
    <x v="1"/>
  </r>
  <r>
    <n v="1501"/>
    <n v="11"/>
    <x v="19"/>
    <d v="2025-06-25T00:00:00"/>
    <x v="1"/>
    <x v="1"/>
    <x v="0"/>
    <x v="0"/>
    <n v="58000"/>
    <s v="Cash"/>
    <n v="58000"/>
    <x v="2"/>
  </r>
  <r>
    <n v="1502"/>
    <n v="83"/>
    <x v="57"/>
    <d v="2025-05-19T00:00:00"/>
    <x v="11"/>
    <x v="2"/>
    <x v="5"/>
    <x v="0"/>
    <n v="45000"/>
    <s v="card"/>
    <n v="135000"/>
    <x v="11"/>
  </r>
  <r>
    <n v="1503"/>
    <n v="22"/>
    <x v="66"/>
    <d v="2025-01-12T00:00:00"/>
    <x v="1"/>
    <x v="1"/>
    <x v="5"/>
    <x v="0"/>
    <n v="58000"/>
    <s v="Cash"/>
    <n v="174000"/>
    <x v="0"/>
  </r>
  <r>
    <n v="1504"/>
    <n v="22"/>
    <x v="66"/>
    <d v="2025-02-22T00:00:00"/>
    <x v="11"/>
    <x v="2"/>
    <x v="2"/>
    <x v="0"/>
    <n v="45000"/>
    <s v="card"/>
    <n v="90000"/>
    <x v="6"/>
  </r>
  <r>
    <n v="1505"/>
    <n v="68"/>
    <x v="108"/>
    <d v="2025-02-23T00:00:00"/>
    <x v="3"/>
    <x v="1"/>
    <x v="0"/>
    <x v="0"/>
    <n v="55000"/>
    <s v="Cash"/>
    <n v="55000"/>
    <x v="6"/>
  </r>
  <r>
    <n v="1506"/>
    <n v="95"/>
    <x v="11"/>
    <d v="2025-08-15T00:00:00"/>
    <x v="0"/>
    <x v="0"/>
    <x v="0"/>
    <x v="0"/>
    <n v="67000"/>
    <s v="card"/>
    <n v="67000"/>
    <x v="4"/>
  </r>
  <r>
    <n v="1507"/>
    <n v="85"/>
    <x v="6"/>
    <d v="2025-06-16T00:00:00"/>
    <x v="7"/>
    <x v="0"/>
    <x v="1"/>
    <x v="0"/>
    <n v="70000"/>
    <s v="Cash"/>
    <n v="280000"/>
    <x v="2"/>
  </r>
  <r>
    <n v="1508"/>
    <n v="78"/>
    <x v="4"/>
    <d v="2025-04-10T00:00:00"/>
    <x v="5"/>
    <x v="1"/>
    <x v="5"/>
    <x v="0"/>
    <n v="65000"/>
    <s v="Online"/>
    <n v="195000"/>
    <x v="7"/>
  </r>
  <r>
    <n v="1509"/>
    <n v="62"/>
    <x v="2"/>
    <d v="2025-04-27T00:00:00"/>
    <x v="6"/>
    <x v="2"/>
    <x v="0"/>
    <x v="0"/>
    <n v="85000"/>
    <s v="Cash"/>
    <n v="85000"/>
    <x v="7"/>
  </r>
  <r>
    <n v="1510"/>
    <n v="39"/>
    <x v="5"/>
    <d v="2025-01-01T00:00:00"/>
    <x v="9"/>
    <x v="1"/>
    <x v="0"/>
    <x v="0"/>
    <n v="45000"/>
    <s v="Online "/>
    <n v="45000"/>
    <x v="0"/>
  </r>
  <r>
    <n v="1511"/>
    <n v="119"/>
    <x v="56"/>
    <d v="2025-09-02T00:00:00"/>
    <x v="2"/>
    <x v="2"/>
    <x v="1"/>
    <x v="0"/>
    <n v="75000"/>
    <s v="card"/>
    <n v="300000"/>
    <x v="8"/>
  </r>
  <r>
    <n v="1512"/>
    <n v="71"/>
    <x v="96"/>
    <d v="2025-07-04T00:00:00"/>
    <x v="7"/>
    <x v="0"/>
    <x v="2"/>
    <x v="0"/>
    <n v="65000"/>
    <s v="card"/>
    <n v="130000"/>
    <x v="10"/>
  </r>
  <r>
    <n v="1513"/>
    <n v="29"/>
    <x v="19"/>
    <d v="2025-02-10T00:00:00"/>
    <x v="0"/>
    <x v="0"/>
    <x v="3"/>
    <x v="1"/>
    <n v="67000"/>
    <s v="Online"/>
    <n v="-134000"/>
    <x v="6"/>
  </r>
  <r>
    <n v="1514"/>
    <n v="84"/>
    <x v="75"/>
    <d v="2025-09-30T00:00:00"/>
    <x v="5"/>
    <x v="1"/>
    <x v="0"/>
    <x v="0"/>
    <n v="55000"/>
    <s v="Online"/>
    <n v="55000"/>
    <x v="8"/>
  </r>
  <r>
    <n v="1515"/>
    <n v="15"/>
    <x v="8"/>
    <d v="2025-08-22T00:00:00"/>
    <x v="8"/>
    <x v="1"/>
    <x v="0"/>
    <x v="0"/>
    <n v="40000"/>
    <s v="Online"/>
    <n v="40000"/>
    <x v="4"/>
  </r>
  <r>
    <n v="1516"/>
    <n v="3"/>
    <x v="72"/>
    <d v="2025-01-26T00:00:00"/>
    <x v="1"/>
    <x v="1"/>
    <x v="0"/>
    <x v="0"/>
    <n v="53000"/>
    <s v="Cash"/>
    <n v="53000"/>
    <x v="0"/>
  </r>
  <r>
    <n v="1517"/>
    <n v="92"/>
    <x v="64"/>
    <d v="2025-01-05T00:00:00"/>
    <x v="2"/>
    <x v="2"/>
    <x v="0"/>
    <x v="0"/>
    <n v="70000"/>
    <s v="Online"/>
    <n v="70000"/>
    <x v="0"/>
  </r>
  <r>
    <n v="1518"/>
    <n v="54"/>
    <x v="89"/>
    <d v="2025-09-13T00:00:00"/>
    <x v="0"/>
    <x v="0"/>
    <x v="5"/>
    <x v="0"/>
    <n v="57000"/>
    <s v="Cash"/>
    <n v="171000"/>
    <x v="8"/>
  </r>
  <r>
    <n v="1519"/>
    <n v="8"/>
    <x v="1"/>
    <d v="2025-07-20T00:00:00"/>
    <x v="0"/>
    <x v="0"/>
    <x v="0"/>
    <x v="0"/>
    <n v="62000"/>
    <s v="card"/>
    <n v="62000"/>
    <x v="10"/>
  </r>
  <r>
    <n v="1520"/>
    <n v="16"/>
    <x v="50"/>
    <d v="2025-08-05T00:00:00"/>
    <x v="5"/>
    <x v="1"/>
    <x v="0"/>
    <x v="0"/>
    <n v="55000"/>
    <s v="Online "/>
    <n v="55000"/>
    <x v="4"/>
  </r>
  <r>
    <n v="1521"/>
    <n v="99"/>
    <x v="87"/>
    <d v="2025-09-24T00:00:00"/>
    <x v="3"/>
    <x v="1"/>
    <x v="2"/>
    <x v="0"/>
    <n v="55000"/>
    <s v="Online"/>
    <n v="110000"/>
    <x v="8"/>
  </r>
  <r>
    <n v="1522"/>
    <n v="21"/>
    <x v="105"/>
    <d v="2025-01-22T00:00:00"/>
    <x v="8"/>
    <x v="1"/>
    <x v="0"/>
    <x v="0"/>
    <n v="35000"/>
    <s v="Cash"/>
    <n v="35000"/>
    <x v="0"/>
  </r>
  <r>
    <n v="1523"/>
    <n v="47"/>
    <x v="59"/>
    <d v="2025-12-08T00:00:00"/>
    <x v="9"/>
    <x v="1"/>
    <x v="0"/>
    <x v="0"/>
    <n v="45000"/>
    <s v="Cash"/>
    <n v="45000"/>
    <x v="9"/>
  </r>
  <r>
    <n v="1524"/>
    <n v="102"/>
    <x v="9"/>
    <d v="2025-10-27T00:00:00"/>
    <x v="0"/>
    <x v="0"/>
    <x v="1"/>
    <x v="0"/>
    <n v="62000"/>
    <s v="Cash"/>
    <n v="248000"/>
    <x v="3"/>
  </r>
  <r>
    <n v="1525"/>
    <n v="101"/>
    <x v="33"/>
    <d v="2025-09-01T00:00:00"/>
    <x v="5"/>
    <x v="1"/>
    <x v="0"/>
    <x v="0"/>
    <n v="59954.128440366971"/>
    <s v="card"/>
    <n v="59954.128440366971"/>
    <x v="8"/>
  </r>
  <r>
    <n v="1526"/>
    <n v="12"/>
    <x v="42"/>
    <d v="2025-11-13T00:00:00"/>
    <x v="8"/>
    <x v="1"/>
    <x v="0"/>
    <x v="0"/>
    <n v="35000"/>
    <s v="Online "/>
    <n v="35000"/>
    <x v="1"/>
  </r>
  <r>
    <n v="1527"/>
    <n v="69"/>
    <x v="60"/>
    <d v="2025-03-06T00:00:00"/>
    <x v="3"/>
    <x v="1"/>
    <x v="0"/>
    <x v="0"/>
    <n v="55320"/>
    <s v="card"/>
    <n v="55320"/>
    <x v="5"/>
  </r>
  <r>
    <n v="1528"/>
    <n v="94"/>
    <x v="73"/>
    <d v="2025-11-01T00:00:00"/>
    <x v="10"/>
    <x v="1"/>
    <x v="0"/>
    <x v="0"/>
    <n v="48000"/>
    <s v="card"/>
    <n v="48000"/>
    <x v="1"/>
  </r>
  <r>
    <n v="1529"/>
    <n v="91"/>
    <x v="74"/>
    <d v="2025-10-14T00:00:00"/>
    <x v="2"/>
    <x v="2"/>
    <x v="0"/>
    <x v="0"/>
    <n v="80000"/>
    <s v="Online"/>
    <n v="80000"/>
    <x v="3"/>
  </r>
  <r>
    <n v="1530"/>
    <n v="94"/>
    <x v="73"/>
    <d v="2025-05-21T00:00:00"/>
    <x v="2"/>
    <x v="2"/>
    <x v="4"/>
    <x v="1"/>
    <n v="80000"/>
    <s v="Online"/>
    <n v="-80000"/>
    <x v="11"/>
  </r>
  <r>
    <n v="1531"/>
    <n v="105"/>
    <x v="104"/>
    <d v="2025-05-10T00:00:00"/>
    <x v="0"/>
    <x v="0"/>
    <x v="0"/>
    <x v="0"/>
    <n v="67000"/>
    <s v="card"/>
    <n v="67000"/>
    <x v="11"/>
  </r>
  <r>
    <n v="1532"/>
    <n v="80"/>
    <x v="102"/>
    <d v="2025-11-14T00:00:00"/>
    <x v="7"/>
    <x v="0"/>
    <x v="5"/>
    <x v="0"/>
    <n v="60000"/>
    <s v="Cash"/>
    <n v="180000"/>
    <x v="1"/>
  </r>
  <r>
    <n v="1533"/>
    <n v="68"/>
    <x v="108"/>
    <d v="2025-09-12T00:00:00"/>
    <x v="8"/>
    <x v="1"/>
    <x v="2"/>
    <x v="0"/>
    <n v="35000"/>
    <s v="Online "/>
    <n v="70000"/>
    <x v="8"/>
  </r>
  <r>
    <n v="1534"/>
    <n v="42"/>
    <x v="14"/>
    <d v="2025-02-19T00:00:00"/>
    <x v="3"/>
    <x v="1"/>
    <x v="0"/>
    <x v="0"/>
    <n v="55000"/>
    <s v="Cash"/>
    <n v="55000"/>
    <x v="6"/>
  </r>
  <r>
    <n v="1535"/>
    <n v="14"/>
    <x v="85"/>
    <d v="2025-04-09T00:00:00"/>
    <x v="2"/>
    <x v="2"/>
    <x v="2"/>
    <x v="0"/>
    <n v="75000"/>
    <s v="Cash"/>
    <n v="150000"/>
    <x v="7"/>
  </r>
  <r>
    <n v="1536"/>
    <n v="80"/>
    <x v="102"/>
    <d v="2025-10-30T00:00:00"/>
    <x v="5"/>
    <x v="1"/>
    <x v="0"/>
    <x v="0"/>
    <n v="60000"/>
    <s v="card"/>
    <n v="60000"/>
    <x v="3"/>
  </r>
  <r>
    <n v="1537"/>
    <n v="120"/>
    <x v="71"/>
    <d v="2025-12-02T00:00:00"/>
    <x v="10"/>
    <x v="1"/>
    <x v="2"/>
    <x v="0"/>
    <n v="43000"/>
    <s v="Online"/>
    <n v="86000"/>
    <x v="9"/>
  </r>
  <r>
    <n v="1538"/>
    <n v="102"/>
    <x v="9"/>
    <d v="2025-01-30T00:00:00"/>
    <x v="5"/>
    <x v="1"/>
    <x v="2"/>
    <x v="0"/>
    <n v="55000"/>
    <s v="Online"/>
    <n v="110000"/>
    <x v="0"/>
  </r>
  <r>
    <n v="1539"/>
    <n v="10"/>
    <x v="84"/>
    <d v="2025-09-23T00:00:00"/>
    <x v="10"/>
    <x v="1"/>
    <x v="5"/>
    <x v="0"/>
    <n v="48053.763440860217"/>
    <s v="Cash"/>
    <n v="144161.29032258067"/>
    <x v="8"/>
  </r>
  <r>
    <n v="1540"/>
    <n v="25"/>
    <x v="94"/>
    <d v="2025-12-03T00:00:00"/>
    <x v="6"/>
    <x v="2"/>
    <x v="2"/>
    <x v="0"/>
    <n v="90000"/>
    <s v="Online "/>
    <n v="180000"/>
    <x v="9"/>
  </r>
  <r>
    <n v="1541"/>
    <n v="74"/>
    <x v="45"/>
    <d v="2025-12-12T00:00:00"/>
    <x v="7"/>
    <x v="0"/>
    <x v="0"/>
    <x v="0"/>
    <n v="65000"/>
    <s v="Cash"/>
    <n v="65000"/>
    <x v="9"/>
  </r>
  <r>
    <n v="1542"/>
    <n v="44"/>
    <x v="54"/>
    <d v="2025-03-22T00:00:00"/>
    <x v="8"/>
    <x v="1"/>
    <x v="0"/>
    <x v="0"/>
    <n v="35000"/>
    <s v="Online"/>
    <n v="35000"/>
    <x v="5"/>
  </r>
  <r>
    <n v="1543"/>
    <n v="53"/>
    <x v="28"/>
    <d v="2025-09-08T00:00:00"/>
    <x v="8"/>
    <x v="1"/>
    <x v="0"/>
    <x v="0"/>
    <n v="35000"/>
    <s v="card"/>
    <n v="35000"/>
    <x v="8"/>
  </r>
  <r>
    <n v="1544"/>
    <n v="99"/>
    <x v="87"/>
    <d v="2025-11-05T00:00:00"/>
    <x v="6"/>
    <x v="2"/>
    <x v="2"/>
    <x v="0"/>
    <n v="85000"/>
    <s v="Online"/>
    <n v="170000"/>
    <x v="1"/>
  </r>
  <r>
    <n v="1545"/>
    <n v="77"/>
    <x v="49"/>
    <d v="2025-09-23T00:00:00"/>
    <x v="9"/>
    <x v="1"/>
    <x v="0"/>
    <x v="0"/>
    <n v="45000"/>
    <s v="Online"/>
    <n v="45000"/>
    <x v="8"/>
  </r>
  <r>
    <n v="1546"/>
    <n v="3"/>
    <x v="72"/>
    <d v="2025-05-22T00:00:00"/>
    <x v="5"/>
    <x v="1"/>
    <x v="0"/>
    <x v="0"/>
    <n v="55000"/>
    <s v="Cash"/>
    <n v="55000"/>
    <x v="11"/>
  </r>
  <r>
    <n v="1547"/>
    <n v="18"/>
    <x v="35"/>
    <d v="2025-07-07T00:00:00"/>
    <x v="0"/>
    <x v="0"/>
    <x v="0"/>
    <x v="0"/>
    <n v="62000"/>
    <s v="Cash"/>
    <n v="62000"/>
    <x v="10"/>
  </r>
  <r>
    <n v="1548"/>
    <n v="52"/>
    <x v="10"/>
    <d v="2025-04-22T00:00:00"/>
    <x v="4"/>
    <x v="2"/>
    <x v="5"/>
    <x v="0"/>
    <n v="50000"/>
    <s v="card"/>
    <n v="150000"/>
    <x v="7"/>
  </r>
  <r>
    <n v="1549"/>
    <n v="106"/>
    <x v="12"/>
    <d v="2025-12-26T00:00:00"/>
    <x v="5"/>
    <x v="1"/>
    <x v="2"/>
    <x v="0"/>
    <n v="60000"/>
    <s v="card"/>
    <n v="120000"/>
    <x v="9"/>
  </r>
  <r>
    <n v="1550"/>
    <n v="100"/>
    <x v="61"/>
    <d v="2025-06-21T00:00:00"/>
    <x v="9"/>
    <x v="1"/>
    <x v="2"/>
    <x v="0"/>
    <n v="40000"/>
    <s v="Online "/>
    <n v="80000"/>
    <x v="2"/>
  </r>
  <r>
    <n v="1551"/>
    <n v="100"/>
    <x v="61"/>
    <d v="2025-07-15T00:00:00"/>
    <x v="8"/>
    <x v="1"/>
    <x v="2"/>
    <x v="0"/>
    <n v="30000"/>
    <s v="Online"/>
    <n v="60000"/>
    <x v="10"/>
  </r>
  <r>
    <n v="1552"/>
    <n v="65"/>
    <x v="41"/>
    <d v="2025-04-24T00:00:00"/>
    <x v="5"/>
    <x v="1"/>
    <x v="5"/>
    <x v="0"/>
    <n v="60000"/>
    <s v="Cash"/>
    <n v="180000"/>
    <x v="7"/>
  </r>
  <r>
    <n v="1553"/>
    <n v="56"/>
    <x v="53"/>
    <d v="2025-07-21T00:00:00"/>
    <x v="0"/>
    <x v="0"/>
    <x v="0"/>
    <x v="0"/>
    <n v="57000"/>
    <s v="Cash"/>
    <n v="57000"/>
    <x v="10"/>
  </r>
  <r>
    <n v="1554"/>
    <n v="52"/>
    <x v="10"/>
    <d v="2025-02-13T00:00:00"/>
    <x v="0"/>
    <x v="0"/>
    <x v="1"/>
    <x v="0"/>
    <n v="62000"/>
    <s v="Cash"/>
    <n v="248000"/>
    <x v="6"/>
  </r>
  <r>
    <n v="1555"/>
    <n v="26"/>
    <x v="67"/>
    <d v="2025-07-22T00:00:00"/>
    <x v="2"/>
    <x v="2"/>
    <x v="2"/>
    <x v="0"/>
    <n v="80000"/>
    <s v="Cash"/>
    <n v="160000"/>
    <x v="10"/>
  </r>
  <r>
    <n v="1556"/>
    <n v="10"/>
    <x v="84"/>
    <d v="2025-08-09T00:00:00"/>
    <x v="0"/>
    <x v="0"/>
    <x v="0"/>
    <x v="0"/>
    <n v="62000"/>
    <s v="Online"/>
    <n v="62000"/>
    <x v="4"/>
  </r>
  <r>
    <n v="1557"/>
    <n v="25"/>
    <x v="94"/>
    <d v="2025-06-26T00:00:00"/>
    <x v="7"/>
    <x v="0"/>
    <x v="1"/>
    <x v="0"/>
    <n v="65000"/>
    <s v="Cash"/>
    <n v="260000"/>
    <x v="2"/>
  </r>
  <r>
    <n v="1558"/>
    <n v="106"/>
    <x v="12"/>
    <d v="2025-11-16T00:00:00"/>
    <x v="2"/>
    <x v="2"/>
    <x v="0"/>
    <x v="0"/>
    <n v="75000"/>
    <s v="Cash"/>
    <n v="75000"/>
    <x v="1"/>
  </r>
  <r>
    <n v="1559"/>
    <n v="97"/>
    <x v="32"/>
    <d v="2025-02-13T00:00:00"/>
    <x v="5"/>
    <x v="1"/>
    <x v="0"/>
    <x v="0"/>
    <n v="65000"/>
    <s v="card"/>
    <n v="65000"/>
    <x v="6"/>
  </r>
  <r>
    <n v="1560"/>
    <n v="44"/>
    <x v="54"/>
    <d v="2025-02-26T00:00:00"/>
    <x v="5"/>
    <x v="1"/>
    <x v="2"/>
    <x v="0"/>
    <n v="55000"/>
    <s v="Online "/>
    <n v="110000"/>
    <x v="6"/>
  </r>
  <r>
    <n v="1561"/>
    <n v="69"/>
    <x v="60"/>
    <d v="2025-04-15T00:00:00"/>
    <x v="10"/>
    <x v="1"/>
    <x v="2"/>
    <x v="0"/>
    <n v="48000"/>
    <s v="Online "/>
    <n v="96000"/>
    <x v="7"/>
  </r>
  <r>
    <n v="1562"/>
    <n v="90"/>
    <x v="46"/>
    <d v="2025-01-10T00:00:00"/>
    <x v="8"/>
    <x v="1"/>
    <x v="0"/>
    <x v="0"/>
    <n v="35000"/>
    <s v="Cash"/>
    <n v="35000"/>
    <x v="0"/>
  </r>
  <r>
    <n v="1563"/>
    <n v="102"/>
    <x v="9"/>
    <d v="2025-11-13T00:00:00"/>
    <x v="5"/>
    <x v="1"/>
    <x v="2"/>
    <x v="0"/>
    <n v="55000"/>
    <s v="Online "/>
    <n v="110000"/>
    <x v="1"/>
  </r>
  <r>
    <n v="1564"/>
    <n v="35"/>
    <x v="81"/>
    <d v="2025-12-04T00:00:00"/>
    <x v="8"/>
    <x v="1"/>
    <x v="0"/>
    <x v="0"/>
    <n v="35000"/>
    <s v="Cash"/>
    <n v="35000"/>
    <x v="9"/>
  </r>
  <r>
    <n v="1565"/>
    <n v="49"/>
    <x v="4"/>
    <d v="2025-12-30T00:00:00"/>
    <x v="6"/>
    <x v="2"/>
    <x v="2"/>
    <x v="0"/>
    <n v="90000"/>
    <s v="Cash"/>
    <n v="180000"/>
    <x v="9"/>
  </r>
  <r>
    <n v="1566"/>
    <n v="26"/>
    <x v="67"/>
    <d v="2025-08-23T00:00:00"/>
    <x v="6"/>
    <x v="2"/>
    <x v="0"/>
    <x v="0"/>
    <n v="85000"/>
    <s v="Online"/>
    <n v="85000"/>
    <x v="4"/>
  </r>
  <r>
    <n v="1567"/>
    <n v="63"/>
    <x v="3"/>
    <d v="2025-03-22T00:00:00"/>
    <x v="11"/>
    <x v="2"/>
    <x v="5"/>
    <x v="0"/>
    <n v="40000"/>
    <s v="Cash"/>
    <n v="120000"/>
    <x v="5"/>
  </r>
  <r>
    <n v="1568"/>
    <n v="65"/>
    <x v="41"/>
    <d v="2025-01-02T00:00:00"/>
    <x v="0"/>
    <x v="0"/>
    <x v="2"/>
    <x v="0"/>
    <n v="57000"/>
    <s v="Cash"/>
    <n v="114000"/>
    <x v="0"/>
  </r>
  <r>
    <n v="1569"/>
    <n v="20"/>
    <x v="48"/>
    <d v="2025-07-21T00:00:00"/>
    <x v="7"/>
    <x v="0"/>
    <x v="0"/>
    <x v="0"/>
    <n v="65000"/>
    <s v="card"/>
    <n v="65000"/>
    <x v="10"/>
  </r>
  <r>
    <n v="1570"/>
    <n v="31"/>
    <x v="103"/>
    <d v="2025-03-20T00:00:00"/>
    <x v="4"/>
    <x v="2"/>
    <x v="2"/>
    <x v="0"/>
    <n v="50000"/>
    <s v="Cash"/>
    <n v="100000"/>
    <x v="5"/>
  </r>
  <r>
    <n v="1571"/>
    <n v="84"/>
    <x v="75"/>
    <d v="2025-10-25T00:00:00"/>
    <x v="1"/>
    <x v="1"/>
    <x v="1"/>
    <x v="0"/>
    <n v="58000"/>
    <s v="card"/>
    <n v="232000"/>
    <x v="3"/>
  </r>
  <r>
    <n v="1572"/>
    <n v="117"/>
    <x v="109"/>
    <d v="2025-12-02T00:00:00"/>
    <x v="1"/>
    <x v="1"/>
    <x v="4"/>
    <x v="1"/>
    <n v="53000"/>
    <s v="Cash"/>
    <n v="-53000"/>
    <x v="9"/>
  </r>
  <r>
    <n v="1573"/>
    <n v="41"/>
    <x v="86"/>
    <d v="2025-01-16T00:00:00"/>
    <x v="1"/>
    <x v="1"/>
    <x v="2"/>
    <x v="0"/>
    <n v="58000"/>
    <s v="Cash"/>
    <n v="116000"/>
    <x v="0"/>
  </r>
  <r>
    <n v="1574"/>
    <n v="100"/>
    <x v="61"/>
    <d v="2025-02-24T00:00:00"/>
    <x v="10"/>
    <x v="1"/>
    <x v="0"/>
    <x v="0"/>
    <n v="53000"/>
    <s v="Cash"/>
    <n v="53000"/>
    <x v="6"/>
  </r>
  <r>
    <n v="1575"/>
    <n v="73"/>
    <x v="14"/>
    <d v="2025-04-29T00:00:00"/>
    <x v="4"/>
    <x v="2"/>
    <x v="0"/>
    <x v="0"/>
    <n v="45000"/>
    <s v="Online "/>
    <n v="45000"/>
    <x v="7"/>
  </r>
  <r>
    <n v="1576"/>
    <n v="100"/>
    <x v="61"/>
    <d v="2025-10-03T00:00:00"/>
    <x v="2"/>
    <x v="2"/>
    <x v="5"/>
    <x v="0"/>
    <n v="75000"/>
    <s v="card"/>
    <n v="225000"/>
    <x v="3"/>
  </r>
  <r>
    <n v="1577"/>
    <n v="61"/>
    <x v="25"/>
    <d v="2025-03-25T00:00:00"/>
    <x v="1"/>
    <x v="1"/>
    <x v="0"/>
    <x v="0"/>
    <n v="58000"/>
    <s v="card"/>
    <n v="58000"/>
    <x v="5"/>
  </r>
  <r>
    <n v="1578"/>
    <n v="29"/>
    <x v="19"/>
    <d v="2025-12-10T00:00:00"/>
    <x v="5"/>
    <x v="1"/>
    <x v="0"/>
    <x v="0"/>
    <n v="60000"/>
    <s v="Online "/>
    <n v="60000"/>
    <x v="9"/>
  </r>
  <r>
    <n v="1579"/>
    <n v="42"/>
    <x v="14"/>
    <d v="2025-07-05T00:00:00"/>
    <x v="2"/>
    <x v="2"/>
    <x v="1"/>
    <x v="0"/>
    <n v="70000"/>
    <s v="Online "/>
    <n v="280000"/>
    <x v="10"/>
  </r>
  <r>
    <n v="1580"/>
    <n v="41"/>
    <x v="86"/>
    <d v="2025-11-10T00:00:00"/>
    <x v="11"/>
    <x v="2"/>
    <x v="2"/>
    <x v="0"/>
    <n v="40428.571428571428"/>
    <s v="card"/>
    <n v="80857.142857142855"/>
    <x v="1"/>
  </r>
  <r>
    <n v="1581"/>
    <n v="113"/>
    <x v="69"/>
    <d v="2025-09-23T00:00:00"/>
    <x v="10"/>
    <x v="1"/>
    <x v="5"/>
    <x v="0"/>
    <n v="43000"/>
    <s v="Cash"/>
    <n v="129000"/>
    <x v="8"/>
  </r>
  <r>
    <n v="1582"/>
    <n v="98"/>
    <x v="62"/>
    <d v="2025-01-26T00:00:00"/>
    <x v="8"/>
    <x v="1"/>
    <x v="2"/>
    <x v="0"/>
    <n v="35000"/>
    <s v="card"/>
    <n v="70000"/>
    <x v="0"/>
  </r>
  <r>
    <n v="1583"/>
    <n v="22"/>
    <x v="66"/>
    <d v="2025-05-31T00:00:00"/>
    <x v="11"/>
    <x v="2"/>
    <x v="5"/>
    <x v="0"/>
    <n v="45000"/>
    <s v="Online "/>
    <n v="135000"/>
    <x v="11"/>
  </r>
  <r>
    <n v="1584"/>
    <n v="58"/>
    <x v="7"/>
    <d v="2025-09-14T00:00:00"/>
    <x v="3"/>
    <x v="1"/>
    <x v="1"/>
    <x v="0"/>
    <n v="60000"/>
    <s v="card"/>
    <n v="240000"/>
    <x v="8"/>
  </r>
  <r>
    <n v="1585"/>
    <n v="53"/>
    <x v="28"/>
    <d v="2025-08-19T00:00:00"/>
    <x v="7"/>
    <x v="0"/>
    <x v="2"/>
    <x v="0"/>
    <n v="70000"/>
    <s v="card"/>
    <n v="140000"/>
    <x v="4"/>
  </r>
  <r>
    <n v="1587"/>
    <n v="58"/>
    <x v="7"/>
    <d v="2025-05-07T00:00:00"/>
    <x v="8"/>
    <x v="1"/>
    <x v="5"/>
    <x v="0"/>
    <n v="40000"/>
    <s v="card"/>
    <n v="120000"/>
    <x v="11"/>
  </r>
  <r>
    <n v="1588"/>
    <n v="71"/>
    <x v="96"/>
    <d v="2025-01-23T00:00:00"/>
    <x v="11"/>
    <x v="2"/>
    <x v="2"/>
    <x v="0"/>
    <n v="40000"/>
    <s v="Cash"/>
    <n v="80000"/>
    <x v="0"/>
  </r>
  <r>
    <n v="1589"/>
    <n v="99"/>
    <x v="87"/>
    <d v="2025-01-27T00:00:00"/>
    <x v="5"/>
    <x v="1"/>
    <x v="0"/>
    <x v="0"/>
    <n v="60000"/>
    <s v="card"/>
    <n v="60000"/>
    <x v="0"/>
  </r>
  <r>
    <n v="1590"/>
    <n v="116"/>
    <x v="76"/>
    <d v="2025-04-14T00:00:00"/>
    <x v="1"/>
    <x v="1"/>
    <x v="0"/>
    <x v="0"/>
    <n v="58142.857142857145"/>
    <s v="Cash"/>
    <n v="58142.857142857145"/>
    <x v="7"/>
  </r>
  <r>
    <n v="1591"/>
    <n v="104"/>
    <x v="76"/>
    <d v="2025-11-08T00:00:00"/>
    <x v="9"/>
    <x v="1"/>
    <x v="0"/>
    <x v="0"/>
    <n v="50000"/>
    <s v="card"/>
    <n v="50000"/>
    <x v="1"/>
  </r>
  <r>
    <n v="1592"/>
    <n v="53"/>
    <x v="28"/>
    <d v="2025-02-10T00:00:00"/>
    <x v="2"/>
    <x v="2"/>
    <x v="0"/>
    <x v="0"/>
    <n v="80000"/>
    <s v="card"/>
    <n v="80000"/>
    <x v="6"/>
  </r>
  <r>
    <n v="1593"/>
    <n v="24"/>
    <x v="13"/>
    <d v="2025-01-29T00:00:00"/>
    <x v="1"/>
    <x v="1"/>
    <x v="0"/>
    <x v="0"/>
    <n v="58000"/>
    <s v="Online"/>
    <n v="58000"/>
    <x v="0"/>
  </r>
  <r>
    <n v="1594"/>
    <n v="118"/>
    <x v="52"/>
    <d v="2025-01-26T00:00:00"/>
    <x v="3"/>
    <x v="1"/>
    <x v="0"/>
    <x v="0"/>
    <n v="55000"/>
    <s v="Cash"/>
    <n v="55000"/>
    <x v="0"/>
  </r>
  <r>
    <n v="1595"/>
    <n v="85"/>
    <x v="6"/>
    <d v="2025-12-25T00:00:00"/>
    <x v="5"/>
    <x v="1"/>
    <x v="2"/>
    <x v="0"/>
    <n v="65000"/>
    <s v="card"/>
    <n v="130000"/>
    <x v="9"/>
  </r>
  <r>
    <n v="1596"/>
    <n v="99"/>
    <x v="87"/>
    <d v="2025-06-15T00:00:00"/>
    <x v="0"/>
    <x v="0"/>
    <x v="1"/>
    <x v="0"/>
    <n v="57000"/>
    <s v="Online"/>
    <n v="228000"/>
    <x v="2"/>
  </r>
  <r>
    <n v="1597"/>
    <n v="61"/>
    <x v="25"/>
    <d v="2025-04-03T00:00:00"/>
    <x v="1"/>
    <x v="1"/>
    <x v="0"/>
    <x v="0"/>
    <n v="63000"/>
    <s v="Online "/>
    <n v="63000"/>
    <x v="7"/>
  </r>
  <r>
    <n v="1598"/>
    <n v="27"/>
    <x v="68"/>
    <d v="2025-01-30T00:00:00"/>
    <x v="4"/>
    <x v="2"/>
    <x v="2"/>
    <x v="0"/>
    <n v="55000"/>
    <s v="card"/>
    <n v="110000"/>
    <x v="0"/>
  </r>
  <r>
    <n v="1599"/>
    <n v="78"/>
    <x v="4"/>
    <d v="2025-05-13T00:00:00"/>
    <x v="7"/>
    <x v="0"/>
    <x v="0"/>
    <x v="0"/>
    <n v="70000"/>
    <s v="Cash"/>
    <n v="70000"/>
    <x v="11"/>
  </r>
  <r>
    <n v="1600"/>
    <n v="94"/>
    <x v="73"/>
    <d v="2025-09-12T00:00:00"/>
    <x v="8"/>
    <x v="1"/>
    <x v="2"/>
    <x v="0"/>
    <n v="35000"/>
    <s v="Cash"/>
    <n v="70000"/>
    <x v="8"/>
  </r>
  <r>
    <n v="1601"/>
    <n v="1"/>
    <x v="77"/>
    <d v="2025-01-13T00:00:00"/>
    <x v="3"/>
    <x v="1"/>
    <x v="5"/>
    <x v="0"/>
    <n v="55000"/>
    <s v="card"/>
    <n v="165000"/>
    <x v="0"/>
  </r>
  <r>
    <n v="1602"/>
    <n v="6"/>
    <x v="27"/>
    <d v="2025-06-29T00:00:00"/>
    <x v="7"/>
    <x v="0"/>
    <x v="0"/>
    <x v="0"/>
    <n v="65000"/>
    <s v="Unknown"/>
    <n v="65000"/>
    <x v="2"/>
  </r>
  <r>
    <n v="1603"/>
    <n v="102"/>
    <x v="9"/>
    <d v="2025-07-06T00:00:00"/>
    <x v="3"/>
    <x v="1"/>
    <x v="1"/>
    <x v="0"/>
    <n v="50000"/>
    <s v="Online"/>
    <n v="200000"/>
    <x v="10"/>
  </r>
  <r>
    <n v="1604"/>
    <n v="51"/>
    <x v="93"/>
    <d v="2025-10-19T00:00:00"/>
    <x v="5"/>
    <x v="1"/>
    <x v="1"/>
    <x v="0"/>
    <n v="60000"/>
    <s v="Online"/>
    <n v="240000"/>
    <x v="3"/>
  </r>
  <r>
    <n v="1605"/>
    <n v="119"/>
    <x v="56"/>
    <d v="2025-09-03T00:00:00"/>
    <x v="8"/>
    <x v="1"/>
    <x v="5"/>
    <x v="0"/>
    <n v="35000"/>
    <s v="Online "/>
    <n v="105000"/>
    <x v="8"/>
  </r>
  <r>
    <n v="1606"/>
    <n v="59"/>
    <x v="36"/>
    <d v="2025-06-21T00:00:00"/>
    <x v="6"/>
    <x v="2"/>
    <x v="5"/>
    <x v="0"/>
    <n v="80000"/>
    <s v="Cash"/>
    <n v="240000"/>
    <x v="2"/>
  </r>
  <r>
    <n v="1607"/>
    <n v="93"/>
    <x v="78"/>
    <d v="2025-06-11T00:00:00"/>
    <x v="8"/>
    <x v="1"/>
    <x v="0"/>
    <x v="0"/>
    <n v="40000"/>
    <s v="Online"/>
    <n v="40000"/>
    <x v="2"/>
  </r>
  <r>
    <n v="1608"/>
    <n v="9"/>
    <x v="88"/>
    <d v="2025-05-24T00:00:00"/>
    <x v="1"/>
    <x v="1"/>
    <x v="2"/>
    <x v="0"/>
    <n v="63000"/>
    <s v="Cash"/>
    <n v="126000"/>
    <x v="11"/>
  </r>
  <r>
    <n v="1609"/>
    <n v="77"/>
    <x v="49"/>
    <d v="2025-07-06T00:00:00"/>
    <x v="3"/>
    <x v="1"/>
    <x v="5"/>
    <x v="0"/>
    <n v="50000"/>
    <s v="card"/>
    <n v="150000"/>
    <x v="10"/>
  </r>
  <r>
    <n v="1610"/>
    <n v="64"/>
    <x v="50"/>
    <d v="2025-10-07T00:00:00"/>
    <x v="10"/>
    <x v="1"/>
    <x v="4"/>
    <x v="1"/>
    <n v="53000"/>
    <s v="card"/>
    <n v="-53000"/>
    <x v="3"/>
  </r>
  <r>
    <n v="1611"/>
    <n v="48"/>
    <x v="58"/>
    <d v="2025-04-14T00:00:00"/>
    <x v="9"/>
    <x v="1"/>
    <x v="2"/>
    <x v="0"/>
    <n v="40000"/>
    <s v="Unknown"/>
    <n v="80000"/>
    <x v="7"/>
  </r>
  <r>
    <n v="1612"/>
    <n v="44"/>
    <x v="54"/>
    <d v="2025-09-26T00:00:00"/>
    <x v="2"/>
    <x v="2"/>
    <x v="0"/>
    <x v="0"/>
    <n v="70000"/>
    <s v="Cash"/>
    <n v="70000"/>
    <x v="8"/>
  </r>
  <r>
    <n v="1613"/>
    <n v="93"/>
    <x v="78"/>
    <d v="2025-08-24T00:00:00"/>
    <x v="9"/>
    <x v="1"/>
    <x v="0"/>
    <x v="0"/>
    <n v="45353.535353535357"/>
    <s v="Online"/>
    <n v="45353.535353535357"/>
    <x v="4"/>
  </r>
  <r>
    <n v="1614"/>
    <n v="60"/>
    <x v="43"/>
    <d v="2025-02-22T00:00:00"/>
    <x v="9"/>
    <x v="1"/>
    <x v="0"/>
    <x v="0"/>
    <n v="50000"/>
    <s v="Online"/>
    <n v="50000"/>
    <x v="6"/>
  </r>
  <r>
    <n v="1615"/>
    <n v="26"/>
    <x v="67"/>
    <d v="2025-05-27T00:00:00"/>
    <x v="10"/>
    <x v="1"/>
    <x v="1"/>
    <x v="0"/>
    <n v="48000"/>
    <s v="Online"/>
    <n v="192000"/>
    <x v="11"/>
  </r>
  <r>
    <n v="1616"/>
    <n v="20"/>
    <x v="48"/>
    <d v="2025-05-21T00:00:00"/>
    <x v="1"/>
    <x v="1"/>
    <x v="2"/>
    <x v="0"/>
    <n v="63000"/>
    <s v="Cash"/>
    <n v="126000"/>
    <x v="11"/>
  </r>
  <r>
    <n v="1617"/>
    <n v="70"/>
    <x v="97"/>
    <d v="2025-09-10T00:00:00"/>
    <x v="7"/>
    <x v="0"/>
    <x v="0"/>
    <x v="0"/>
    <n v="65000"/>
    <s v="Cash"/>
    <n v="65000"/>
    <x v="8"/>
  </r>
  <r>
    <n v="1618"/>
    <n v="10"/>
    <x v="84"/>
    <d v="2025-10-11T00:00:00"/>
    <x v="0"/>
    <x v="0"/>
    <x v="0"/>
    <x v="0"/>
    <n v="62000"/>
    <s v="Online "/>
    <n v="62000"/>
    <x v="3"/>
  </r>
  <r>
    <n v="1619"/>
    <n v="7"/>
    <x v="44"/>
    <d v="2025-07-16T00:00:00"/>
    <x v="3"/>
    <x v="1"/>
    <x v="2"/>
    <x v="0"/>
    <n v="55000"/>
    <s v="Cash"/>
    <n v="110000"/>
    <x v="10"/>
  </r>
  <r>
    <n v="1620"/>
    <n v="46"/>
    <x v="98"/>
    <d v="2025-06-20T00:00:00"/>
    <x v="0"/>
    <x v="0"/>
    <x v="1"/>
    <x v="0"/>
    <n v="62000"/>
    <s v="Unknown"/>
    <n v="248000"/>
    <x v="2"/>
  </r>
  <r>
    <n v="1621"/>
    <n v="105"/>
    <x v="104"/>
    <d v="2025-08-28T00:00:00"/>
    <x v="5"/>
    <x v="1"/>
    <x v="0"/>
    <x v="0"/>
    <n v="60000"/>
    <s v="Cash"/>
    <n v="60000"/>
    <x v="4"/>
  </r>
  <r>
    <n v="1622"/>
    <n v="19"/>
    <x v="47"/>
    <d v="2025-05-13T00:00:00"/>
    <x v="4"/>
    <x v="2"/>
    <x v="0"/>
    <x v="0"/>
    <n v="50000"/>
    <s v="card"/>
    <n v="50000"/>
    <x v="11"/>
  </r>
  <r>
    <n v="1623"/>
    <n v="4"/>
    <x v="18"/>
    <d v="2025-01-09T00:00:00"/>
    <x v="3"/>
    <x v="1"/>
    <x v="2"/>
    <x v="0"/>
    <n v="55000"/>
    <s v="Online"/>
    <n v="110000"/>
    <x v="0"/>
  </r>
  <r>
    <n v="1624"/>
    <n v="78"/>
    <x v="4"/>
    <d v="2025-03-07T00:00:00"/>
    <x v="4"/>
    <x v="2"/>
    <x v="2"/>
    <x v="0"/>
    <n v="45000"/>
    <s v="Online"/>
    <n v="90000"/>
    <x v="5"/>
  </r>
  <r>
    <n v="1625"/>
    <n v="69"/>
    <x v="60"/>
    <d v="2025-07-25T00:00:00"/>
    <x v="2"/>
    <x v="2"/>
    <x v="0"/>
    <x v="0"/>
    <n v="80000"/>
    <s v="card"/>
    <n v="80000"/>
    <x v="10"/>
  </r>
  <r>
    <n v="1626"/>
    <n v="50"/>
    <x v="24"/>
    <d v="2025-06-24T00:00:00"/>
    <x v="3"/>
    <x v="1"/>
    <x v="0"/>
    <x v="0"/>
    <n v="55000"/>
    <s v="Cash"/>
    <n v="55000"/>
    <x v="2"/>
  </r>
  <r>
    <n v="1627"/>
    <n v="89"/>
    <x v="7"/>
    <d v="2025-03-30T00:00:00"/>
    <x v="10"/>
    <x v="1"/>
    <x v="5"/>
    <x v="0"/>
    <n v="53000"/>
    <s v="Cash"/>
    <n v="159000"/>
    <x v="5"/>
  </r>
  <r>
    <n v="1628"/>
    <n v="77"/>
    <x v="49"/>
    <d v="2025-06-16T00:00:00"/>
    <x v="2"/>
    <x v="2"/>
    <x v="1"/>
    <x v="0"/>
    <n v="75000"/>
    <s v="card"/>
    <n v="300000"/>
    <x v="2"/>
  </r>
  <r>
    <n v="1629"/>
    <n v="9"/>
    <x v="88"/>
    <d v="2025-02-25T00:00:00"/>
    <x v="4"/>
    <x v="2"/>
    <x v="0"/>
    <x v="0"/>
    <n v="50000"/>
    <s v="card"/>
    <n v="50000"/>
    <x v="6"/>
  </r>
  <r>
    <n v="1630"/>
    <n v="28"/>
    <x v="82"/>
    <d v="2025-10-25T00:00:00"/>
    <x v="1"/>
    <x v="1"/>
    <x v="7"/>
    <x v="1"/>
    <n v="58000"/>
    <s v="card"/>
    <n v="-232000"/>
    <x v="3"/>
  </r>
  <r>
    <n v="1631"/>
    <n v="69"/>
    <x v="60"/>
    <d v="2025-07-19T00:00:00"/>
    <x v="0"/>
    <x v="0"/>
    <x v="0"/>
    <x v="0"/>
    <n v="62000"/>
    <s v="Online"/>
    <n v="62000"/>
    <x v="10"/>
  </r>
  <r>
    <n v="1632"/>
    <n v="73"/>
    <x v="14"/>
    <d v="2025-05-06T00:00:00"/>
    <x v="8"/>
    <x v="1"/>
    <x v="0"/>
    <x v="0"/>
    <n v="40000"/>
    <s v="Cash"/>
    <n v="40000"/>
    <x v="11"/>
  </r>
  <r>
    <n v="1633"/>
    <n v="110"/>
    <x v="83"/>
    <d v="2025-02-01T00:00:00"/>
    <x v="0"/>
    <x v="0"/>
    <x v="0"/>
    <x v="0"/>
    <n v="67000"/>
    <s v="Online"/>
    <n v="67000"/>
    <x v="6"/>
  </r>
  <r>
    <n v="1634"/>
    <n v="111"/>
    <x v="6"/>
    <d v="2025-01-05T00:00:00"/>
    <x v="9"/>
    <x v="1"/>
    <x v="0"/>
    <x v="0"/>
    <n v="45000"/>
    <s v="card"/>
    <n v="45000"/>
    <x v="0"/>
  </r>
  <r>
    <n v="1635"/>
    <n v="49"/>
    <x v="4"/>
    <d v="2025-10-07T00:00:00"/>
    <x v="11"/>
    <x v="2"/>
    <x v="2"/>
    <x v="0"/>
    <n v="40000"/>
    <s v="Online"/>
    <n v="80000"/>
    <x v="3"/>
  </r>
  <r>
    <n v="1636"/>
    <n v="108"/>
    <x v="107"/>
    <d v="2025-03-20T00:00:00"/>
    <x v="11"/>
    <x v="2"/>
    <x v="0"/>
    <x v="0"/>
    <n v="35000"/>
    <s v="Cash"/>
    <n v="35000"/>
    <x v="5"/>
  </r>
  <r>
    <n v="1637"/>
    <n v="93"/>
    <x v="78"/>
    <d v="2025-12-03T00:00:00"/>
    <x v="2"/>
    <x v="2"/>
    <x v="0"/>
    <x v="0"/>
    <n v="75000"/>
    <s v="card"/>
    <n v="75000"/>
    <x v="9"/>
  </r>
  <r>
    <n v="1638"/>
    <n v="115"/>
    <x v="80"/>
    <d v="2025-11-06T00:00:00"/>
    <x v="5"/>
    <x v="1"/>
    <x v="2"/>
    <x v="0"/>
    <n v="65000"/>
    <s v="card"/>
    <n v="130000"/>
    <x v="1"/>
  </r>
  <r>
    <n v="1639"/>
    <n v="46"/>
    <x v="98"/>
    <d v="2025-04-06T00:00:00"/>
    <x v="10"/>
    <x v="1"/>
    <x v="2"/>
    <x v="0"/>
    <n v="48000"/>
    <s v="Online "/>
    <n v="96000"/>
    <x v="7"/>
  </r>
  <r>
    <n v="1640"/>
    <n v="65"/>
    <x v="41"/>
    <d v="2025-07-30T00:00:00"/>
    <x v="0"/>
    <x v="0"/>
    <x v="0"/>
    <x v="0"/>
    <n v="57000"/>
    <s v="Online "/>
    <n v="57000"/>
    <x v="10"/>
  </r>
  <r>
    <n v="1641"/>
    <n v="48"/>
    <x v="58"/>
    <d v="2025-10-25T00:00:00"/>
    <x v="3"/>
    <x v="1"/>
    <x v="0"/>
    <x v="0"/>
    <n v="60000"/>
    <s v="Cash"/>
    <n v="60000"/>
    <x v="3"/>
  </r>
  <r>
    <n v="1642"/>
    <n v="11"/>
    <x v="19"/>
    <d v="2025-11-09T00:00:00"/>
    <x v="6"/>
    <x v="2"/>
    <x v="2"/>
    <x v="0"/>
    <n v="80000"/>
    <s v="Unknown"/>
    <n v="160000"/>
    <x v="1"/>
  </r>
  <r>
    <n v="1643"/>
    <n v="7"/>
    <x v="44"/>
    <d v="2025-01-10T00:00:00"/>
    <x v="7"/>
    <x v="0"/>
    <x v="2"/>
    <x v="0"/>
    <n v="70000"/>
    <s v="card"/>
    <n v="140000"/>
    <x v="0"/>
  </r>
  <r>
    <n v="1644"/>
    <n v="46"/>
    <x v="98"/>
    <d v="2025-05-29T00:00:00"/>
    <x v="0"/>
    <x v="0"/>
    <x v="5"/>
    <x v="0"/>
    <n v="67000"/>
    <s v="Online "/>
    <n v="201000"/>
    <x v="11"/>
  </r>
  <r>
    <n v="1645"/>
    <n v="101"/>
    <x v="33"/>
    <d v="2025-05-14T00:00:00"/>
    <x v="4"/>
    <x v="2"/>
    <x v="2"/>
    <x v="0"/>
    <n v="50000"/>
    <s v="Online "/>
    <n v="100000"/>
    <x v="11"/>
  </r>
  <r>
    <n v="1647"/>
    <n v="33"/>
    <x v="30"/>
    <d v="2025-12-11T00:00:00"/>
    <x v="1"/>
    <x v="1"/>
    <x v="1"/>
    <x v="0"/>
    <n v="58000"/>
    <s v="Cash"/>
    <n v="232000"/>
    <x v="9"/>
  </r>
  <r>
    <n v="1648"/>
    <n v="23"/>
    <x v="0"/>
    <d v="2025-03-19T00:00:00"/>
    <x v="4"/>
    <x v="2"/>
    <x v="0"/>
    <x v="0"/>
    <n v="50000"/>
    <s v="card"/>
    <n v="50000"/>
    <x v="5"/>
  </r>
  <r>
    <n v="1649"/>
    <n v="24"/>
    <x v="13"/>
    <d v="2025-01-17T00:00:00"/>
    <x v="6"/>
    <x v="2"/>
    <x v="0"/>
    <x v="0"/>
    <n v="90000"/>
    <s v="card"/>
    <n v="90000"/>
    <x v="0"/>
  </r>
  <r>
    <n v="1650"/>
    <n v="99"/>
    <x v="87"/>
    <d v="2025-02-05T00:00:00"/>
    <x v="11"/>
    <x v="2"/>
    <x v="5"/>
    <x v="0"/>
    <n v="40000"/>
    <s v="card"/>
    <n v="120000"/>
    <x v="6"/>
  </r>
  <r>
    <n v="1651"/>
    <n v="83"/>
    <x v="57"/>
    <d v="2025-03-01T00:00:00"/>
    <x v="0"/>
    <x v="0"/>
    <x v="2"/>
    <x v="0"/>
    <n v="62000"/>
    <s v="card"/>
    <n v="124000"/>
    <x v="5"/>
  </r>
  <r>
    <n v="1652"/>
    <n v="96"/>
    <x v="1"/>
    <d v="2025-04-30T00:00:00"/>
    <x v="6"/>
    <x v="2"/>
    <x v="2"/>
    <x v="0"/>
    <n v="85000"/>
    <s v="card"/>
    <n v="170000"/>
    <x v="7"/>
  </r>
  <r>
    <n v="1653"/>
    <n v="37"/>
    <x v="22"/>
    <d v="2025-07-15T00:00:00"/>
    <x v="2"/>
    <x v="2"/>
    <x v="2"/>
    <x v="0"/>
    <n v="70000"/>
    <s v="card"/>
    <n v="140000"/>
    <x v="10"/>
  </r>
  <r>
    <n v="1654"/>
    <n v="79"/>
    <x v="37"/>
    <d v="2025-05-20T00:00:00"/>
    <x v="8"/>
    <x v="1"/>
    <x v="0"/>
    <x v="0"/>
    <n v="30000"/>
    <s v="card"/>
    <n v="30000"/>
    <x v="11"/>
  </r>
  <r>
    <n v="1655"/>
    <n v="99"/>
    <x v="87"/>
    <d v="2025-05-04T00:00:00"/>
    <x v="8"/>
    <x v="1"/>
    <x v="2"/>
    <x v="0"/>
    <n v="35000"/>
    <s v="Online"/>
    <n v="70000"/>
    <x v="11"/>
  </r>
  <r>
    <n v="1656"/>
    <n v="71"/>
    <x v="96"/>
    <d v="2025-12-11T00:00:00"/>
    <x v="9"/>
    <x v="1"/>
    <x v="0"/>
    <x v="0"/>
    <n v="45000"/>
    <s v="Online "/>
    <n v="45000"/>
    <x v="9"/>
  </r>
  <r>
    <n v="1657"/>
    <n v="58"/>
    <x v="7"/>
    <d v="2025-04-23T00:00:00"/>
    <x v="7"/>
    <x v="0"/>
    <x v="0"/>
    <x v="0"/>
    <n v="65000"/>
    <s v="Cash"/>
    <n v="65000"/>
    <x v="7"/>
  </r>
  <r>
    <n v="1658"/>
    <n v="12"/>
    <x v="42"/>
    <d v="2025-11-01T00:00:00"/>
    <x v="9"/>
    <x v="1"/>
    <x v="2"/>
    <x v="0"/>
    <n v="40000"/>
    <s v="card"/>
    <n v="80000"/>
    <x v="1"/>
  </r>
  <r>
    <n v="1659"/>
    <n v="110"/>
    <x v="83"/>
    <d v="2025-03-08T00:00:00"/>
    <x v="4"/>
    <x v="2"/>
    <x v="0"/>
    <x v="0"/>
    <n v="50000"/>
    <s v="card"/>
    <n v="50000"/>
    <x v="5"/>
  </r>
  <r>
    <n v="1660"/>
    <n v="85"/>
    <x v="6"/>
    <d v="2025-11-24T00:00:00"/>
    <x v="3"/>
    <x v="1"/>
    <x v="1"/>
    <x v="0"/>
    <n v="55000"/>
    <s v="Online"/>
    <n v="220000"/>
    <x v="1"/>
  </r>
  <r>
    <n v="1661"/>
    <n v="21"/>
    <x v="105"/>
    <d v="2025-05-22T00:00:00"/>
    <x v="3"/>
    <x v="1"/>
    <x v="2"/>
    <x v="0"/>
    <n v="55000"/>
    <s v="Online"/>
    <n v="110000"/>
    <x v="11"/>
  </r>
  <r>
    <n v="1662"/>
    <n v="23"/>
    <x v="0"/>
    <d v="2025-02-05T00:00:00"/>
    <x v="2"/>
    <x v="2"/>
    <x v="2"/>
    <x v="0"/>
    <n v="75000"/>
    <s v="card"/>
    <n v="150000"/>
    <x v="6"/>
  </r>
  <r>
    <n v="1663"/>
    <n v="19"/>
    <x v="47"/>
    <d v="2025-08-09T00:00:00"/>
    <x v="6"/>
    <x v="2"/>
    <x v="2"/>
    <x v="0"/>
    <n v="85000"/>
    <s v="card"/>
    <n v="170000"/>
    <x v="4"/>
  </r>
  <r>
    <n v="1664"/>
    <n v="10"/>
    <x v="84"/>
    <d v="2025-05-09T00:00:00"/>
    <x v="4"/>
    <x v="2"/>
    <x v="2"/>
    <x v="0"/>
    <n v="50000"/>
    <s v="card"/>
    <n v="100000"/>
    <x v="11"/>
  </r>
  <r>
    <n v="1665"/>
    <n v="86"/>
    <x v="99"/>
    <d v="2025-05-17T00:00:00"/>
    <x v="11"/>
    <x v="2"/>
    <x v="2"/>
    <x v="0"/>
    <n v="45000"/>
    <s v="card"/>
    <n v="90000"/>
    <x v="11"/>
  </r>
  <r>
    <n v="1666"/>
    <n v="56"/>
    <x v="53"/>
    <d v="2025-02-05T00:00:00"/>
    <x v="11"/>
    <x v="2"/>
    <x v="0"/>
    <x v="0"/>
    <n v="40000"/>
    <s v="card"/>
    <n v="40000"/>
    <x v="6"/>
  </r>
  <r>
    <n v="1667"/>
    <n v="73"/>
    <x v="14"/>
    <d v="2025-03-07T00:00:00"/>
    <x v="6"/>
    <x v="2"/>
    <x v="2"/>
    <x v="0"/>
    <n v="80000"/>
    <s v="Online"/>
    <n v="160000"/>
    <x v="5"/>
  </r>
  <r>
    <n v="1668"/>
    <n v="69"/>
    <x v="60"/>
    <d v="2025-11-02T00:00:00"/>
    <x v="7"/>
    <x v="0"/>
    <x v="5"/>
    <x v="0"/>
    <n v="65000"/>
    <s v="card"/>
    <n v="195000"/>
    <x v="1"/>
  </r>
  <r>
    <n v="1669"/>
    <n v="85"/>
    <x v="6"/>
    <d v="2025-03-06T00:00:00"/>
    <x v="10"/>
    <x v="1"/>
    <x v="0"/>
    <x v="0"/>
    <n v="48000"/>
    <s v="Online "/>
    <n v="48000"/>
    <x v="5"/>
  </r>
  <r>
    <n v="1670"/>
    <n v="57"/>
    <x v="17"/>
    <d v="2025-04-08T00:00:00"/>
    <x v="5"/>
    <x v="1"/>
    <x v="0"/>
    <x v="0"/>
    <n v="55000"/>
    <s v="card"/>
    <n v="55000"/>
    <x v="7"/>
  </r>
  <r>
    <n v="1671"/>
    <n v="50"/>
    <x v="24"/>
    <d v="2025-04-10T00:00:00"/>
    <x v="3"/>
    <x v="1"/>
    <x v="2"/>
    <x v="0"/>
    <n v="60000"/>
    <s v="card"/>
    <n v="120000"/>
    <x v="7"/>
  </r>
  <r>
    <n v="1672"/>
    <n v="44"/>
    <x v="54"/>
    <d v="2025-06-22T00:00:00"/>
    <x v="9"/>
    <x v="1"/>
    <x v="2"/>
    <x v="0"/>
    <n v="40000"/>
    <s v="Online "/>
    <n v="80000"/>
    <x v="2"/>
  </r>
  <r>
    <n v="1673"/>
    <n v="112"/>
    <x v="16"/>
    <d v="2025-03-18T00:00:00"/>
    <x v="6"/>
    <x v="2"/>
    <x v="0"/>
    <x v="0"/>
    <n v="80000"/>
    <s v="card"/>
    <n v="80000"/>
    <x v="5"/>
  </r>
  <r>
    <n v="1674"/>
    <n v="84"/>
    <x v="75"/>
    <d v="2025-08-30T00:00:00"/>
    <x v="9"/>
    <x v="1"/>
    <x v="0"/>
    <x v="0"/>
    <n v="45000"/>
    <s v="Online "/>
    <n v="45000"/>
    <x v="4"/>
  </r>
  <r>
    <n v="1675"/>
    <n v="7"/>
    <x v="44"/>
    <d v="2025-02-19T00:00:00"/>
    <x v="0"/>
    <x v="0"/>
    <x v="1"/>
    <x v="0"/>
    <n v="67000"/>
    <s v="card"/>
    <n v="268000"/>
    <x v="6"/>
  </r>
  <r>
    <n v="1676"/>
    <n v="64"/>
    <x v="50"/>
    <d v="2025-11-12T00:00:00"/>
    <x v="4"/>
    <x v="2"/>
    <x v="0"/>
    <x v="0"/>
    <n v="50000"/>
    <s v="Online "/>
    <n v="50000"/>
    <x v="1"/>
  </r>
  <r>
    <n v="1677"/>
    <n v="87"/>
    <x v="71"/>
    <d v="2025-06-16T00:00:00"/>
    <x v="11"/>
    <x v="2"/>
    <x v="0"/>
    <x v="0"/>
    <n v="40000"/>
    <s v="Online"/>
    <n v="40000"/>
    <x v="2"/>
  </r>
  <r>
    <n v="1678"/>
    <n v="9"/>
    <x v="88"/>
    <d v="2025-05-21T00:00:00"/>
    <x v="3"/>
    <x v="1"/>
    <x v="0"/>
    <x v="0"/>
    <n v="55000"/>
    <s v="card"/>
    <n v="55000"/>
    <x v="11"/>
  </r>
  <r>
    <n v="1679"/>
    <n v="32"/>
    <x v="4"/>
    <d v="2025-01-21T00:00:00"/>
    <x v="4"/>
    <x v="2"/>
    <x v="1"/>
    <x v="0"/>
    <n v="55000"/>
    <s v="Unknown"/>
    <n v="220000"/>
    <x v="0"/>
  </r>
  <r>
    <n v="1680"/>
    <n v="113"/>
    <x v="69"/>
    <d v="2025-02-11T00:00:00"/>
    <x v="2"/>
    <x v="2"/>
    <x v="0"/>
    <x v="0"/>
    <n v="70000"/>
    <s v="card"/>
    <n v="70000"/>
    <x v="6"/>
  </r>
  <r>
    <n v="1681"/>
    <n v="89"/>
    <x v="7"/>
    <d v="2025-12-21T00:00:00"/>
    <x v="2"/>
    <x v="2"/>
    <x v="0"/>
    <x v="0"/>
    <n v="75000"/>
    <s v="card"/>
    <n v="75000"/>
    <x v="9"/>
  </r>
  <r>
    <n v="1682"/>
    <n v="31"/>
    <x v="103"/>
    <d v="2025-11-09T00:00:00"/>
    <x v="1"/>
    <x v="1"/>
    <x v="2"/>
    <x v="0"/>
    <n v="58000"/>
    <s v="Cash"/>
    <n v="116000"/>
    <x v="1"/>
  </r>
  <r>
    <n v="1683"/>
    <n v="55"/>
    <x v="39"/>
    <d v="2025-11-18T00:00:00"/>
    <x v="3"/>
    <x v="1"/>
    <x v="2"/>
    <x v="0"/>
    <n v="50000"/>
    <s v="Cash"/>
    <n v="100000"/>
    <x v="1"/>
  </r>
  <r>
    <n v="1684"/>
    <n v="16"/>
    <x v="50"/>
    <d v="2025-02-18T00:00:00"/>
    <x v="6"/>
    <x v="2"/>
    <x v="1"/>
    <x v="0"/>
    <n v="90000"/>
    <s v="card"/>
    <n v="360000"/>
    <x v="6"/>
  </r>
  <r>
    <n v="1685"/>
    <n v="99"/>
    <x v="87"/>
    <d v="2025-04-12T00:00:00"/>
    <x v="8"/>
    <x v="1"/>
    <x v="0"/>
    <x v="0"/>
    <n v="35000"/>
    <s v="Online "/>
    <n v="35000"/>
    <x v="7"/>
  </r>
  <r>
    <n v="1686"/>
    <n v="109"/>
    <x v="106"/>
    <d v="2025-09-12T00:00:00"/>
    <x v="2"/>
    <x v="2"/>
    <x v="5"/>
    <x v="0"/>
    <n v="70000"/>
    <s v="Online"/>
    <n v="210000"/>
    <x v="8"/>
  </r>
  <r>
    <n v="1687"/>
    <n v="27"/>
    <x v="68"/>
    <d v="2025-09-05T00:00:00"/>
    <x v="11"/>
    <x v="2"/>
    <x v="0"/>
    <x v="0"/>
    <n v="35000"/>
    <s v="Cash"/>
    <n v="35000"/>
    <x v="8"/>
  </r>
  <r>
    <n v="1688"/>
    <n v="23"/>
    <x v="0"/>
    <d v="2025-01-15T00:00:00"/>
    <x v="1"/>
    <x v="1"/>
    <x v="0"/>
    <x v="0"/>
    <n v="58000"/>
    <s v="Cash"/>
    <n v="58000"/>
    <x v="0"/>
  </r>
  <r>
    <n v="1689"/>
    <n v="75"/>
    <x v="70"/>
    <d v="2025-03-08T00:00:00"/>
    <x v="7"/>
    <x v="0"/>
    <x v="0"/>
    <x v="0"/>
    <n v="60000"/>
    <s v="card"/>
    <n v="60000"/>
    <x v="5"/>
  </r>
  <r>
    <n v="1690"/>
    <n v="31"/>
    <x v="103"/>
    <d v="2025-07-31T00:00:00"/>
    <x v="5"/>
    <x v="1"/>
    <x v="0"/>
    <x v="0"/>
    <n v="55000"/>
    <s v="card"/>
    <n v="55000"/>
    <x v="10"/>
  </r>
  <r>
    <n v="1691"/>
    <n v="114"/>
    <x v="63"/>
    <d v="2025-03-16T00:00:00"/>
    <x v="11"/>
    <x v="2"/>
    <x v="0"/>
    <x v="0"/>
    <n v="40000"/>
    <s v="card"/>
    <n v="40000"/>
    <x v="5"/>
  </r>
  <r>
    <n v="1692"/>
    <n v="93"/>
    <x v="78"/>
    <d v="2025-11-20T00:00:00"/>
    <x v="10"/>
    <x v="1"/>
    <x v="0"/>
    <x v="0"/>
    <n v="48000"/>
    <s v="Online "/>
    <n v="48000"/>
    <x v="1"/>
  </r>
  <r>
    <n v="1693"/>
    <n v="73"/>
    <x v="14"/>
    <d v="2025-05-24T00:00:00"/>
    <x v="9"/>
    <x v="1"/>
    <x v="1"/>
    <x v="0"/>
    <n v="45000"/>
    <s v="Cash"/>
    <n v="180000"/>
    <x v="11"/>
  </r>
  <r>
    <n v="1694"/>
    <n v="98"/>
    <x v="62"/>
    <d v="2025-04-23T00:00:00"/>
    <x v="7"/>
    <x v="0"/>
    <x v="1"/>
    <x v="0"/>
    <n v="70000"/>
    <s v="card"/>
    <n v="280000"/>
    <x v="7"/>
  </r>
  <r>
    <n v="1695"/>
    <n v="53"/>
    <x v="28"/>
    <d v="2025-08-09T00:00:00"/>
    <x v="6"/>
    <x v="2"/>
    <x v="1"/>
    <x v="0"/>
    <n v="85000"/>
    <s v="Online "/>
    <n v="340000"/>
    <x v="4"/>
  </r>
  <r>
    <n v="1696"/>
    <n v="55"/>
    <x v="39"/>
    <d v="2025-07-05T00:00:00"/>
    <x v="5"/>
    <x v="1"/>
    <x v="2"/>
    <x v="0"/>
    <n v="65000"/>
    <s v="Cash"/>
    <n v="130000"/>
    <x v="10"/>
  </r>
  <r>
    <n v="1697"/>
    <n v="115"/>
    <x v="80"/>
    <d v="2025-08-02T00:00:00"/>
    <x v="9"/>
    <x v="1"/>
    <x v="2"/>
    <x v="0"/>
    <n v="50000"/>
    <s v="Cash"/>
    <n v="100000"/>
    <x v="4"/>
  </r>
  <r>
    <n v="1698"/>
    <n v="51"/>
    <x v="93"/>
    <d v="2025-12-23T00:00:00"/>
    <x v="2"/>
    <x v="2"/>
    <x v="2"/>
    <x v="0"/>
    <n v="75000"/>
    <s v="Online "/>
    <n v="150000"/>
    <x v="9"/>
  </r>
  <r>
    <n v="1699"/>
    <n v="94"/>
    <x v="73"/>
    <d v="2025-04-22T00:00:00"/>
    <x v="11"/>
    <x v="2"/>
    <x v="0"/>
    <x v="0"/>
    <n v="40000"/>
    <s v="card"/>
    <n v="40000"/>
    <x v="7"/>
  </r>
  <r>
    <n v="1700"/>
    <n v="62"/>
    <x v="2"/>
    <d v="2025-06-06T00:00:00"/>
    <x v="8"/>
    <x v="1"/>
    <x v="1"/>
    <x v="0"/>
    <n v="40000"/>
    <s v="card"/>
    <n v="160000"/>
    <x v="2"/>
  </r>
  <r>
    <n v="1701"/>
    <n v="60"/>
    <x v="43"/>
    <d v="2025-12-27T00:00:00"/>
    <x v="1"/>
    <x v="1"/>
    <x v="1"/>
    <x v="0"/>
    <n v="58000"/>
    <s v="Online "/>
    <n v="232000"/>
    <x v="9"/>
  </r>
  <r>
    <n v="1702"/>
    <n v="82"/>
    <x v="65"/>
    <d v="2025-11-18T00:00:00"/>
    <x v="9"/>
    <x v="1"/>
    <x v="5"/>
    <x v="0"/>
    <n v="45000"/>
    <s v="Online"/>
    <n v="135000"/>
    <x v="1"/>
  </r>
  <r>
    <n v="1703"/>
    <n v="55"/>
    <x v="39"/>
    <d v="2025-12-24T00:00:00"/>
    <x v="0"/>
    <x v="0"/>
    <x v="1"/>
    <x v="0"/>
    <n v="57000"/>
    <s v="Online "/>
    <n v="228000"/>
    <x v="9"/>
  </r>
  <r>
    <n v="1704"/>
    <n v="120"/>
    <x v="71"/>
    <d v="2025-09-21T00:00:00"/>
    <x v="9"/>
    <x v="1"/>
    <x v="0"/>
    <x v="0"/>
    <n v="40000"/>
    <s v="card"/>
    <n v="40000"/>
    <x v="8"/>
  </r>
  <r>
    <n v="1705"/>
    <n v="80"/>
    <x v="102"/>
    <d v="2025-07-07T00:00:00"/>
    <x v="9"/>
    <x v="1"/>
    <x v="5"/>
    <x v="0"/>
    <n v="50000"/>
    <s v="Unknown"/>
    <n v="150000"/>
    <x v="10"/>
  </r>
  <r>
    <n v="1706"/>
    <n v="91"/>
    <x v="74"/>
    <d v="2025-03-12T00:00:00"/>
    <x v="10"/>
    <x v="1"/>
    <x v="2"/>
    <x v="0"/>
    <n v="43000"/>
    <s v="Online "/>
    <n v="86000"/>
    <x v="5"/>
  </r>
  <r>
    <n v="1707"/>
    <n v="96"/>
    <x v="1"/>
    <d v="2025-12-26T00:00:00"/>
    <x v="4"/>
    <x v="2"/>
    <x v="0"/>
    <x v="0"/>
    <n v="50000"/>
    <s v="Online"/>
    <n v="50000"/>
    <x v="9"/>
  </r>
  <r>
    <n v="1708"/>
    <n v="7"/>
    <x v="44"/>
    <d v="2025-10-07T00:00:00"/>
    <x v="3"/>
    <x v="1"/>
    <x v="2"/>
    <x v="0"/>
    <n v="60000"/>
    <s v="card"/>
    <n v="120000"/>
    <x v="3"/>
  </r>
  <r>
    <n v="1709"/>
    <n v="91"/>
    <x v="74"/>
    <d v="2025-12-14T00:00:00"/>
    <x v="6"/>
    <x v="2"/>
    <x v="2"/>
    <x v="0"/>
    <n v="90000"/>
    <s v="Cash"/>
    <n v="180000"/>
    <x v="9"/>
  </r>
  <r>
    <n v="1710"/>
    <n v="115"/>
    <x v="80"/>
    <d v="2025-02-14T00:00:00"/>
    <x v="2"/>
    <x v="2"/>
    <x v="0"/>
    <x v="0"/>
    <n v="75000"/>
    <s v="Cash"/>
    <n v="75000"/>
    <x v="6"/>
  </r>
  <r>
    <n v="1711"/>
    <n v="36"/>
    <x v="92"/>
    <d v="2025-12-23T00:00:00"/>
    <x v="3"/>
    <x v="1"/>
    <x v="0"/>
    <x v="0"/>
    <n v="55000"/>
    <s v="Online"/>
    <n v="55000"/>
    <x v="9"/>
  </r>
  <r>
    <n v="1712"/>
    <n v="54"/>
    <x v="89"/>
    <d v="2025-05-10T00:00:00"/>
    <x v="8"/>
    <x v="1"/>
    <x v="0"/>
    <x v="0"/>
    <n v="35000"/>
    <s v="Online"/>
    <n v="35000"/>
    <x v="11"/>
  </r>
  <r>
    <n v="1713"/>
    <n v="25"/>
    <x v="94"/>
    <d v="2025-12-01T00:00:00"/>
    <x v="3"/>
    <x v="1"/>
    <x v="2"/>
    <x v="0"/>
    <n v="60000"/>
    <s v="card"/>
    <n v="120000"/>
    <x v="9"/>
  </r>
  <r>
    <n v="1714"/>
    <n v="76"/>
    <x v="95"/>
    <d v="2025-12-23T00:00:00"/>
    <x v="8"/>
    <x v="1"/>
    <x v="2"/>
    <x v="0"/>
    <n v="35000"/>
    <s v="Online"/>
    <n v="70000"/>
    <x v="9"/>
  </r>
  <r>
    <n v="1715"/>
    <n v="22"/>
    <x v="66"/>
    <d v="2025-04-27T00:00:00"/>
    <x v="0"/>
    <x v="0"/>
    <x v="0"/>
    <x v="0"/>
    <n v="57000"/>
    <s v="Online"/>
    <n v="57000"/>
    <x v="7"/>
  </r>
  <r>
    <n v="1716"/>
    <n v="59"/>
    <x v="36"/>
    <d v="2025-11-13T00:00:00"/>
    <x v="1"/>
    <x v="1"/>
    <x v="0"/>
    <x v="0"/>
    <n v="58000"/>
    <s v="Cash"/>
    <n v="58000"/>
    <x v="1"/>
  </r>
  <r>
    <n v="1717"/>
    <n v="31"/>
    <x v="103"/>
    <d v="2025-01-22T00:00:00"/>
    <x v="3"/>
    <x v="1"/>
    <x v="2"/>
    <x v="0"/>
    <n v="55000"/>
    <s v="Cash"/>
    <n v="110000"/>
    <x v="0"/>
  </r>
  <r>
    <n v="1718"/>
    <n v="72"/>
    <x v="51"/>
    <d v="2025-01-18T00:00:00"/>
    <x v="5"/>
    <x v="1"/>
    <x v="0"/>
    <x v="0"/>
    <n v="60000"/>
    <s v="Cash"/>
    <n v="60000"/>
    <x v="0"/>
  </r>
  <r>
    <n v="1719"/>
    <n v="78"/>
    <x v="4"/>
    <d v="2025-10-01T00:00:00"/>
    <x v="1"/>
    <x v="1"/>
    <x v="0"/>
    <x v="0"/>
    <n v="58000"/>
    <s v="card"/>
    <n v="58000"/>
    <x v="3"/>
  </r>
  <r>
    <n v="1720"/>
    <n v="119"/>
    <x v="56"/>
    <d v="2025-03-21T00:00:00"/>
    <x v="7"/>
    <x v="0"/>
    <x v="5"/>
    <x v="0"/>
    <n v="65000"/>
    <s v="Cash"/>
    <n v="195000"/>
    <x v="5"/>
  </r>
  <r>
    <n v="1721"/>
    <n v="86"/>
    <x v="99"/>
    <d v="2025-10-17T00:00:00"/>
    <x v="1"/>
    <x v="1"/>
    <x v="4"/>
    <x v="1"/>
    <n v="53000"/>
    <s v="card"/>
    <n v="-53000"/>
    <x v="3"/>
  </r>
  <r>
    <n v="1722"/>
    <n v="18"/>
    <x v="35"/>
    <d v="2025-10-10T00:00:00"/>
    <x v="8"/>
    <x v="1"/>
    <x v="0"/>
    <x v="0"/>
    <n v="35000"/>
    <s v="card"/>
    <n v="35000"/>
    <x v="3"/>
  </r>
  <r>
    <n v="1723"/>
    <n v="46"/>
    <x v="98"/>
    <d v="2025-06-17T00:00:00"/>
    <x v="3"/>
    <x v="1"/>
    <x v="2"/>
    <x v="0"/>
    <n v="55320"/>
    <s v="Cash"/>
    <n v="110640"/>
    <x v="2"/>
  </r>
  <r>
    <n v="1724"/>
    <n v="3"/>
    <x v="72"/>
    <d v="2025-10-03T00:00:00"/>
    <x v="3"/>
    <x v="1"/>
    <x v="2"/>
    <x v="0"/>
    <n v="55000"/>
    <s v="Online"/>
    <n v="110000"/>
    <x v="3"/>
  </r>
  <r>
    <n v="1725"/>
    <n v="78"/>
    <x v="4"/>
    <d v="2025-09-19T00:00:00"/>
    <x v="4"/>
    <x v="2"/>
    <x v="2"/>
    <x v="0"/>
    <n v="50000"/>
    <s v="Online"/>
    <n v="100000"/>
    <x v="8"/>
  </r>
  <r>
    <n v="1726"/>
    <n v="50"/>
    <x v="24"/>
    <d v="2025-07-01T00:00:00"/>
    <x v="7"/>
    <x v="0"/>
    <x v="0"/>
    <x v="0"/>
    <n v="65458.715596330272"/>
    <s v="Cash"/>
    <n v="65458.715596330272"/>
    <x v="10"/>
  </r>
  <r>
    <n v="1727"/>
    <n v="94"/>
    <x v="73"/>
    <d v="2025-01-08T00:00:00"/>
    <x v="2"/>
    <x v="2"/>
    <x v="0"/>
    <x v="0"/>
    <n v="75000"/>
    <s v="Cash"/>
    <n v="75000"/>
    <x v="0"/>
  </r>
  <r>
    <n v="1728"/>
    <n v="107"/>
    <x v="20"/>
    <d v="2025-11-03T00:00:00"/>
    <x v="4"/>
    <x v="2"/>
    <x v="0"/>
    <x v="0"/>
    <n v="50000"/>
    <s v="card"/>
    <n v="50000"/>
    <x v="1"/>
  </r>
  <r>
    <n v="1729"/>
    <n v="120"/>
    <x v="71"/>
    <d v="2025-07-12T00:00:00"/>
    <x v="4"/>
    <x v="2"/>
    <x v="2"/>
    <x v="0"/>
    <n v="50000"/>
    <s v="Cash"/>
    <n v="100000"/>
    <x v="10"/>
  </r>
  <r>
    <n v="1730"/>
    <n v="60"/>
    <x v="43"/>
    <d v="2025-10-18T00:00:00"/>
    <x v="5"/>
    <x v="1"/>
    <x v="0"/>
    <x v="0"/>
    <n v="60000"/>
    <s v="card"/>
    <n v="60000"/>
    <x v="3"/>
  </r>
  <r>
    <n v="1731"/>
    <n v="106"/>
    <x v="12"/>
    <d v="2025-10-27T00:00:00"/>
    <x v="0"/>
    <x v="0"/>
    <x v="2"/>
    <x v="0"/>
    <n v="62265.486725663715"/>
    <s v="card"/>
    <n v="124530.97345132743"/>
    <x v="3"/>
  </r>
  <r>
    <n v="1732"/>
    <n v="20"/>
    <x v="48"/>
    <d v="2025-03-06T00:00:00"/>
    <x v="0"/>
    <x v="0"/>
    <x v="0"/>
    <x v="0"/>
    <n v="62000"/>
    <s v="card"/>
    <n v="62000"/>
    <x v="5"/>
  </r>
  <r>
    <n v="1733"/>
    <n v="117"/>
    <x v="109"/>
    <d v="2025-11-27T00:00:00"/>
    <x v="5"/>
    <x v="1"/>
    <x v="0"/>
    <x v="0"/>
    <n v="60000"/>
    <s v="Cash"/>
    <n v="60000"/>
    <x v="1"/>
  </r>
  <r>
    <n v="1734"/>
    <n v="96"/>
    <x v="1"/>
    <d v="2025-10-25T00:00:00"/>
    <x v="7"/>
    <x v="0"/>
    <x v="1"/>
    <x v="0"/>
    <n v="65000"/>
    <s v="Online "/>
    <n v="260000"/>
    <x v="3"/>
  </r>
  <r>
    <n v="1735"/>
    <n v="105"/>
    <x v="104"/>
    <d v="2025-07-11T00:00:00"/>
    <x v="3"/>
    <x v="1"/>
    <x v="1"/>
    <x v="0"/>
    <n v="55000"/>
    <s v="Cash"/>
    <n v="220000"/>
    <x v="10"/>
  </r>
  <r>
    <n v="1736"/>
    <n v="41"/>
    <x v="86"/>
    <d v="2025-12-21T00:00:00"/>
    <x v="2"/>
    <x v="2"/>
    <x v="0"/>
    <x v="0"/>
    <n v="70000"/>
    <s v="card"/>
    <n v="70000"/>
    <x v="9"/>
  </r>
  <r>
    <n v="1737"/>
    <n v="82"/>
    <x v="65"/>
    <d v="2025-01-25T00:00:00"/>
    <x v="7"/>
    <x v="0"/>
    <x v="2"/>
    <x v="0"/>
    <n v="60000"/>
    <s v="Unknown"/>
    <n v="120000"/>
    <x v="0"/>
  </r>
  <r>
    <n v="1738"/>
    <n v="24"/>
    <x v="13"/>
    <d v="2025-03-11T00:00:00"/>
    <x v="3"/>
    <x v="1"/>
    <x v="1"/>
    <x v="0"/>
    <n v="55000"/>
    <s v="Online"/>
    <n v="220000"/>
    <x v="5"/>
  </r>
  <r>
    <n v="1739"/>
    <n v="88"/>
    <x v="29"/>
    <d v="2025-12-19T00:00:00"/>
    <x v="5"/>
    <x v="1"/>
    <x v="2"/>
    <x v="0"/>
    <n v="65000"/>
    <s v="card"/>
    <n v="130000"/>
    <x v="9"/>
  </r>
  <r>
    <n v="1740"/>
    <n v="18"/>
    <x v="35"/>
    <d v="2025-05-25T00:00:00"/>
    <x v="6"/>
    <x v="2"/>
    <x v="3"/>
    <x v="1"/>
    <n v="85000"/>
    <s v="Cash"/>
    <n v="-170000"/>
    <x v="11"/>
  </r>
  <r>
    <n v="1741"/>
    <n v="20"/>
    <x v="48"/>
    <d v="2025-04-24T00:00:00"/>
    <x v="6"/>
    <x v="2"/>
    <x v="2"/>
    <x v="0"/>
    <n v="85000"/>
    <s v="Cash"/>
    <n v="170000"/>
    <x v="7"/>
  </r>
  <r>
    <n v="1742"/>
    <n v="119"/>
    <x v="56"/>
    <d v="2025-03-09T00:00:00"/>
    <x v="9"/>
    <x v="1"/>
    <x v="5"/>
    <x v="0"/>
    <n v="45000"/>
    <s v="Cash"/>
    <n v="135000"/>
    <x v="5"/>
  </r>
  <r>
    <n v="1743"/>
    <n v="67"/>
    <x v="90"/>
    <d v="2025-03-30T00:00:00"/>
    <x v="7"/>
    <x v="0"/>
    <x v="0"/>
    <x v="0"/>
    <n v="60000"/>
    <s v="Online "/>
    <n v="60000"/>
    <x v="5"/>
  </r>
  <r>
    <n v="1744"/>
    <n v="19"/>
    <x v="47"/>
    <d v="2025-04-27T00:00:00"/>
    <x v="5"/>
    <x v="1"/>
    <x v="0"/>
    <x v="0"/>
    <n v="60000"/>
    <s v="Online "/>
    <n v="60000"/>
    <x v="7"/>
  </r>
  <r>
    <n v="1745"/>
    <n v="98"/>
    <x v="62"/>
    <d v="2025-09-02T00:00:00"/>
    <x v="3"/>
    <x v="1"/>
    <x v="0"/>
    <x v="0"/>
    <n v="55000"/>
    <s v="card"/>
    <n v="55000"/>
    <x v="8"/>
  </r>
  <r>
    <n v="1746"/>
    <n v="5"/>
    <x v="15"/>
    <d v="2025-09-20T00:00:00"/>
    <x v="8"/>
    <x v="1"/>
    <x v="2"/>
    <x v="0"/>
    <n v="35000"/>
    <s v="card"/>
    <n v="70000"/>
    <x v="8"/>
  </r>
  <r>
    <n v="1747"/>
    <n v="39"/>
    <x v="5"/>
    <d v="2025-01-06T00:00:00"/>
    <x v="8"/>
    <x v="1"/>
    <x v="2"/>
    <x v="0"/>
    <n v="35000"/>
    <s v="Cash"/>
    <n v="70000"/>
    <x v="0"/>
  </r>
  <r>
    <n v="1748"/>
    <n v="86"/>
    <x v="99"/>
    <d v="2025-01-15T00:00:00"/>
    <x v="7"/>
    <x v="0"/>
    <x v="1"/>
    <x v="0"/>
    <n v="65000"/>
    <s v="Unknown"/>
    <n v="260000"/>
    <x v="0"/>
  </r>
  <r>
    <n v="1749"/>
    <n v="21"/>
    <x v="105"/>
    <d v="2025-11-10T00:00:00"/>
    <x v="6"/>
    <x v="2"/>
    <x v="0"/>
    <x v="0"/>
    <n v="90000"/>
    <s v="Online "/>
    <n v="90000"/>
    <x v="1"/>
  </r>
  <r>
    <n v="1750"/>
    <n v="25"/>
    <x v="94"/>
    <d v="2025-03-29T00:00:00"/>
    <x v="0"/>
    <x v="0"/>
    <x v="5"/>
    <x v="0"/>
    <n v="57000"/>
    <s v="Online"/>
    <n v="171000"/>
    <x v="5"/>
  </r>
  <r>
    <n v="1751"/>
    <n v="90"/>
    <x v="46"/>
    <d v="2025-04-05T00:00:00"/>
    <x v="4"/>
    <x v="2"/>
    <x v="0"/>
    <x v="0"/>
    <n v="50000"/>
    <s v="Cash"/>
    <n v="50000"/>
    <x v="7"/>
  </r>
  <r>
    <n v="1752"/>
    <n v="66"/>
    <x v="21"/>
    <d v="2025-07-28T00:00:00"/>
    <x v="10"/>
    <x v="1"/>
    <x v="0"/>
    <x v="0"/>
    <n v="48000"/>
    <s v="card"/>
    <n v="48000"/>
    <x v="10"/>
  </r>
  <r>
    <n v="1753"/>
    <n v="98"/>
    <x v="62"/>
    <d v="2025-12-27T00:00:00"/>
    <x v="7"/>
    <x v="0"/>
    <x v="0"/>
    <x v="0"/>
    <n v="65000"/>
    <s v="card"/>
    <n v="65000"/>
    <x v="9"/>
  </r>
  <r>
    <n v="1754"/>
    <n v="37"/>
    <x v="22"/>
    <d v="2025-04-11T00:00:00"/>
    <x v="2"/>
    <x v="2"/>
    <x v="5"/>
    <x v="0"/>
    <n v="75000"/>
    <s v="Online"/>
    <n v="225000"/>
    <x v="7"/>
  </r>
  <r>
    <n v="1755"/>
    <n v="110"/>
    <x v="83"/>
    <d v="2025-07-04T00:00:00"/>
    <x v="11"/>
    <x v="2"/>
    <x v="5"/>
    <x v="0"/>
    <n v="40000"/>
    <s v="Online "/>
    <n v="120000"/>
    <x v="10"/>
  </r>
  <r>
    <n v="1756"/>
    <n v="63"/>
    <x v="3"/>
    <d v="2025-02-23T00:00:00"/>
    <x v="8"/>
    <x v="1"/>
    <x v="2"/>
    <x v="0"/>
    <n v="30000"/>
    <s v="card"/>
    <n v="60000"/>
    <x v="6"/>
  </r>
  <r>
    <n v="1757"/>
    <n v="52"/>
    <x v="10"/>
    <d v="2025-10-30T00:00:00"/>
    <x v="5"/>
    <x v="1"/>
    <x v="0"/>
    <x v="0"/>
    <n v="60000"/>
    <s v="Cash"/>
    <n v="60000"/>
    <x v="3"/>
  </r>
  <r>
    <n v="1758"/>
    <n v="77"/>
    <x v="49"/>
    <d v="2025-04-03T00:00:00"/>
    <x v="11"/>
    <x v="2"/>
    <x v="5"/>
    <x v="0"/>
    <n v="40000"/>
    <s v="Online "/>
    <n v="120000"/>
    <x v="7"/>
  </r>
  <r>
    <n v="1759"/>
    <n v="96"/>
    <x v="1"/>
    <d v="2025-02-07T00:00:00"/>
    <x v="11"/>
    <x v="2"/>
    <x v="2"/>
    <x v="0"/>
    <n v="45000"/>
    <s v="card"/>
    <n v="90000"/>
    <x v="6"/>
  </r>
  <r>
    <n v="1760"/>
    <n v="14"/>
    <x v="85"/>
    <d v="2025-09-05T00:00:00"/>
    <x v="3"/>
    <x v="1"/>
    <x v="0"/>
    <x v="0"/>
    <n v="55000"/>
    <s v="Online "/>
    <n v="55000"/>
    <x v="8"/>
  </r>
  <r>
    <n v="1761"/>
    <n v="7"/>
    <x v="44"/>
    <d v="2025-09-13T00:00:00"/>
    <x v="3"/>
    <x v="1"/>
    <x v="0"/>
    <x v="0"/>
    <n v="55320"/>
    <s v="Cash"/>
    <n v="55320"/>
    <x v="8"/>
  </r>
  <r>
    <n v="1762"/>
    <n v="39"/>
    <x v="5"/>
    <d v="2025-11-16T00:00:00"/>
    <x v="4"/>
    <x v="2"/>
    <x v="5"/>
    <x v="0"/>
    <n v="55000"/>
    <s v="Cash"/>
    <n v="165000"/>
    <x v="1"/>
  </r>
  <r>
    <n v="1763"/>
    <n v="38"/>
    <x v="31"/>
    <d v="2025-12-09T00:00:00"/>
    <x v="8"/>
    <x v="1"/>
    <x v="2"/>
    <x v="0"/>
    <n v="35000"/>
    <s v="card"/>
    <n v="70000"/>
    <x v="9"/>
  </r>
  <r>
    <n v="1764"/>
    <n v="56"/>
    <x v="53"/>
    <d v="2025-07-16T00:00:00"/>
    <x v="3"/>
    <x v="1"/>
    <x v="1"/>
    <x v="0"/>
    <n v="55000"/>
    <s v="card"/>
    <n v="220000"/>
    <x v="10"/>
  </r>
  <r>
    <n v="1765"/>
    <n v="5"/>
    <x v="15"/>
    <d v="2025-10-13T00:00:00"/>
    <x v="1"/>
    <x v="1"/>
    <x v="5"/>
    <x v="0"/>
    <n v="58142.857142857145"/>
    <s v="Cash"/>
    <n v="174428.57142857142"/>
    <x v="3"/>
  </r>
  <r>
    <n v="1766"/>
    <n v="40"/>
    <x v="79"/>
    <d v="2025-07-19T00:00:00"/>
    <x v="5"/>
    <x v="1"/>
    <x v="2"/>
    <x v="0"/>
    <n v="60000"/>
    <s v="card"/>
    <n v="120000"/>
    <x v="10"/>
  </r>
  <r>
    <n v="1767"/>
    <n v="72"/>
    <x v="51"/>
    <d v="2025-09-17T00:00:00"/>
    <x v="1"/>
    <x v="1"/>
    <x v="0"/>
    <x v="0"/>
    <n v="58142.857142857145"/>
    <s v="Cash"/>
    <n v="58142.857142857145"/>
    <x v="8"/>
  </r>
  <r>
    <n v="1768"/>
    <n v="87"/>
    <x v="71"/>
    <d v="2025-05-26T00:00:00"/>
    <x v="7"/>
    <x v="0"/>
    <x v="0"/>
    <x v="0"/>
    <n v="70000"/>
    <s v="Online"/>
    <n v="70000"/>
    <x v="11"/>
  </r>
  <r>
    <n v="1769"/>
    <n v="45"/>
    <x v="55"/>
    <d v="2025-10-26T00:00:00"/>
    <x v="5"/>
    <x v="1"/>
    <x v="2"/>
    <x v="0"/>
    <n v="55000"/>
    <s v="Online"/>
    <n v="110000"/>
    <x v="3"/>
  </r>
  <r>
    <n v="1770"/>
    <n v="53"/>
    <x v="28"/>
    <d v="2025-01-29T00:00:00"/>
    <x v="7"/>
    <x v="0"/>
    <x v="0"/>
    <x v="0"/>
    <n v="65000"/>
    <s v="Cash"/>
    <n v="65000"/>
    <x v="0"/>
  </r>
  <r>
    <n v="1771"/>
    <n v="11"/>
    <x v="19"/>
    <d v="2025-02-03T00:00:00"/>
    <x v="5"/>
    <x v="1"/>
    <x v="0"/>
    <x v="0"/>
    <n v="60000"/>
    <s v="card"/>
    <n v="60000"/>
    <x v="6"/>
  </r>
  <r>
    <n v="1772"/>
    <n v="59"/>
    <x v="36"/>
    <d v="2025-05-08T00:00:00"/>
    <x v="8"/>
    <x v="1"/>
    <x v="0"/>
    <x v="0"/>
    <n v="30000"/>
    <s v="Cash"/>
    <n v="30000"/>
    <x v="11"/>
  </r>
  <r>
    <n v="1773"/>
    <n v="3"/>
    <x v="72"/>
    <d v="2025-07-13T00:00:00"/>
    <x v="7"/>
    <x v="0"/>
    <x v="0"/>
    <x v="0"/>
    <n v="70000"/>
    <s v="card"/>
    <n v="70000"/>
    <x v="10"/>
  </r>
  <r>
    <n v="1774"/>
    <n v="89"/>
    <x v="7"/>
    <d v="2025-04-16T00:00:00"/>
    <x v="8"/>
    <x v="1"/>
    <x v="2"/>
    <x v="0"/>
    <n v="35000"/>
    <s v="Online"/>
    <n v="70000"/>
    <x v="7"/>
  </r>
  <r>
    <n v="1775"/>
    <n v="78"/>
    <x v="4"/>
    <d v="2025-04-14T00:00:00"/>
    <x v="11"/>
    <x v="2"/>
    <x v="1"/>
    <x v="0"/>
    <n v="45000"/>
    <s v="Online"/>
    <n v="180000"/>
    <x v="7"/>
  </r>
  <r>
    <n v="1776"/>
    <n v="7"/>
    <x v="44"/>
    <d v="2025-10-21T00:00:00"/>
    <x v="0"/>
    <x v="0"/>
    <x v="2"/>
    <x v="0"/>
    <n v="57000"/>
    <s v="Cash"/>
    <n v="114000"/>
    <x v="3"/>
  </r>
  <r>
    <n v="1777"/>
    <n v="44"/>
    <x v="54"/>
    <d v="2025-04-02T00:00:00"/>
    <x v="0"/>
    <x v="0"/>
    <x v="2"/>
    <x v="0"/>
    <n v="62000"/>
    <s v="Online "/>
    <n v="124000"/>
    <x v="7"/>
  </r>
  <r>
    <n v="1778"/>
    <n v="106"/>
    <x v="12"/>
    <d v="2025-09-16T00:00:00"/>
    <x v="0"/>
    <x v="0"/>
    <x v="5"/>
    <x v="0"/>
    <n v="67000"/>
    <s v="card"/>
    <n v="201000"/>
    <x v="8"/>
  </r>
  <r>
    <n v="1779"/>
    <n v="52"/>
    <x v="10"/>
    <d v="2025-11-16T00:00:00"/>
    <x v="0"/>
    <x v="0"/>
    <x v="5"/>
    <x v="0"/>
    <n v="67000"/>
    <s v="Online "/>
    <n v="201000"/>
    <x v="1"/>
  </r>
  <r>
    <n v="1780"/>
    <n v="91"/>
    <x v="74"/>
    <d v="2025-06-04T00:00:00"/>
    <x v="6"/>
    <x v="2"/>
    <x v="0"/>
    <x v="0"/>
    <n v="85000"/>
    <s v="Cash"/>
    <n v="85000"/>
    <x v="2"/>
  </r>
  <r>
    <n v="1781"/>
    <n v="94"/>
    <x v="73"/>
    <d v="2025-01-31T00:00:00"/>
    <x v="8"/>
    <x v="1"/>
    <x v="0"/>
    <x v="0"/>
    <n v="35000"/>
    <s v="Cash"/>
    <n v="35000"/>
    <x v="0"/>
  </r>
  <r>
    <n v="1782"/>
    <n v="96"/>
    <x v="1"/>
    <d v="2025-03-06T00:00:00"/>
    <x v="8"/>
    <x v="1"/>
    <x v="0"/>
    <x v="0"/>
    <n v="30000"/>
    <s v="card"/>
    <n v="30000"/>
    <x v="5"/>
  </r>
  <r>
    <n v="1783"/>
    <n v="35"/>
    <x v="81"/>
    <d v="2025-11-27T00:00:00"/>
    <x v="0"/>
    <x v="0"/>
    <x v="5"/>
    <x v="0"/>
    <n v="67000"/>
    <s v="Cash"/>
    <n v="201000"/>
    <x v="1"/>
  </r>
  <r>
    <n v="1784"/>
    <n v="15"/>
    <x v="8"/>
    <d v="2025-04-09T00:00:00"/>
    <x v="1"/>
    <x v="1"/>
    <x v="1"/>
    <x v="0"/>
    <n v="58000"/>
    <s v="Cash"/>
    <n v="232000"/>
    <x v="7"/>
  </r>
  <r>
    <n v="1785"/>
    <n v="56"/>
    <x v="53"/>
    <d v="2025-11-28T00:00:00"/>
    <x v="11"/>
    <x v="2"/>
    <x v="0"/>
    <x v="0"/>
    <n v="40000"/>
    <s v="Online"/>
    <n v="40000"/>
    <x v="1"/>
  </r>
  <r>
    <n v="1786"/>
    <n v="102"/>
    <x v="9"/>
    <d v="2025-12-04T00:00:00"/>
    <x v="0"/>
    <x v="0"/>
    <x v="5"/>
    <x v="0"/>
    <n v="57000"/>
    <s v="card"/>
    <n v="171000"/>
    <x v="9"/>
  </r>
  <r>
    <n v="1787"/>
    <n v="8"/>
    <x v="1"/>
    <d v="2025-10-06T00:00:00"/>
    <x v="3"/>
    <x v="1"/>
    <x v="1"/>
    <x v="0"/>
    <n v="50000"/>
    <s v="Online "/>
    <n v="200000"/>
    <x v="3"/>
  </r>
  <r>
    <n v="1788"/>
    <n v="85"/>
    <x v="6"/>
    <d v="2025-07-23T00:00:00"/>
    <x v="3"/>
    <x v="1"/>
    <x v="0"/>
    <x v="0"/>
    <n v="50000"/>
    <s v="Cash"/>
    <n v="50000"/>
    <x v="10"/>
  </r>
  <r>
    <n v="1789"/>
    <n v="86"/>
    <x v="99"/>
    <d v="2025-09-26T00:00:00"/>
    <x v="4"/>
    <x v="2"/>
    <x v="4"/>
    <x v="1"/>
    <n v="50000"/>
    <s v="Online"/>
    <n v="-50000"/>
    <x v="8"/>
  </r>
  <r>
    <n v="1790"/>
    <n v="43"/>
    <x v="23"/>
    <d v="2025-07-19T00:00:00"/>
    <x v="4"/>
    <x v="2"/>
    <x v="2"/>
    <x v="0"/>
    <n v="50000"/>
    <s v="Cash"/>
    <n v="100000"/>
    <x v="10"/>
  </r>
  <r>
    <n v="1791"/>
    <n v="28"/>
    <x v="82"/>
    <d v="2025-08-14T00:00:00"/>
    <x v="0"/>
    <x v="0"/>
    <x v="1"/>
    <x v="0"/>
    <n v="67000"/>
    <s v="Cash"/>
    <n v="268000"/>
    <x v="4"/>
  </r>
  <r>
    <n v="1792"/>
    <n v="48"/>
    <x v="58"/>
    <d v="2025-02-27T00:00:00"/>
    <x v="5"/>
    <x v="1"/>
    <x v="2"/>
    <x v="0"/>
    <n v="60000"/>
    <s v="Online"/>
    <n v="120000"/>
    <x v="6"/>
  </r>
  <r>
    <n v="1793"/>
    <n v="61"/>
    <x v="25"/>
    <d v="2025-07-08T00:00:00"/>
    <x v="5"/>
    <x v="1"/>
    <x v="5"/>
    <x v="0"/>
    <n v="65000"/>
    <s v="Online "/>
    <n v="195000"/>
    <x v="10"/>
  </r>
  <r>
    <n v="1794"/>
    <n v="118"/>
    <x v="52"/>
    <d v="2025-03-05T00:00:00"/>
    <x v="8"/>
    <x v="1"/>
    <x v="0"/>
    <x v="0"/>
    <n v="35000"/>
    <s v="Cash"/>
    <n v="35000"/>
    <x v="5"/>
  </r>
  <r>
    <n v="1795"/>
    <n v="111"/>
    <x v="6"/>
    <d v="2025-08-15T00:00:00"/>
    <x v="10"/>
    <x v="1"/>
    <x v="2"/>
    <x v="0"/>
    <n v="48000"/>
    <s v="Cash"/>
    <n v="96000"/>
    <x v="4"/>
  </r>
  <r>
    <n v="1796"/>
    <n v="39"/>
    <x v="5"/>
    <d v="2025-03-24T00:00:00"/>
    <x v="10"/>
    <x v="1"/>
    <x v="1"/>
    <x v="0"/>
    <n v="48000"/>
    <s v="card"/>
    <n v="192000"/>
    <x v="5"/>
  </r>
  <r>
    <n v="1797"/>
    <n v="106"/>
    <x v="12"/>
    <d v="2025-08-30T00:00:00"/>
    <x v="2"/>
    <x v="2"/>
    <x v="1"/>
    <x v="0"/>
    <n v="75000"/>
    <s v="card"/>
    <n v="300000"/>
    <x v="4"/>
  </r>
  <r>
    <n v="1798"/>
    <n v="106"/>
    <x v="12"/>
    <d v="2025-12-24T00:00:00"/>
    <x v="1"/>
    <x v="1"/>
    <x v="0"/>
    <x v="0"/>
    <n v="58142.857142857145"/>
    <s v="card"/>
    <n v="58142.857142857145"/>
    <x v="9"/>
  </r>
  <r>
    <n v="1799"/>
    <n v="89"/>
    <x v="7"/>
    <d v="2025-01-27T00:00:00"/>
    <x v="9"/>
    <x v="1"/>
    <x v="5"/>
    <x v="0"/>
    <n v="45000"/>
    <s v="card"/>
    <n v="135000"/>
    <x v="0"/>
  </r>
  <r>
    <n v="1800"/>
    <n v="52"/>
    <x v="10"/>
    <d v="2025-11-18T00:00:00"/>
    <x v="10"/>
    <x v="1"/>
    <x v="2"/>
    <x v="0"/>
    <n v="43000"/>
    <s v="Unknown"/>
    <n v="86000"/>
    <x v="1"/>
  </r>
  <r>
    <n v="1801"/>
    <n v="67"/>
    <x v="90"/>
    <d v="2025-11-29T00:00:00"/>
    <x v="5"/>
    <x v="1"/>
    <x v="1"/>
    <x v="0"/>
    <n v="59954.128440366971"/>
    <s v="Online "/>
    <n v="239816.51376146788"/>
    <x v="1"/>
  </r>
  <r>
    <n v="1802"/>
    <n v="18"/>
    <x v="35"/>
    <d v="2025-03-30T00:00:00"/>
    <x v="0"/>
    <x v="0"/>
    <x v="1"/>
    <x v="0"/>
    <n v="62000"/>
    <s v="card"/>
    <n v="248000"/>
    <x v="5"/>
  </r>
  <r>
    <n v="1803"/>
    <n v="48"/>
    <x v="58"/>
    <d v="2025-07-21T00:00:00"/>
    <x v="1"/>
    <x v="1"/>
    <x v="0"/>
    <x v="0"/>
    <n v="53000"/>
    <s v="card"/>
    <n v="53000"/>
    <x v="10"/>
  </r>
  <r>
    <n v="1804"/>
    <n v="78"/>
    <x v="4"/>
    <d v="2025-04-12T00:00:00"/>
    <x v="2"/>
    <x v="2"/>
    <x v="0"/>
    <x v="0"/>
    <n v="75000"/>
    <s v="Cash"/>
    <n v="75000"/>
    <x v="7"/>
  </r>
  <r>
    <n v="1805"/>
    <n v="34"/>
    <x v="100"/>
    <d v="2025-02-15T00:00:00"/>
    <x v="1"/>
    <x v="1"/>
    <x v="2"/>
    <x v="0"/>
    <n v="53000"/>
    <s v="card"/>
    <n v="106000"/>
    <x v="6"/>
  </r>
  <r>
    <n v="1806"/>
    <n v="106"/>
    <x v="12"/>
    <d v="2025-09-11T00:00:00"/>
    <x v="8"/>
    <x v="1"/>
    <x v="0"/>
    <x v="0"/>
    <n v="35000"/>
    <s v="Online"/>
    <n v="35000"/>
    <x v="8"/>
  </r>
  <r>
    <n v="1807"/>
    <n v="96"/>
    <x v="1"/>
    <d v="2025-07-15T00:00:00"/>
    <x v="2"/>
    <x v="2"/>
    <x v="1"/>
    <x v="0"/>
    <n v="75000"/>
    <s v="Unknown"/>
    <n v="300000"/>
    <x v="10"/>
  </r>
  <r>
    <n v="1808"/>
    <n v="94"/>
    <x v="73"/>
    <d v="2025-04-07T00:00:00"/>
    <x v="8"/>
    <x v="1"/>
    <x v="2"/>
    <x v="0"/>
    <n v="35000"/>
    <s v="Online"/>
    <n v="70000"/>
    <x v="7"/>
  </r>
  <r>
    <n v="1809"/>
    <n v="31"/>
    <x v="103"/>
    <d v="2025-08-19T00:00:00"/>
    <x v="4"/>
    <x v="2"/>
    <x v="2"/>
    <x v="0"/>
    <n v="50000"/>
    <s v="card"/>
    <n v="100000"/>
    <x v="4"/>
  </r>
  <r>
    <n v="1810"/>
    <n v="18"/>
    <x v="35"/>
    <d v="2025-12-21T00:00:00"/>
    <x v="7"/>
    <x v="0"/>
    <x v="6"/>
    <x v="1"/>
    <n v="65000"/>
    <s v="Online "/>
    <n v="-195000"/>
    <x v="9"/>
  </r>
  <r>
    <n v="1811"/>
    <n v="77"/>
    <x v="49"/>
    <d v="2025-02-07T00:00:00"/>
    <x v="0"/>
    <x v="0"/>
    <x v="0"/>
    <x v="0"/>
    <n v="62000"/>
    <s v="Online"/>
    <n v="62000"/>
    <x v="6"/>
  </r>
  <r>
    <n v="1812"/>
    <n v="78"/>
    <x v="4"/>
    <d v="2025-11-03T00:00:00"/>
    <x v="8"/>
    <x v="1"/>
    <x v="0"/>
    <x v="0"/>
    <n v="35000"/>
    <s v="Unknown"/>
    <n v="35000"/>
    <x v="1"/>
  </r>
  <r>
    <n v="1813"/>
    <n v="51"/>
    <x v="93"/>
    <d v="2025-07-09T00:00:00"/>
    <x v="8"/>
    <x v="1"/>
    <x v="2"/>
    <x v="0"/>
    <n v="35000"/>
    <s v="Cash"/>
    <n v="70000"/>
    <x v="10"/>
  </r>
  <r>
    <n v="1814"/>
    <n v="64"/>
    <x v="50"/>
    <d v="2025-08-28T00:00:00"/>
    <x v="7"/>
    <x v="0"/>
    <x v="0"/>
    <x v="0"/>
    <n v="70000"/>
    <s v="Online"/>
    <n v="70000"/>
    <x v="4"/>
  </r>
  <r>
    <n v="1815"/>
    <n v="15"/>
    <x v="8"/>
    <d v="2025-01-23T00:00:00"/>
    <x v="7"/>
    <x v="0"/>
    <x v="1"/>
    <x v="0"/>
    <n v="65000"/>
    <s v="card"/>
    <n v="260000"/>
    <x v="0"/>
  </r>
  <r>
    <n v="1816"/>
    <n v="37"/>
    <x v="22"/>
    <d v="2025-10-11T00:00:00"/>
    <x v="0"/>
    <x v="0"/>
    <x v="2"/>
    <x v="0"/>
    <n v="62000"/>
    <s v="Cash"/>
    <n v="124000"/>
    <x v="3"/>
  </r>
  <r>
    <n v="1817"/>
    <n v="72"/>
    <x v="51"/>
    <d v="2025-11-22T00:00:00"/>
    <x v="8"/>
    <x v="1"/>
    <x v="0"/>
    <x v="0"/>
    <n v="35000"/>
    <s v="Cash"/>
    <n v="35000"/>
    <x v="1"/>
  </r>
  <r>
    <n v="1818"/>
    <n v="5"/>
    <x v="15"/>
    <d v="2025-05-14T00:00:00"/>
    <x v="2"/>
    <x v="2"/>
    <x v="0"/>
    <x v="0"/>
    <n v="75256.41025641025"/>
    <s v="card"/>
    <n v="75256.41025641025"/>
    <x v="11"/>
  </r>
  <r>
    <n v="1819"/>
    <n v="46"/>
    <x v="98"/>
    <d v="2025-10-15T00:00:00"/>
    <x v="5"/>
    <x v="1"/>
    <x v="0"/>
    <x v="0"/>
    <n v="55000"/>
    <s v="card"/>
    <n v="55000"/>
    <x v="3"/>
  </r>
  <r>
    <n v="1820"/>
    <n v="45"/>
    <x v="55"/>
    <d v="2025-04-15T00:00:00"/>
    <x v="3"/>
    <x v="1"/>
    <x v="1"/>
    <x v="0"/>
    <n v="55000"/>
    <s v="Cash"/>
    <n v="220000"/>
    <x v="7"/>
  </r>
  <r>
    <n v="1821"/>
    <n v="115"/>
    <x v="80"/>
    <d v="2025-10-27T00:00:00"/>
    <x v="8"/>
    <x v="1"/>
    <x v="2"/>
    <x v="0"/>
    <n v="40000"/>
    <s v="card"/>
    <n v="80000"/>
    <x v="3"/>
  </r>
  <r>
    <n v="1822"/>
    <n v="32"/>
    <x v="4"/>
    <d v="2025-12-13T00:00:00"/>
    <x v="2"/>
    <x v="2"/>
    <x v="0"/>
    <x v="0"/>
    <n v="75000"/>
    <s v="card"/>
    <n v="75000"/>
    <x v="9"/>
  </r>
  <r>
    <n v="1823"/>
    <n v="48"/>
    <x v="58"/>
    <d v="2025-02-24T00:00:00"/>
    <x v="4"/>
    <x v="2"/>
    <x v="0"/>
    <x v="0"/>
    <n v="45000"/>
    <s v="card"/>
    <n v="45000"/>
    <x v="6"/>
  </r>
  <r>
    <n v="1824"/>
    <n v="81"/>
    <x v="26"/>
    <d v="2025-11-01T00:00:00"/>
    <x v="0"/>
    <x v="0"/>
    <x v="0"/>
    <x v="0"/>
    <n v="57000"/>
    <s v="Online"/>
    <n v="57000"/>
    <x v="1"/>
  </r>
  <r>
    <n v="1825"/>
    <n v="55"/>
    <x v="39"/>
    <d v="2025-10-19T00:00:00"/>
    <x v="5"/>
    <x v="1"/>
    <x v="1"/>
    <x v="0"/>
    <n v="55000"/>
    <s v="Online"/>
    <n v="220000"/>
    <x v="3"/>
  </r>
  <r>
    <n v="1826"/>
    <n v="103"/>
    <x v="91"/>
    <d v="2025-06-02T00:00:00"/>
    <x v="9"/>
    <x v="1"/>
    <x v="0"/>
    <x v="0"/>
    <n v="45000"/>
    <s v="Cash"/>
    <n v="45000"/>
    <x v="2"/>
  </r>
  <r>
    <n v="1827"/>
    <n v="118"/>
    <x v="52"/>
    <d v="2025-02-15T00:00:00"/>
    <x v="11"/>
    <x v="2"/>
    <x v="0"/>
    <x v="0"/>
    <n v="40000"/>
    <s v="Online "/>
    <n v="40000"/>
    <x v="6"/>
  </r>
  <r>
    <n v="1828"/>
    <n v="97"/>
    <x v="32"/>
    <d v="2025-03-20T00:00:00"/>
    <x v="8"/>
    <x v="1"/>
    <x v="3"/>
    <x v="1"/>
    <n v="35000"/>
    <s v="Unknown"/>
    <n v="-70000"/>
    <x v="5"/>
  </r>
  <r>
    <n v="1829"/>
    <n v="78"/>
    <x v="4"/>
    <d v="2025-07-03T00:00:00"/>
    <x v="1"/>
    <x v="1"/>
    <x v="0"/>
    <x v="0"/>
    <n v="58000"/>
    <s v="card"/>
    <n v="58000"/>
    <x v="10"/>
  </r>
  <r>
    <n v="1830"/>
    <n v="58"/>
    <x v="7"/>
    <d v="2025-01-09T00:00:00"/>
    <x v="11"/>
    <x v="2"/>
    <x v="0"/>
    <x v="0"/>
    <n v="40000"/>
    <s v="card"/>
    <n v="40000"/>
    <x v="0"/>
  </r>
  <r>
    <n v="1831"/>
    <n v="81"/>
    <x v="26"/>
    <d v="2025-02-17T00:00:00"/>
    <x v="11"/>
    <x v="2"/>
    <x v="2"/>
    <x v="0"/>
    <n v="40428.571428571428"/>
    <s v="card"/>
    <n v="80857.142857142855"/>
    <x v="6"/>
  </r>
  <r>
    <n v="1832"/>
    <n v="68"/>
    <x v="108"/>
    <d v="2025-11-28T00:00:00"/>
    <x v="8"/>
    <x v="1"/>
    <x v="4"/>
    <x v="1"/>
    <n v="35000"/>
    <s v="card"/>
    <n v="-35000"/>
    <x v="1"/>
  </r>
  <r>
    <n v="1833"/>
    <n v="39"/>
    <x v="5"/>
    <d v="2025-07-03T00:00:00"/>
    <x v="1"/>
    <x v="1"/>
    <x v="1"/>
    <x v="0"/>
    <n v="58000"/>
    <s v="Online"/>
    <n v="232000"/>
    <x v="10"/>
  </r>
  <r>
    <n v="1834"/>
    <n v="73"/>
    <x v="14"/>
    <d v="2025-10-10T00:00:00"/>
    <x v="9"/>
    <x v="1"/>
    <x v="2"/>
    <x v="0"/>
    <n v="40000"/>
    <s v="card"/>
    <n v="80000"/>
    <x v="3"/>
  </r>
  <r>
    <n v="1835"/>
    <n v="13"/>
    <x v="38"/>
    <d v="2025-05-12T00:00:00"/>
    <x v="2"/>
    <x v="2"/>
    <x v="0"/>
    <x v="0"/>
    <n v="75000"/>
    <s v="Cash"/>
    <n v="75000"/>
    <x v="11"/>
  </r>
  <r>
    <n v="1836"/>
    <n v="3"/>
    <x v="72"/>
    <d v="2025-12-05T00:00:00"/>
    <x v="3"/>
    <x v="1"/>
    <x v="1"/>
    <x v="0"/>
    <n v="55000"/>
    <s v="card"/>
    <n v="220000"/>
    <x v="9"/>
  </r>
  <r>
    <n v="1837"/>
    <n v="54"/>
    <x v="89"/>
    <d v="2025-02-06T00:00:00"/>
    <x v="5"/>
    <x v="1"/>
    <x v="1"/>
    <x v="0"/>
    <n v="60000"/>
    <s v="Online"/>
    <n v="240000"/>
    <x v="6"/>
  </r>
  <r>
    <n v="1838"/>
    <n v="118"/>
    <x v="52"/>
    <d v="2025-04-19T00:00:00"/>
    <x v="1"/>
    <x v="1"/>
    <x v="5"/>
    <x v="0"/>
    <n v="63000"/>
    <s v="card"/>
    <n v="189000"/>
    <x v="7"/>
  </r>
  <r>
    <n v="1839"/>
    <n v="69"/>
    <x v="60"/>
    <d v="2025-01-03T00:00:00"/>
    <x v="9"/>
    <x v="1"/>
    <x v="0"/>
    <x v="0"/>
    <n v="45000"/>
    <s v="card"/>
    <n v="45000"/>
    <x v="0"/>
  </r>
  <r>
    <n v="1840"/>
    <n v="89"/>
    <x v="7"/>
    <d v="2025-03-12T00:00:00"/>
    <x v="11"/>
    <x v="2"/>
    <x v="0"/>
    <x v="0"/>
    <n v="45000"/>
    <s v="Online "/>
    <n v="45000"/>
    <x v="5"/>
  </r>
  <r>
    <n v="1841"/>
    <n v="87"/>
    <x v="71"/>
    <d v="2025-12-12T00:00:00"/>
    <x v="5"/>
    <x v="1"/>
    <x v="0"/>
    <x v="0"/>
    <n v="60000"/>
    <s v="Unknown"/>
    <n v="60000"/>
    <x v="9"/>
  </r>
  <r>
    <n v="1842"/>
    <n v="15"/>
    <x v="8"/>
    <d v="2025-12-23T00:00:00"/>
    <x v="9"/>
    <x v="1"/>
    <x v="0"/>
    <x v="0"/>
    <n v="45000"/>
    <s v="Online "/>
    <n v="45000"/>
    <x v="9"/>
  </r>
  <r>
    <n v="1843"/>
    <n v="31"/>
    <x v="103"/>
    <d v="2025-11-17T00:00:00"/>
    <x v="11"/>
    <x v="2"/>
    <x v="0"/>
    <x v="0"/>
    <n v="40000"/>
    <s v="card"/>
    <n v="40000"/>
    <x v="1"/>
  </r>
  <r>
    <n v="1844"/>
    <n v="55"/>
    <x v="39"/>
    <d v="2025-03-01T00:00:00"/>
    <x v="9"/>
    <x v="1"/>
    <x v="5"/>
    <x v="0"/>
    <n v="45000"/>
    <s v="card"/>
    <n v="135000"/>
    <x v="5"/>
  </r>
  <r>
    <n v="1845"/>
    <n v="111"/>
    <x v="6"/>
    <d v="2025-10-27T00:00:00"/>
    <x v="2"/>
    <x v="2"/>
    <x v="0"/>
    <x v="0"/>
    <n v="80000"/>
    <s v="Online"/>
    <n v="80000"/>
    <x v="3"/>
  </r>
  <r>
    <n v="1846"/>
    <n v="2"/>
    <x v="34"/>
    <d v="2025-11-19T00:00:00"/>
    <x v="3"/>
    <x v="1"/>
    <x v="2"/>
    <x v="0"/>
    <n v="55000"/>
    <s v="card"/>
    <n v="110000"/>
    <x v="1"/>
  </r>
  <r>
    <n v="1847"/>
    <n v="63"/>
    <x v="3"/>
    <d v="2025-06-09T00:00:00"/>
    <x v="11"/>
    <x v="2"/>
    <x v="0"/>
    <x v="0"/>
    <n v="35000"/>
    <s v="card"/>
    <n v="35000"/>
    <x v="2"/>
  </r>
  <r>
    <n v="1848"/>
    <n v="74"/>
    <x v="45"/>
    <d v="2025-11-10T00:00:00"/>
    <x v="7"/>
    <x v="0"/>
    <x v="5"/>
    <x v="0"/>
    <n v="65000"/>
    <s v="card"/>
    <n v="195000"/>
    <x v="1"/>
  </r>
  <r>
    <n v="1849"/>
    <n v="80"/>
    <x v="102"/>
    <d v="2025-06-27T00:00:00"/>
    <x v="8"/>
    <x v="1"/>
    <x v="0"/>
    <x v="0"/>
    <n v="35000"/>
    <s v="card"/>
    <n v="35000"/>
    <x v="2"/>
  </r>
  <r>
    <n v="1850"/>
    <n v="45"/>
    <x v="55"/>
    <d v="2025-04-29T00:00:00"/>
    <x v="2"/>
    <x v="2"/>
    <x v="0"/>
    <x v="0"/>
    <n v="75000"/>
    <s v="Cash"/>
    <n v="75000"/>
    <x v="7"/>
  </r>
  <r>
    <n v="1851"/>
    <n v="114"/>
    <x v="63"/>
    <d v="2025-12-31T00:00:00"/>
    <x v="0"/>
    <x v="0"/>
    <x v="1"/>
    <x v="0"/>
    <n v="62000"/>
    <s v="Cash"/>
    <n v="248000"/>
    <x v="9"/>
  </r>
  <r>
    <n v="1852"/>
    <n v="27"/>
    <x v="68"/>
    <d v="2025-12-20T00:00:00"/>
    <x v="0"/>
    <x v="0"/>
    <x v="5"/>
    <x v="0"/>
    <n v="62000"/>
    <s v="Cash"/>
    <n v="186000"/>
    <x v="9"/>
  </r>
  <r>
    <n v="1853"/>
    <n v="21"/>
    <x v="105"/>
    <d v="2025-09-09T00:00:00"/>
    <x v="4"/>
    <x v="2"/>
    <x v="2"/>
    <x v="0"/>
    <n v="50000"/>
    <s v="Cash"/>
    <n v="100000"/>
    <x v="8"/>
  </r>
  <r>
    <n v="1854"/>
    <n v="7"/>
    <x v="44"/>
    <d v="2025-03-07T00:00:00"/>
    <x v="9"/>
    <x v="1"/>
    <x v="5"/>
    <x v="0"/>
    <n v="45000"/>
    <s v="card"/>
    <n v="135000"/>
    <x v="5"/>
  </r>
  <r>
    <n v="1855"/>
    <n v="44"/>
    <x v="54"/>
    <d v="2025-02-28T00:00:00"/>
    <x v="11"/>
    <x v="2"/>
    <x v="0"/>
    <x v="0"/>
    <n v="45000"/>
    <s v="Online"/>
    <n v="45000"/>
    <x v="6"/>
  </r>
  <r>
    <n v="1856"/>
    <n v="44"/>
    <x v="54"/>
    <d v="2025-01-24T00:00:00"/>
    <x v="7"/>
    <x v="0"/>
    <x v="0"/>
    <x v="0"/>
    <n v="70000"/>
    <s v="Online "/>
    <n v="70000"/>
    <x v="0"/>
  </r>
  <r>
    <n v="1857"/>
    <n v="7"/>
    <x v="44"/>
    <d v="2025-08-23T00:00:00"/>
    <x v="2"/>
    <x v="2"/>
    <x v="1"/>
    <x v="0"/>
    <n v="80000"/>
    <s v="Cash"/>
    <n v="320000"/>
    <x v="4"/>
  </r>
  <r>
    <n v="1858"/>
    <n v="6"/>
    <x v="27"/>
    <d v="2025-02-23T00:00:00"/>
    <x v="6"/>
    <x v="2"/>
    <x v="1"/>
    <x v="0"/>
    <n v="85000"/>
    <s v="Online "/>
    <n v="340000"/>
    <x v="6"/>
  </r>
  <r>
    <n v="1859"/>
    <n v="38"/>
    <x v="31"/>
    <d v="2025-08-15T00:00:00"/>
    <x v="5"/>
    <x v="1"/>
    <x v="5"/>
    <x v="0"/>
    <n v="55000"/>
    <s v="Online"/>
    <n v="165000"/>
    <x v="4"/>
  </r>
  <r>
    <n v="1860"/>
    <n v="105"/>
    <x v="104"/>
    <d v="2025-04-03T00:00:00"/>
    <x v="1"/>
    <x v="1"/>
    <x v="2"/>
    <x v="0"/>
    <n v="53000"/>
    <s v="Online"/>
    <n v="106000"/>
    <x v="7"/>
  </r>
  <r>
    <n v="1861"/>
    <n v="37"/>
    <x v="22"/>
    <d v="2025-03-29T00:00:00"/>
    <x v="6"/>
    <x v="2"/>
    <x v="0"/>
    <x v="0"/>
    <n v="85000"/>
    <s v="Cash"/>
    <n v="85000"/>
    <x v="5"/>
  </r>
  <r>
    <n v="1862"/>
    <n v="97"/>
    <x v="32"/>
    <d v="2025-08-04T00:00:00"/>
    <x v="6"/>
    <x v="2"/>
    <x v="1"/>
    <x v="0"/>
    <n v="85000"/>
    <s v="card"/>
    <n v="340000"/>
    <x v="4"/>
  </r>
  <r>
    <n v="1863"/>
    <n v="55"/>
    <x v="39"/>
    <d v="2025-12-16T00:00:00"/>
    <x v="6"/>
    <x v="2"/>
    <x v="2"/>
    <x v="0"/>
    <n v="85000"/>
    <s v="card"/>
    <n v="170000"/>
    <x v="9"/>
  </r>
  <r>
    <n v="1864"/>
    <n v="44"/>
    <x v="54"/>
    <d v="2025-07-25T00:00:00"/>
    <x v="7"/>
    <x v="0"/>
    <x v="0"/>
    <x v="0"/>
    <n v="65000"/>
    <s v="Cash"/>
    <n v="65000"/>
    <x v="10"/>
  </r>
  <r>
    <n v="1865"/>
    <n v="8"/>
    <x v="1"/>
    <d v="2025-05-12T00:00:00"/>
    <x v="8"/>
    <x v="1"/>
    <x v="2"/>
    <x v="0"/>
    <n v="35000"/>
    <s v="Unknown"/>
    <n v="70000"/>
    <x v="11"/>
  </r>
  <r>
    <n v="1866"/>
    <n v="96"/>
    <x v="1"/>
    <d v="2025-06-26T00:00:00"/>
    <x v="7"/>
    <x v="0"/>
    <x v="2"/>
    <x v="0"/>
    <n v="70000"/>
    <s v="card"/>
    <n v="140000"/>
    <x v="2"/>
  </r>
  <r>
    <n v="1867"/>
    <n v="83"/>
    <x v="57"/>
    <d v="2025-06-10T00:00:00"/>
    <x v="10"/>
    <x v="1"/>
    <x v="5"/>
    <x v="0"/>
    <n v="48000"/>
    <s v="Cash"/>
    <n v="144000"/>
    <x v="2"/>
  </r>
  <r>
    <n v="1868"/>
    <n v="113"/>
    <x v="69"/>
    <d v="2025-02-13T00:00:00"/>
    <x v="0"/>
    <x v="0"/>
    <x v="2"/>
    <x v="0"/>
    <n v="62000"/>
    <s v="Cash"/>
    <n v="124000"/>
    <x v="6"/>
  </r>
  <r>
    <n v="1869"/>
    <n v="12"/>
    <x v="42"/>
    <d v="2025-10-10T00:00:00"/>
    <x v="6"/>
    <x v="2"/>
    <x v="1"/>
    <x v="0"/>
    <n v="85000"/>
    <s v="Cash"/>
    <n v="340000"/>
    <x v="3"/>
  </r>
  <r>
    <n v="1870"/>
    <n v="76"/>
    <x v="95"/>
    <d v="2025-04-05T00:00:00"/>
    <x v="0"/>
    <x v="0"/>
    <x v="2"/>
    <x v="0"/>
    <n v="57000"/>
    <s v="Online"/>
    <n v="114000"/>
    <x v="7"/>
  </r>
  <r>
    <n v="1871"/>
    <n v="34"/>
    <x v="100"/>
    <d v="2025-09-17T00:00:00"/>
    <x v="8"/>
    <x v="1"/>
    <x v="0"/>
    <x v="0"/>
    <n v="30000"/>
    <s v="Cash"/>
    <n v="30000"/>
    <x v="8"/>
  </r>
  <r>
    <n v="1872"/>
    <n v="95"/>
    <x v="11"/>
    <d v="2025-08-21T00:00:00"/>
    <x v="9"/>
    <x v="1"/>
    <x v="1"/>
    <x v="0"/>
    <n v="50000"/>
    <s v="Online"/>
    <n v="200000"/>
    <x v="4"/>
  </r>
  <r>
    <n v="1873"/>
    <n v="39"/>
    <x v="5"/>
    <d v="2025-12-08T00:00:00"/>
    <x v="0"/>
    <x v="0"/>
    <x v="5"/>
    <x v="0"/>
    <n v="62000"/>
    <s v="card"/>
    <n v="186000"/>
    <x v="9"/>
  </r>
  <r>
    <n v="1874"/>
    <n v="42"/>
    <x v="14"/>
    <d v="2025-10-26T00:00:00"/>
    <x v="6"/>
    <x v="2"/>
    <x v="2"/>
    <x v="0"/>
    <n v="80000"/>
    <s v="card"/>
    <n v="160000"/>
    <x v="3"/>
  </r>
  <r>
    <n v="1875"/>
    <n v="11"/>
    <x v="19"/>
    <d v="2025-02-01T00:00:00"/>
    <x v="3"/>
    <x v="1"/>
    <x v="2"/>
    <x v="0"/>
    <n v="55000"/>
    <s v="Online"/>
    <n v="110000"/>
    <x v="6"/>
  </r>
  <r>
    <n v="1876"/>
    <n v="87"/>
    <x v="71"/>
    <d v="2025-07-26T00:00:00"/>
    <x v="6"/>
    <x v="2"/>
    <x v="1"/>
    <x v="0"/>
    <n v="85000"/>
    <s v="Online "/>
    <n v="340000"/>
    <x v="10"/>
  </r>
  <r>
    <n v="1877"/>
    <n v="55"/>
    <x v="39"/>
    <d v="2025-12-19T00:00:00"/>
    <x v="2"/>
    <x v="2"/>
    <x v="1"/>
    <x v="0"/>
    <n v="75000"/>
    <s v="card"/>
    <n v="300000"/>
    <x v="9"/>
  </r>
  <r>
    <n v="1878"/>
    <n v="92"/>
    <x v="64"/>
    <d v="2025-03-08T00:00:00"/>
    <x v="2"/>
    <x v="2"/>
    <x v="5"/>
    <x v="0"/>
    <n v="75000"/>
    <s v="card"/>
    <n v="225000"/>
    <x v="5"/>
  </r>
  <r>
    <n v="1879"/>
    <n v="96"/>
    <x v="1"/>
    <d v="2025-10-14T00:00:00"/>
    <x v="1"/>
    <x v="1"/>
    <x v="2"/>
    <x v="0"/>
    <n v="58000"/>
    <s v="Online"/>
    <n v="116000"/>
    <x v="3"/>
  </r>
  <r>
    <n v="1880"/>
    <n v="74"/>
    <x v="45"/>
    <d v="2025-01-21T00:00:00"/>
    <x v="0"/>
    <x v="0"/>
    <x v="0"/>
    <x v="0"/>
    <n v="62000"/>
    <s v="Online"/>
    <n v="62000"/>
    <x v="0"/>
  </r>
  <r>
    <n v="1881"/>
    <n v="38"/>
    <x v="31"/>
    <d v="2025-01-15T00:00:00"/>
    <x v="2"/>
    <x v="2"/>
    <x v="1"/>
    <x v="0"/>
    <n v="80000"/>
    <s v="Online"/>
    <n v="320000"/>
    <x v="0"/>
  </r>
  <r>
    <n v="1882"/>
    <n v="114"/>
    <x v="63"/>
    <d v="2025-04-21T00:00:00"/>
    <x v="0"/>
    <x v="0"/>
    <x v="0"/>
    <x v="0"/>
    <n v="62265.486725663715"/>
    <s v="card"/>
    <n v="62265.486725663715"/>
    <x v="7"/>
  </r>
  <r>
    <n v="1883"/>
    <n v="112"/>
    <x v="16"/>
    <d v="2025-02-08T00:00:00"/>
    <x v="9"/>
    <x v="1"/>
    <x v="2"/>
    <x v="0"/>
    <n v="45353.535353535357"/>
    <s v="card"/>
    <n v="90707.070707070714"/>
    <x v="6"/>
  </r>
  <r>
    <n v="1884"/>
    <n v="107"/>
    <x v="20"/>
    <d v="2025-11-07T00:00:00"/>
    <x v="5"/>
    <x v="1"/>
    <x v="2"/>
    <x v="0"/>
    <n v="60000"/>
    <s v="Cash"/>
    <n v="120000"/>
    <x v="1"/>
  </r>
  <r>
    <n v="1885"/>
    <n v="111"/>
    <x v="6"/>
    <d v="2025-06-16T00:00:00"/>
    <x v="5"/>
    <x v="1"/>
    <x v="2"/>
    <x v="0"/>
    <n v="60000"/>
    <s v="Cash"/>
    <n v="120000"/>
    <x v="2"/>
  </r>
  <r>
    <n v="1886"/>
    <n v="6"/>
    <x v="27"/>
    <d v="2025-08-15T00:00:00"/>
    <x v="8"/>
    <x v="1"/>
    <x v="5"/>
    <x v="0"/>
    <n v="30000"/>
    <s v="Cash"/>
    <n v="90000"/>
    <x v="4"/>
  </r>
  <r>
    <n v="1887"/>
    <n v="81"/>
    <x v="26"/>
    <d v="2025-06-08T00:00:00"/>
    <x v="5"/>
    <x v="1"/>
    <x v="5"/>
    <x v="0"/>
    <n v="65000"/>
    <s v="Cash"/>
    <n v="195000"/>
    <x v="2"/>
  </r>
  <r>
    <n v="1888"/>
    <n v="70"/>
    <x v="97"/>
    <d v="2025-01-28T00:00:00"/>
    <x v="4"/>
    <x v="2"/>
    <x v="1"/>
    <x v="0"/>
    <n v="50000"/>
    <s v="card"/>
    <n v="200000"/>
    <x v="0"/>
  </r>
  <r>
    <n v="1889"/>
    <n v="85"/>
    <x v="6"/>
    <d v="2025-03-04T00:00:00"/>
    <x v="6"/>
    <x v="2"/>
    <x v="1"/>
    <x v="0"/>
    <n v="85000"/>
    <s v="card"/>
    <n v="340000"/>
    <x v="5"/>
  </r>
  <r>
    <n v="1890"/>
    <n v="104"/>
    <x v="76"/>
    <d v="2025-07-11T00:00:00"/>
    <x v="6"/>
    <x v="2"/>
    <x v="2"/>
    <x v="0"/>
    <n v="80000"/>
    <s v="Online"/>
    <n v="160000"/>
    <x v="10"/>
  </r>
  <r>
    <n v="1891"/>
    <n v="56"/>
    <x v="53"/>
    <d v="2025-01-08T00:00:00"/>
    <x v="1"/>
    <x v="1"/>
    <x v="2"/>
    <x v="0"/>
    <n v="58000"/>
    <s v="card"/>
    <n v="116000"/>
    <x v="0"/>
  </r>
  <r>
    <n v="1892"/>
    <n v="70"/>
    <x v="97"/>
    <d v="2025-05-27T00:00:00"/>
    <x v="1"/>
    <x v="1"/>
    <x v="0"/>
    <x v="0"/>
    <n v="53000"/>
    <s v="card"/>
    <n v="53000"/>
    <x v="11"/>
  </r>
  <r>
    <n v="1893"/>
    <n v="87"/>
    <x v="71"/>
    <d v="2025-01-31T00:00:00"/>
    <x v="1"/>
    <x v="1"/>
    <x v="0"/>
    <x v="0"/>
    <n v="53000"/>
    <s v="Online"/>
    <n v="53000"/>
    <x v="0"/>
  </r>
  <r>
    <n v="1894"/>
    <n v="50"/>
    <x v="24"/>
    <d v="2025-06-13T00:00:00"/>
    <x v="3"/>
    <x v="1"/>
    <x v="0"/>
    <x v="0"/>
    <n v="55000"/>
    <s v="card"/>
    <n v="55000"/>
    <x v="2"/>
  </r>
  <r>
    <n v="1895"/>
    <n v="26"/>
    <x v="67"/>
    <d v="2025-11-02T00:00:00"/>
    <x v="10"/>
    <x v="1"/>
    <x v="2"/>
    <x v="0"/>
    <n v="53000"/>
    <s v="card"/>
    <n v="106000"/>
    <x v="1"/>
  </r>
  <r>
    <n v="1896"/>
    <n v="35"/>
    <x v="81"/>
    <d v="2025-12-06T00:00:00"/>
    <x v="9"/>
    <x v="1"/>
    <x v="0"/>
    <x v="0"/>
    <n v="45000"/>
    <s v="Online "/>
    <n v="45000"/>
    <x v="9"/>
  </r>
  <r>
    <n v="1897"/>
    <n v="30"/>
    <x v="101"/>
    <d v="2025-05-18T00:00:00"/>
    <x v="9"/>
    <x v="1"/>
    <x v="0"/>
    <x v="0"/>
    <n v="50000"/>
    <s v="Online"/>
    <n v="50000"/>
    <x v="11"/>
  </r>
  <r>
    <n v="1898"/>
    <n v="73"/>
    <x v="14"/>
    <d v="2025-08-17T00:00:00"/>
    <x v="11"/>
    <x v="2"/>
    <x v="1"/>
    <x v="0"/>
    <n v="40000"/>
    <s v="Cash"/>
    <n v="160000"/>
    <x v="4"/>
  </r>
  <r>
    <n v="1899"/>
    <n v="69"/>
    <x v="60"/>
    <d v="2025-10-12T00:00:00"/>
    <x v="11"/>
    <x v="2"/>
    <x v="0"/>
    <x v="0"/>
    <n v="40000"/>
    <s v="Online "/>
    <n v="40000"/>
    <x v="3"/>
  </r>
  <r>
    <n v="1900"/>
    <n v="78"/>
    <x v="4"/>
    <d v="2025-01-01T00:00:00"/>
    <x v="1"/>
    <x v="1"/>
    <x v="0"/>
    <x v="0"/>
    <n v="63000"/>
    <s v="Online"/>
    <n v="63000"/>
    <x v="0"/>
  </r>
  <r>
    <n v="1901"/>
    <n v="108"/>
    <x v="107"/>
    <d v="2025-04-19T00:00:00"/>
    <x v="8"/>
    <x v="1"/>
    <x v="0"/>
    <x v="0"/>
    <n v="35000"/>
    <s v="Online"/>
    <n v="35000"/>
    <x v="7"/>
  </r>
  <r>
    <n v="1902"/>
    <n v="12"/>
    <x v="42"/>
    <d v="2025-12-24T00:00:00"/>
    <x v="11"/>
    <x v="2"/>
    <x v="6"/>
    <x v="1"/>
    <n v="45000"/>
    <s v="Cash"/>
    <n v="-135000"/>
    <x v="9"/>
  </r>
  <r>
    <n v="1903"/>
    <n v="79"/>
    <x v="37"/>
    <d v="2025-12-06T00:00:00"/>
    <x v="6"/>
    <x v="2"/>
    <x v="5"/>
    <x v="0"/>
    <n v="85000"/>
    <s v="Online"/>
    <n v="255000"/>
    <x v="9"/>
  </r>
  <r>
    <n v="1904"/>
    <n v="32"/>
    <x v="4"/>
    <d v="2025-06-14T00:00:00"/>
    <x v="8"/>
    <x v="1"/>
    <x v="2"/>
    <x v="0"/>
    <n v="40000"/>
    <s v="Online "/>
    <n v="80000"/>
    <x v="2"/>
  </r>
  <r>
    <n v="1905"/>
    <n v="18"/>
    <x v="35"/>
    <d v="2025-02-01T00:00:00"/>
    <x v="8"/>
    <x v="1"/>
    <x v="0"/>
    <x v="0"/>
    <n v="30000"/>
    <s v="card"/>
    <n v="30000"/>
    <x v="6"/>
  </r>
  <r>
    <n v="1906"/>
    <n v="72"/>
    <x v="51"/>
    <d v="2025-12-27T00:00:00"/>
    <x v="5"/>
    <x v="1"/>
    <x v="2"/>
    <x v="0"/>
    <n v="55000"/>
    <s v="Cash"/>
    <n v="110000"/>
    <x v="9"/>
  </r>
  <r>
    <n v="1907"/>
    <n v="4"/>
    <x v="18"/>
    <d v="2025-08-16T00:00:00"/>
    <x v="8"/>
    <x v="1"/>
    <x v="0"/>
    <x v="0"/>
    <n v="35000"/>
    <s v="card"/>
    <n v="35000"/>
    <x v="4"/>
  </r>
  <r>
    <n v="1908"/>
    <n v="23"/>
    <x v="0"/>
    <d v="2025-05-01T00:00:00"/>
    <x v="5"/>
    <x v="1"/>
    <x v="0"/>
    <x v="0"/>
    <n v="60000"/>
    <s v="Unknown"/>
    <n v="60000"/>
    <x v="11"/>
  </r>
  <r>
    <n v="1909"/>
    <n v="96"/>
    <x v="1"/>
    <d v="2025-05-24T00:00:00"/>
    <x v="9"/>
    <x v="1"/>
    <x v="0"/>
    <x v="0"/>
    <n v="40000"/>
    <s v="Online "/>
    <n v="40000"/>
    <x v="11"/>
  </r>
  <r>
    <n v="1910"/>
    <n v="29"/>
    <x v="19"/>
    <d v="2025-09-10T00:00:00"/>
    <x v="10"/>
    <x v="1"/>
    <x v="0"/>
    <x v="0"/>
    <n v="48000"/>
    <s v="card"/>
    <n v="48000"/>
    <x v="8"/>
  </r>
  <r>
    <n v="1911"/>
    <n v="26"/>
    <x v="67"/>
    <d v="2025-07-22T00:00:00"/>
    <x v="8"/>
    <x v="1"/>
    <x v="2"/>
    <x v="0"/>
    <n v="40000"/>
    <s v="Cash"/>
    <n v="80000"/>
    <x v="10"/>
  </r>
  <r>
    <n v="1912"/>
    <n v="25"/>
    <x v="94"/>
    <d v="2025-10-17T00:00:00"/>
    <x v="8"/>
    <x v="1"/>
    <x v="0"/>
    <x v="0"/>
    <n v="40000"/>
    <s v="Cash"/>
    <n v="40000"/>
    <x v="3"/>
  </r>
  <r>
    <n v="1913"/>
    <n v="34"/>
    <x v="100"/>
    <d v="2025-04-27T00:00:00"/>
    <x v="4"/>
    <x v="2"/>
    <x v="0"/>
    <x v="0"/>
    <n v="45000"/>
    <s v="Online "/>
    <n v="45000"/>
    <x v="7"/>
  </r>
  <r>
    <n v="1914"/>
    <n v="72"/>
    <x v="51"/>
    <d v="2025-01-02T00:00:00"/>
    <x v="2"/>
    <x v="2"/>
    <x v="1"/>
    <x v="0"/>
    <n v="75000"/>
    <s v="Online"/>
    <n v="300000"/>
    <x v="0"/>
  </r>
  <r>
    <n v="1915"/>
    <n v="16"/>
    <x v="50"/>
    <d v="2025-09-23T00:00:00"/>
    <x v="8"/>
    <x v="1"/>
    <x v="0"/>
    <x v="0"/>
    <n v="40000"/>
    <s v="card"/>
    <n v="40000"/>
    <x v="8"/>
  </r>
  <r>
    <n v="1916"/>
    <n v="36"/>
    <x v="92"/>
    <d v="2025-09-30T00:00:00"/>
    <x v="11"/>
    <x v="2"/>
    <x v="0"/>
    <x v="0"/>
    <n v="40000"/>
    <s v="card"/>
    <n v="40000"/>
    <x v="8"/>
  </r>
  <r>
    <n v="1917"/>
    <n v="113"/>
    <x v="69"/>
    <d v="2025-01-13T00:00:00"/>
    <x v="4"/>
    <x v="2"/>
    <x v="5"/>
    <x v="0"/>
    <n v="50000"/>
    <s v="Cash"/>
    <n v="150000"/>
    <x v="0"/>
  </r>
  <r>
    <n v="1918"/>
    <n v="22"/>
    <x v="66"/>
    <d v="2025-06-09T00:00:00"/>
    <x v="7"/>
    <x v="0"/>
    <x v="0"/>
    <x v="0"/>
    <n v="65000"/>
    <s v="Cash"/>
    <n v="65000"/>
    <x v="2"/>
  </r>
  <r>
    <n v="1919"/>
    <n v="103"/>
    <x v="91"/>
    <d v="2025-06-21T00:00:00"/>
    <x v="8"/>
    <x v="1"/>
    <x v="0"/>
    <x v="0"/>
    <n v="35000"/>
    <s v="card"/>
    <n v="35000"/>
    <x v="2"/>
  </r>
  <r>
    <n v="1920"/>
    <n v="106"/>
    <x v="12"/>
    <d v="2025-09-24T00:00:00"/>
    <x v="7"/>
    <x v="0"/>
    <x v="1"/>
    <x v="0"/>
    <n v="70000"/>
    <s v="card"/>
    <n v="280000"/>
    <x v="8"/>
  </r>
  <r>
    <n v="1921"/>
    <n v="81"/>
    <x v="26"/>
    <d v="2025-10-24T00:00:00"/>
    <x v="2"/>
    <x v="2"/>
    <x v="0"/>
    <x v="0"/>
    <n v="70000"/>
    <s v="Online "/>
    <n v="70000"/>
    <x v="3"/>
  </r>
  <r>
    <n v="1922"/>
    <n v="9"/>
    <x v="88"/>
    <d v="2025-02-01T00:00:00"/>
    <x v="1"/>
    <x v="1"/>
    <x v="0"/>
    <x v="0"/>
    <n v="63000"/>
    <s v="card"/>
    <n v="63000"/>
    <x v="6"/>
  </r>
  <r>
    <n v="1923"/>
    <n v="14"/>
    <x v="85"/>
    <d v="2025-01-29T00:00:00"/>
    <x v="8"/>
    <x v="1"/>
    <x v="0"/>
    <x v="0"/>
    <n v="35000"/>
    <s v="Cash"/>
    <n v="35000"/>
    <x v="0"/>
  </r>
  <r>
    <n v="1924"/>
    <n v="97"/>
    <x v="32"/>
    <d v="2025-04-30T00:00:00"/>
    <x v="11"/>
    <x v="2"/>
    <x v="2"/>
    <x v="0"/>
    <n v="40000"/>
    <s v="Cash"/>
    <n v="80000"/>
    <x v="7"/>
  </r>
  <r>
    <n v="1925"/>
    <n v="80"/>
    <x v="102"/>
    <d v="2025-06-23T00:00:00"/>
    <x v="3"/>
    <x v="1"/>
    <x v="2"/>
    <x v="0"/>
    <n v="55320"/>
    <s v="card"/>
    <n v="110640"/>
    <x v="2"/>
  </r>
  <r>
    <n v="1926"/>
    <n v="14"/>
    <x v="85"/>
    <d v="2025-11-01T00:00:00"/>
    <x v="9"/>
    <x v="1"/>
    <x v="2"/>
    <x v="0"/>
    <n v="45000"/>
    <s v="Online "/>
    <n v="90000"/>
    <x v="1"/>
  </r>
  <r>
    <n v="1927"/>
    <n v="66"/>
    <x v="21"/>
    <d v="2025-01-07T00:00:00"/>
    <x v="0"/>
    <x v="0"/>
    <x v="5"/>
    <x v="0"/>
    <n v="67000"/>
    <s v="Cash"/>
    <n v="201000"/>
    <x v="0"/>
  </r>
  <r>
    <n v="1928"/>
    <n v="18"/>
    <x v="35"/>
    <d v="2025-01-31T00:00:00"/>
    <x v="9"/>
    <x v="1"/>
    <x v="2"/>
    <x v="0"/>
    <n v="45000"/>
    <s v="Online"/>
    <n v="90000"/>
    <x v="0"/>
  </r>
  <r>
    <n v="1929"/>
    <n v="75"/>
    <x v="70"/>
    <d v="2025-03-16T00:00:00"/>
    <x v="6"/>
    <x v="2"/>
    <x v="0"/>
    <x v="0"/>
    <n v="90000"/>
    <s v="Online"/>
    <n v="90000"/>
    <x v="5"/>
  </r>
  <r>
    <n v="1930"/>
    <n v="78"/>
    <x v="4"/>
    <d v="2025-09-23T00:00:00"/>
    <x v="9"/>
    <x v="1"/>
    <x v="0"/>
    <x v="0"/>
    <n v="45000"/>
    <s v="card"/>
    <n v="45000"/>
    <x v="8"/>
  </r>
  <r>
    <n v="1931"/>
    <n v="45"/>
    <x v="55"/>
    <d v="2025-04-13T00:00:00"/>
    <x v="10"/>
    <x v="1"/>
    <x v="1"/>
    <x v="0"/>
    <n v="43000"/>
    <s v="Online "/>
    <n v="172000"/>
    <x v="7"/>
  </r>
  <r>
    <n v="1932"/>
    <n v="61"/>
    <x v="25"/>
    <d v="2025-12-21T00:00:00"/>
    <x v="5"/>
    <x v="1"/>
    <x v="1"/>
    <x v="0"/>
    <n v="65000"/>
    <s v="Cash"/>
    <n v="260000"/>
    <x v="9"/>
  </r>
  <r>
    <n v="1933"/>
    <n v="39"/>
    <x v="5"/>
    <d v="2025-06-18T00:00:00"/>
    <x v="11"/>
    <x v="2"/>
    <x v="2"/>
    <x v="0"/>
    <n v="35000"/>
    <s v="card"/>
    <n v="70000"/>
    <x v="2"/>
  </r>
  <r>
    <n v="1934"/>
    <n v="82"/>
    <x v="65"/>
    <d v="2025-12-21T00:00:00"/>
    <x v="10"/>
    <x v="1"/>
    <x v="2"/>
    <x v="0"/>
    <n v="48000"/>
    <s v="Online "/>
    <n v="96000"/>
    <x v="9"/>
  </r>
  <r>
    <n v="1935"/>
    <n v="99"/>
    <x v="87"/>
    <d v="2025-12-07T00:00:00"/>
    <x v="7"/>
    <x v="0"/>
    <x v="0"/>
    <x v="0"/>
    <n v="60000"/>
    <s v="card"/>
    <n v="60000"/>
    <x v="9"/>
  </r>
  <r>
    <n v="1936"/>
    <n v="46"/>
    <x v="98"/>
    <d v="2025-10-12T00:00:00"/>
    <x v="9"/>
    <x v="1"/>
    <x v="0"/>
    <x v="0"/>
    <n v="45000"/>
    <s v="card"/>
    <n v="45000"/>
    <x v="3"/>
  </r>
  <r>
    <n v="1937"/>
    <n v="78"/>
    <x v="4"/>
    <d v="2025-12-04T00:00:00"/>
    <x v="9"/>
    <x v="1"/>
    <x v="0"/>
    <x v="0"/>
    <n v="45000"/>
    <s v="Online"/>
    <n v="45000"/>
    <x v="9"/>
  </r>
  <r>
    <n v="1938"/>
    <n v="109"/>
    <x v="106"/>
    <d v="2025-05-06T00:00:00"/>
    <x v="6"/>
    <x v="2"/>
    <x v="0"/>
    <x v="0"/>
    <n v="84857.142857142855"/>
    <s v="card"/>
    <n v="84857.142857142855"/>
    <x v="11"/>
  </r>
  <r>
    <n v="1939"/>
    <n v="107"/>
    <x v="20"/>
    <d v="2025-03-12T00:00:00"/>
    <x v="8"/>
    <x v="1"/>
    <x v="0"/>
    <x v="0"/>
    <n v="35000"/>
    <s v="Cash"/>
    <n v="35000"/>
    <x v="5"/>
  </r>
  <r>
    <n v="1940"/>
    <n v="48"/>
    <x v="58"/>
    <d v="2025-05-12T00:00:00"/>
    <x v="7"/>
    <x v="0"/>
    <x v="5"/>
    <x v="0"/>
    <n v="60000"/>
    <s v="Cash"/>
    <n v="180000"/>
    <x v="11"/>
  </r>
  <r>
    <n v="1941"/>
    <n v="102"/>
    <x v="9"/>
    <d v="2025-09-04T00:00:00"/>
    <x v="10"/>
    <x v="1"/>
    <x v="5"/>
    <x v="0"/>
    <n v="48000"/>
    <s v="Online "/>
    <n v="144000"/>
    <x v="8"/>
  </r>
  <r>
    <n v="1942"/>
    <n v="32"/>
    <x v="4"/>
    <d v="2025-11-12T00:00:00"/>
    <x v="9"/>
    <x v="1"/>
    <x v="1"/>
    <x v="0"/>
    <n v="50000"/>
    <s v="Online"/>
    <n v="200000"/>
    <x v="1"/>
  </r>
  <r>
    <n v="1943"/>
    <n v="32"/>
    <x v="4"/>
    <d v="2025-11-19T00:00:00"/>
    <x v="9"/>
    <x v="1"/>
    <x v="1"/>
    <x v="0"/>
    <n v="50000"/>
    <s v="Cash"/>
    <n v="200000"/>
    <x v="1"/>
  </r>
  <r>
    <n v="1944"/>
    <n v="94"/>
    <x v="73"/>
    <d v="2025-08-29T00:00:00"/>
    <x v="3"/>
    <x v="1"/>
    <x v="0"/>
    <x v="0"/>
    <n v="60000"/>
    <s v="card"/>
    <n v="60000"/>
    <x v="4"/>
  </r>
  <r>
    <n v="1945"/>
    <n v="67"/>
    <x v="90"/>
    <d v="2025-02-04T00:00:00"/>
    <x v="2"/>
    <x v="2"/>
    <x v="2"/>
    <x v="0"/>
    <n v="75000"/>
    <s v="card"/>
    <n v="150000"/>
    <x v="6"/>
  </r>
  <r>
    <n v="1946"/>
    <n v="35"/>
    <x v="81"/>
    <d v="2025-07-25T00:00:00"/>
    <x v="4"/>
    <x v="2"/>
    <x v="0"/>
    <x v="0"/>
    <n v="50000"/>
    <s v="Cash"/>
    <n v="50000"/>
    <x v="10"/>
  </r>
  <r>
    <n v="1947"/>
    <n v="51"/>
    <x v="93"/>
    <d v="2025-06-06T00:00:00"/>
    <x v="10"/>
    <x v="1"/>
    <x v="2"/>
    <x v="0"/>
    <n v="48000"/>
    <s v="Cash"/>
    <n v="96000"/>
    <x v="2"/>
  </r>
  <r>
    <n v="1948"/>
    <n v="11"/>
    <x v="19"/>
    <d v="2025-02-13T00:00:00"/>
    <x v="1"/>
    <x v="1"/>
    <x v="2"/>
    <x v="0"/>
    <n v="58000"/>
    <s v="card"/>
    <n v="116000"/>
    <x v="6"/>
  </r>
  <r>
    <n v="1949"/>
    <n v="66"/>
    <x v="21"/>
    <d v="2025-06-22T00:00:00"/>
    <x v="4"/>
    <x v="2"/>
    <x v="2"/>
    <x v="0"/>
    <n v="50000"/>
    <s v="card"/>
    <n v="100000"/>
    <x v="2"/>
  </r>
  <r>
    <n v="1950"/>
    <n v="41"/>
    <x v="86"/>
    <d v="2025-07-15T00:00:00"/>
    <x v="0"/>
    <x v="0"/>
    <x v="2"/>
    <x v="0"/>
    <n v="62000"/>
    <s v="Online"/>
    <n v="124000"/>
    <x v="10"/>
  </r>
  <r>
    <n v="1951"/>
    <n v="116"/>
    <x v="76"/>
    <d v="2025-05-31T00:00:00"/>
    <x v="3"/>
    <x v="1"/>
    <x v="1"/>
    <x v="0"/>
    <n v="55000"/>
    <s v="card"/>
    <n v="220000"/>
    <x v="11"/>
  </r>
  <r>
    <n v="1952"/>
    <n v="10"/>
    <x v="84"/>
    <d v="2025-01-20T00:00:00"/>
    <x v="7"/>
    <x v="0"/>
    <x v="0"/>
    <x v="0"/>
    <n v="65000"/>
    <s v="Unknown"/>
    <n v="65000"/>
    <x v="0"/>
  </r>
  <r>
    <n v="1953"/>
    <n v="39"/>
    <x v="5"/>
    <d v="2025-12-16T00:00:00"/>
    <x v="5"/>
    <x v="1"/>
    <x v="5"/>
    <x v="0"/>
    <n v="65000"/>
    <s v="card"/>
    <n v="195000"/>
    <x v="9"/>
  </r>
  <r>
    <n v="1954"/>
    <n v="99"/>
    <x v="87"/>
    <d v="2025-05-25T00:00:00"/>
    <x v="0"/>
    <x v="0"/>
    <x v="2"/>
    <x v="0"/>
    <n v="67000"/>
    <s v="card"/>
    <n v="134000"/>
    <x v="11"/>
  </r>
  <r>
    <n v="1955"/>
    <n v="84"/>
    <x v="75"/>
    <d v="2025-03-18T00:00:00"/>
    <x v="6"/>
    <x v="2"/>
    <x v="0"/>
    <x v="0"/>
    <n v="85000"/>
    <s v="Cash"/>
    <n v="85000"/>
    <x v="5"/>
  </r>
  <r>
    <n v="1956"/>
    <n v="76"/>
    <x v="95"/>
    <d v="2025-08-28T00:00:00"/>
    <x v="6"/>
    <x v="2"/>
    <x v="0"/>
    <x v="0"/>
    <n v="84857.142857142855"/>
    <s v="card"/>
    <n v="84857.142857142855"/>
    <x v="4"/>
  </r>
  <r>
    <n v="1957"/>
    <n v="99"/>
    <x v="87"/>
    <d v="2025-02-08T00:00:00"/>
    <x v="5"/>
    <x v="1"/>
    <x v="2"/>
    <x v="0"/>
    <n v="65000"/>
    <s v="Cash"/>
    <n v="130000"/>
    <x v="6"/>
  </r>
  <r>
    <n v="1958"/>
    <n v="74"/>
    <x v="45"/>
    <d v="2025-06-06T00:00:00"/>
    <x v="1"/>
    <x v="1"/>
    <x v="2"/>
    <x v="0"/>
    <n v="58000"/>
    <s v="card"/>
    <n v="116000"/>
    <x v="2"/>
  </r>
  <r>
    <n v="1959"/>
    <n v="55"/>
    <x v="39"/>
    <d v="2025-07-26T00:00:00"/>
    <x v="8"/>
    <x v="1"/>
    <x v="0"/>
    <x v="0"/>
    <n v="40000"/>
    <s v="Cash"/>
    <n v="40000"/>
    <x v="10"/>
  </r>
  <r>
    <n v="1960"/>
    <n v="20"/>
    <x v="48"/>
    <d v="2025-10-18T00:00:00"/>
    <x v="7"/>
    <x v="0"/>
    <x v="3"/>
    <x v="1"/>
    <n v="65000"/>
    <s v="Cash"/>
    <n v="-130000"/>
    <x v="3"/>
  </r>
  <r>
    <n v="1961"/>
    <n v="50"/>
    <x v="24"/>
    <d v="2025-01-09T00:00:00"/>
    <x v="10"/>
    <x v="1"/>
    <x v="2"/>
    <x v="0"/>
    <n v="48000"/>
    <s v="Unknown"/>
    <n v="96000"/>
    <x v="0"/>
  </r>
  <r>
    <n v="1962"/>
    <n v="22"/>
    <x v="66"/>
    <d v="2025-12-12T00:00:00"/>
    <x v="3"/>
    <x v="1"/>
    <x v="0"/>
    <x v="0"/>
    <n v="60000"/>
    <s v="Cash"/>
    <n v="60000"/>
    <x v="9"/>
  </r>
  <r>
    <n v="1963"/>
    <n v="26"/>
    <x v="67"/>
    <d v="2025-07-17T00:00:00"/>
    <x v="3"/>
    <x v="1"/>
    <x v="0"/>
    <x v="0"/>
    <n v="55000"/>
    <s v="card"/>
    <n v="55000"/>
    <x v="10"/>
  </r>
  <r>
    <n v="1964"/>
    <n v="8"/>
    <x v="1"/>
    <d v="2025-09-23T00:00:00"/>
    <x v="7"/>
    <x v="0"/>
    <x v="0"/>
    <x v="0"/>
    <n v="65000"/>
    <s v="Unknown"/>
    <n v="65000"/>
    <x v="8"/>
  </r>
  <r>
    <n v="1965"/>
    <n v="17"/>
    <x v="40"/>
    <d v="2025-08-03T00:00:00"/>
    <x v="6"/>
    <x v="2"/>
    <x v="2"/>
    <x v="0"/>
    <n v="85000"/>
    <s v="Online"/>
    <n v="170000"/>
    <x v="4"/>
  </r>
  <r>
    <n v="1966"/>
    <n v="56"/>
    <x v="53"/>
    <d v="2025-12-07T00:00:00"/>
    <x v="5"/>
    <x v="1"/>
    <x v="2"/>
    <x v="0"/>
    <n v="65000"/>
    <s v="Cash"/>
    <n v="130000"/>
    <x v="9"/>
  </r>
  <r>
    <n v="1967"/>
    <n v="92"/>
    <x v="64"/>
    <d v="2025-08-23T00:00:00"/>
    <x v="8"/>
    <x v="1"/>
    <x v="0"/>
    <x v="0"/>
    <n v="35000"/>
    <s v="card"/>
    <n v="35000"/>
    <x v="4"/>
  </r>
  <r>
    <n v="1968"/>
    <n v="78"/>
    <x v="4"/>
    <d v="2025-09-27T00:00:00"/>
    <x v="10"/>
    <x v="1"/>
    <x v="2"/>
    <x v="0"/>
    <n v="48000"/>
    <s v="Online "/>
    <n v="96000"/>
    <x v="8"/>
  </r>
  <r>
    <n v="1969"/>
    <n v="12"/>
    <x v="42"/>
    <d v="2025-11-27T00:00:00"/>
    <x v="0"/>
    <x v="0"/>
    <x v="5"/>
    <x v="0"/>
    <n v="62000"/>
    <s v="card"/>
    <n v="186000"/>
    <x v="1"/>
  </r>
  <r>
    <n v="1970"/>
    <n v="32"/>
    <x v="4"/>
    <d v="2025-11-13T00:00:00"/>
    <x v="1"/>
    <x v="1"/>
    <x v="2"/>
    <x v="0"/>
    <n v="58142.857142857145"/>
    <s v="Online "/>
    <n v="116285.71428571429"/>
    <x v="1"/>
  </r>
  <r>
    <n v="1971"/>
    <n v="73"/>
    <x v="14"/>
    <d v="2025-07-21T00:00:00"/>
    <x v="3"/>
    <x v="1"/>
    <x v="0"/>
    <x v="0"/>
    <n v="55000"/>
    <s v="Online "/>
    <n v="55000"/>
    <x v="10"/>
  </r>
  <r>
    <n v="1972"/>
    <n v="118"/>
    <x v="52"/>
    <d v="2025-12-24T00:00:00"/>
    <x v="3"/>
    <x v="1"/>
    <x v="2"/>
    <x v="0"/>
    <n v="55000"/>
    <s v="Online"/>
    <n v="110000"/>
    <x v="9"/>
  </r>
  <r>
    <n v="1973"/>
    <n v="10"/>
    <x v="84"/>
    <d v="2025-09-16T00:00:00"/>
    <x v="3"/>
    <x v="1"/>
    <x v="2"/>
    <x v="0"/>
    <n v="55000"/>
    <s v="Cash"/>
    <n v="110000"/>
    <x v="8"/>
  </r>
  <r>
    <n v="1974"/>
    <n v="6"/>
    <x v="27"/>
    <d v="2025-01-14T00:00:00"/>
    <x v="2"/>
    <x v="2"/>
    <x v="2"/>
    <x v="0"/>
    <n v="75000"/>
    <s v="Unknown"/>
    <n v="150000"/>
    <x v="0"/>
  </r>
  <r>
    <n v="1975"/>
    <n v="51"/>
    <x v="93"/>
    <d v="2025-01-06T00:00:00"/>
    <x v="9"/>
    <x v="1"/>
    <x v="5"/>
    <x v="0"/>
    <n v="45000"/>
    <s v="card"/>
    <n v="135000"/>
    <x v="0"/>
  </r>
  <r>
    <n v="1976"/>
    <n v="60"/>
    <x v="43"/>
    <d v="2025-02-12T00:00:00"/>
    <x v="3"/>
    <x v="1"/>
    <x v="0"/>
    <x v="0"/>
    <n v="55000"/>
    <s v="Online"/>
    <n v="55000"/>
    <x v="6"/>
  </r>
  <r>
    <n v="1977"/>
    <n v="108"/>
    <x v="107"/>
    <d v="2025-03-29T00:00:00"/>
    <x v="1"/>
    <x v="1"/>
    <x v="4"/>
    <x v="1"/>
    <n v="58000"/>
    <s v="Cash"/>
    <n v="-58000"/>
    <x v="5"/>
  </r>
  <r>
    <n v="1978"/>
    <n v="10"/>
    <x v="84"/>
    <d v="2025-06-01T00:00:00"/>
    <x v="8"/>
    <x v="1"/>
    <x v="0"/>
    <x v="0"/>
    <n v="35000"/>
    <s v="Cash"/>
    <n v="35000"/>
    <x v="2"/>
  </r>
  <r>
    <n v="1979"/>
    <n v="92"/>
    <x v="64"/>
    <d v="2025-12-12T00:00:00"/>
    <x v="9"/>
    <x v="1"/>
    <x v="2"/>
    <x v="0"/>
    <n v="45353.535353535357"/>
    <s v="card"/>
    <n v="90707.070707070714"/>
    <x v="9"/>
  </r>
  <r>
    <n v="1980"/>
    <n v="89"/>
    <x v="7"/>
    <d v="2025-08-16T00:00:00"/>
    <x v="0"/>
    <x v="0"/>
    <x v="0"/>
    <x v="0"/>
    <n v="62265.486725663715"/>
    <s v="Online"/>
    <n v="62265.486725663715"/>
    <x v="4"/>
  </r>
  <r>
    <n v="1981"/>
    <n v="117"/>
    <x v="109"/>
    <d v="2025-04-13T00:00:00"/>
    <x v="10"/>
    <x v="1"/>
    <x v="2"/>
    <x v="0"/>
    <n v="43000"/>
    <s v="Cash"/>
    <n v="86000"/>
    <x v="7"/>
  </r>
  <r>
    <n v="1982"/>
    <n v="88"/>
    <x v="29"/>
    <d v="2025-02-02T00:00:00"/>
    <x v="8"/>
    <x v="1"/>
    <x v="1"/>
    <x v="0"/>
    <n v="35000"/>
    <s v="card"/>
    <n v="140000"/>
    <x v="6"/>
  </r>
  <r>
    <n v="1983"/>
    <n v="54"/>
    <x v="89"/>
    <d v="2025-02-25T00:00:00"/>
    <x v="6"/>
    <x v="2"/>
    <x v="2"/>
    <x v="0"/>
    <n v="85000"/>
    <s v="Cash"/>
    <n v="170000"/>
    <x v="6"/>
  </r>
  <r>
    <n v="1984"/>
    <n v="51"/>
    <x v="93"/>
    <d v="2025-03-03T00:00:00"/>
    <x v="11"/>
    <x v="2"/>
    <x v="0"/>
    <x v="0"/>
    <n v="40000"/>
    <s v="card"/>
    <n v="40000"/>
    <x v="5"/>
  </r>
  <r>
    <n v="1985"/>
    <n v="52"/>
    <x v="10"/>
    <d v="2025-11-06T00:00:00"/>
    <x v="8"/>
    <x v="1"/>
    <x v="0"/>
    <x v="0"/>
    <n v="35000"/>
    <s v="Online "/>
    <n v="35000"/>
    <x v="1"/>
  </r>
  <r>
    <n v="1986"/>
    <n v="105"/>
    <x v="104"/>
    <d v="2025-11-29T00:00:00"/>
    <x v="0"/>
    <x v="0"/>
    <x v="0"/>
    <x v="0"/>
    <n v="57000"/>
    <s v="Online"/>
    <n v="57000"/>
    <x v="1"/>
  </r>
  <r>
    <n v="1987"/>
    <n v="99"/>
    <x v="87"/>
    <d v="2025-09-13T00:00:00"/>
    <x v="4"/>
    <x v="2"/>
    <x v="0"/>
    <x v="0"/>
    <n v="45000"/>
    <s v="Online "/>
    <n v="45000"/>
    <x v="8"/>
  </r>
  <r>
    <n v="1988"/>
    <n v="90"/>
    <x v="46"/>
    <d v="2025-12-14T00:00:00"/>
    <x v="11"/>
    <x v="2"/>
    <x v="0"/>
    <x v="0"/>
    <n v="40000"/>
    <s v="Online "/>
    <n v="40000"/>
    <x v="9"/>
  </r>
  <r>
    <n v="1989"/>
    <n v="62"/>
    <x v="2"/>
    <d v="2025-06-21T00:00:00"/>
    <x v="3"/>
    <x v="1"/>
    <x v="2"/>
    <x v="0"/>
    <n v="60000"/>
    <s v="Cash"/>
    <n v="120000"/>
    <x v="2"/>
  </r>
  <r>
    <n v="1990"/>
    <n v="76"/>
    <x v="95"/>
    <d v="2025-01-07T00:00:00"/>
    <x v="5"/>
    <x v="1"/>
    <x v="2"/>
    <x v="0"/>
    <n v="55000"/>
    <s v="Online "/>
    <n v="110000"/>
    <x v="0"/>
  </r>
  <r>
    <n v="1991"/>
    <n v="55"/>
    <x v="39"/>
    <d v="2025-11-14T00:00:00"/>
    <x v="10"/>
    <x v="1"/>
    <x v="0"/>
    <x v="0"/>
    <n v="48000"/>
    <s v="Cash"/>
    <n v="48000"/>
    <x v="1"/>
  </r>
  <r>
    <n v="1992"/>
    <n v="20"/>
    <x v="48"/>
    <d v="2025-04-15T00:00:00"/>
    <x v="11"/>
    <x v="2"/>
    <x v="0"/>
    <x v="0"/>
    <n v="45000"/>
    <s v="Cash"/>
    <n v="45000"/>
    <x v="7"/>
  </r>
  <r>
    <n v="1993"/>
    <n v="36"/>
    <x v="92"/>
    <d v="2025-11-26T00:00:00"/>
    <x v="7"/>
    <x v="0"/>
    <x v="5"/>
    <x v="0"/>
    <n v="65000"/>
    <s v="Online "/>
    <n v="195000"/>
    <x v="1"/>
  </r>
  <r>
    <n v="1994"/>
    <n v="43"/>
    <x v="23"/>
    <d v="2025-05-05T00:00:00"/>
    <x v="7"/>
    <x v="0"/>
    <x v="5"/>
    <x v="0"/>
    <n v="65000"/>
    <s v="Cash"/>
    <n v="195000"/>
    <x v="11"/>
  </r>
  <r>
    <n v="1995"/>
    <n v="112"/>
    <x v="16"/>
    <d v="2025-09-24T00:00:00"/>
    <x v="11"/>
    <x v="2"/>
    <x v="0"/>
    <x v="0"/>
    <n v="35000"/>
    <s v="card"/>
    <n v="35000"/>
    <x v="8"/>
  </r>
  <r>
    <n v="1996"/>
    <n v="60"/>
    <x v="43"/>
    <d v="2025-01-27T00:00:00"/>
    <x v="10"/>
    <x v="1"/>
    <x v="0"/>
    <x v="0"/>
    <n v="48000"/>
    <s v="Cash"/>
    <n v="48000"/>
    <x v="0"/>
  </r>
  <r>
    <n v="1997"/>
    <n v="71"/>
    <x v="96"/>
    <d v="2025-05-01T00:00:00"/>
    <x v="10"/>
    <x v="1"/>
    <x v="2"/>
    <x v="0"/>
    <n v="48000"/>
    <s v="Online "/>
    <n v="96000"/>
    <x v="11"/>
  </r>
  <r>
    <n v="1998"/>
    <n v="26"/>
    <x v="67"/>
    <d v="2025-08-06T00:00:00"/>
    <x v="10"/>
    <x v="1"/>
    <x v="0"/>
    <x v="0"/>
    <n v="48000"/>
    <s v="Online "/>
    <n v="48000"/>
    <x v="4"/>
  </r>
  <r>
    <n v="1999"/>
    <n v="26"/>
    <x v="67"/>
    <d v="2025-04-09T00:00:00"/>
    <x v="0"/>
    <x v="0"/>
    <x v="2"/>
    <x v="0"/>
    <n v="62000"/>
    <s v="card"/>
    <n v="124000"/>
    <x v="7"/>
  </r>
  <r>
    <n v="2000"/>
    <n v="55"/>
    <x v="39"/>
    <d v="2025-09-11T00:00:00"/>
    <x v="6"/>
    <x v="2"/>
    <x v="1"/>
    <x v="0"/>
    <n v="85000"/>
    <s v="card"/>
    <n v="340000"/>
    <x v="8"/>
  </r>
  <r>
    <n v="2001"/>
    <n v="55"/>
    <x v="39"/>
    <d v="2025-06-03T00:00:00"/>
    <x v="3"/>
    <x v="1"/>
    <x v="2"/>
    <x v="0"/>
    <n v="55000"/>
    <s v="card"/>
    <n v="110000"/>
    <x v="2"/>
  </r>
  <r>
    <n v="2002"/>
    <n v="40"/>
    <x v="79"/>
    <d v="2025-05-26T00:00:00"/>
    <x v="2"/>
    <x v="2"/>
    <x v="4"/>
    <x v="1"/>
    <n v="75000"/>
    <s v="Cash"/>
    <n v="-75000"/>
    <x v="11"/>
  </r>
  <r>
    <n v="2003"/>
    <n v="20"/>
    <x v="48"/>
    <d v="2025-03-01T00:00:00"/>
    <x v="10"/>
    <x v="1"/>
    <x v="2"/>
    <x v="0"/>
    <n v="48000"/>
    <s v="Online "/>
    <n v="96000"/>
    <x v="5"/>
  </r>
  <r>
    <n v="2004"/>
    <n v="48"/>
    <x v="58"/>
    <d v="2025-09-08T00:00:00"/>
    <x v="11"/>
    <x v="2"/>
    <x v="0"/>
    <x v="0"/>
    <n v="35000"/>
    <s v="Cash"/>
    <n v="35000"/>
    <x v="8"/>
  </r>
  <r>
    <n v="2005"/>
    <n v="21"/>
    <x v="105"/>
    <d v="2025-12-08T00:00:00"/>
    <x v="10"/>
    <x v="1"/>
    <x v="2"/>
    <x v="0"/>
    <n v="48000"/>
    <s v="Online "/>
    <n v="96000"/>
    <x v="9"/>
  </r>
  <r>
    <n v="2006"/>
    <n v="8"/>
    <x v="1"/>
    <d v="2025-07-17T00:00:00"/>
    <x v="8"/>
    <x v="1"/>
    <x v="0"/>
    <x v="0"/>
    <n v="35000"/>
    <s v="Online "/>
    <n v="35000"/>
    <x v="10"/>
  </r>
  <r>
    <n v="2007"/>
    <n v="91"/>
    <x v="74"/>
    <d v="2025-01-15T00:00:00"/>
    <x v="8"/>
    <x v="1"/>
    <x v="0"/>
    <x v="0"/>
    <n v="40000"/>
    <s v="Online"/>
    <n v="40000"/>
    <x v="0"/>
  </r>
  <r>
    <n v="2008"/>
    <n v="32"/>
    <x v="4"/>
    <d v="2025-10-24T00:00:00"/>
    <x v="4"/>
    <x v="2"/>
    <x v="0"/>
    <x v="0"/>
    <n v="45000"/>
    <s v="card"/>
    <n v="45000"/>
    <x v="3"/>
  </r>
  <r>
    <n v="2009"/>
    <n v="91"/>
    <x v="74"/>
    <d v="2025-02-11T00:00:00"/>
    <x v="4"/>
    <x v="2"/>
    <x v="2"/>
    <x v="0"/>
    <n v="50000"/>
    <s v="Online "/>
    <n v="100000"/>
    <x v="6"/>
  </r>
  <r>
    <n v="2010"/>
    <n v="39"/>
    <x v="5"/>
    <d v="2025-09-30T00:00:00"/>
    <x v="6"/>
    <x v="2"/>
    <x v="2"/>
    <x v="0"/>
    <n v="85000"/>
    <s v="Online "/>
    <n v="170000"/>
    <x v="8"/>
  </r>
  <r>
    <n v="2011"/>
    <n v="112"/>
    <x v="16"/>
    <d v="2025-02-25T00:00:00"/>
    <x v="3"/>
    <x v="1"/>
    <x v="1"/>
    <x v="0"/>
    <n v="55000"/>
    <s v="Online "/>
    <n v="220000"/>
    <x v="6"/>
  </r>
  <r>
    <n v="2012"/>
    <n v="51"/>
    <x v="93"/>
    <d v="2025-06-07T00:00:00"/>
    <x v="5"/>
    <x v="1"/>
    <x v="1"/>
    <x v="0"/>
    <n v="60000"/>
    <s v="card"/>
    <n v="240000"/>
    <x v="2"/>
  </r>
  <r>
    <n v="2013"/>
    <n v="100"/>
    <x v="61"/>
    <d v="2025-02-08T00:00:00"/>
    <x v="5"/>
    <x v="1"/>
    <x v="5"/>
    <x v="0"/>
    <n v="60000"/>
    <s v="Cash"/>
    <n v="180000"/>
    <x v="6"/>
  </r>
  <r>
    <n v="2014"/>
    <n v="23"/>
    <x v="0"/>
    <d v="2025-04-06T00:00:00"/>
    <x v="7"/>
    <x v="0"/>
    <x v="0"/>
    <x v="0"/>
    <n v="65000"/>
    <s v="card"/>
    <n v="65000"/>
    <x v="7"/>
  </r>
  <r>
    <n v="2015"/>
    <n v="73"/>
    <x v="14"/>
    <d v="2025-04-06T00:00:00"/>
    <x v="10"/>
    <x v="1"/>
    <x v="5"/>
    <x v="0"/>
    <n v="48000"/>
    <s v="card"/>
    <n v="144000"/>
    <x v="7"/>
  </r>
  <r>
    <n v="2016"/>
    <n v="57"/>
    <x v="17"/>
    <d v="2025-11-16T00:00:00"/>
    <x v="8"/>
    <x v="1"/>
    <x v="0"/>
    <x v="0"/>
    <n v="35000"/>
    <s v="card"/>
    <n v="35000"/>
    <x v="1"/>
  </r>
  <r>
    <n v="2017"/>
    <n v="36"/>
    <x v="92"/>
    <d v="2025-06-25T00:00:00"/>
    <x v="3"/>
    <x v="1"/>
    <x v="2"/>
    <x v="0"/>
    <n v="55000"/>
    <s v="card"/>
    <n v="110000"/>
    <x v="2"/>
  </r>
  <r>
    <n v="2018"/>
    <n v="8"/>
    <x v="1"/>
    <d v="2025-01-04T00:00:00"/>
    <x v="0"/>
    <x v="0"/>
    <x v="0"/>
    <x v="0"/>
    <n v="62000"/>
    <s v="card"/>
    <n v="62000"/>
    <x v="0"/>
  </r>
  <r>
    <n v="2019"/>
    <n v="78"/>
    <x v="4"/>
    <d v="2025-05-17T00:00:00"/>
    <x v="6"/>
    <x v="2"/>
    <x v="1"/>
    <x v="0"/>
    <n v="85000"/>
    <s v="Online"/>
    <n v="340000"/>
    <x v="11"/>
  </r>
  <r>
    <n v="2020"/>
    <n v="48"/>
    <x v="58"/>
    <d v="2025-06-25T00:00:00"/>
    <x v="8"/>
    <x v="1"/>
    <x v="0"/>
    <x v="0"/>
    <n v="35000"/>
    <s v="Online"/>
    <n v="35000"/>
    <x v="2"/>
  </r>
  <r>
    <n v="2021"/>
    <n v="112"/>
    <x v="16"/>
    <d v="2025-02-21T00:00:00"/>
    <x v="7"/>
    <x v="0"/>
    <x v="1"/>
    <x v="0"/>
    <n v="65000"/>
    <s v="Unknown"/>
    <n v="260000"/>
    <x v="6"/>
  </r>
  <r>
    <n v="2022"/>
    <n v="78"/>
    <x v="4"/>
    <d v="2025-09-29T00:00:00"/>
    <x v="3"/>
    <x v="1"/>
    <x v="0"/>
    <x v="0"/>
    <n v="55000"/>
    <s v="Cash"/>
    <n v="55000"/>
    <x v="8"/>
  </r>
  <r>
    <n v="2023"/>
    <n v="53"/>
    <x v="28"/>
    <d v="2025-07-04T00:00:00"/>
    <x v="8"/>
    <x v="1"/>
    <x v="0"/>
    <x v="0"/>
    <n v="35000"/>
    <s v="Online "/>
    <n v="35000"/>
    <x v="10"/>
  </r>
  <r>
    <n v="2024"/>
    <n v="57"/>
    <x v="17"/>
    <d v="2025-07-11T00:00:00"/>
    <x v="10"/>
    <x v="1"/>
    <x v="5"/>
    <x v="0"/>
    <n v="53000"/>
    <s v="card"/>
    <n v="159000"/>
    <x v="10"/>
  </r>
  <r>
    <n v="2025"/>
    <n v="96"/>
    <x v="1"/>
    <d v="2025-12-04T00:00:00"/>
    <x v="2"/>
    <x v="2"/>
    <x v="5"/>
    <x v="0"/>
    <n v="75000"/>
    <s v="Online "/>
    <n v="225000"/>
    <x v="9"/>
  </r>
  <r>
    <n v="2026"/>
    <n v="19"/>
    <x v="47"/>
    <d v="2025-10-20T00:00:00"/>
    <x v="6"/>
    <x v="2"/>
    <x v="0"/>
    <x v="0"/>
    <n v="85000"/>
    <s v="Online "/>
    <n v="85000"/>
    <x v="3"/>
  </r>
  <r>
    <n v="2027"/>
    <n v="71"/>
    <x v="96"/>
    <d v="2025-03-28T00:00:00"/>
    <x v="2"/>
    <x v="2"/>
    <x v="2"/>
    <x v="0"/>
    <n v="80000"/>
    <s v="Cash"/>
    <n v="160000"/>
    <x v="5"/>
  </r>
  <r>
    <n v="2028"/>
    <n v="22"/>
    <x v="66"/>
    <d v="2025-12-25T00:00:00"/>
    <x v="8"/>
    <x v="1"/>
    <x v="2"/>
    <x v="0"/>
    <n v="30000"/>
    <s v="card"/>
    <n v="60000"/>
    <x v="9"/>
  </r>
  <r>
    <n v="2029"/>
    <n v="99"/>
    <x v="87"/>
    <d v="2025-04-23T00:00:00"/>
    <x v="0"/>
    <x v="0"/>
    <x v="5"/>
    <x v="0"/>
    <n v="62000"/>
    <s v="Online "/>
    <n v="186000"/>
    <x v="7"/>
  </r>
  <r>
    <n v="2030"/>
    <n v="18"/>
    <x v="35"/>
    <d v="2025-11-21T00:00:00"/>
    <x v="6"/>
    <x v="2"/>
    <x v="0"/>
    <x v="0"/>
    <n v="85000"/>
    <s v="Online "/>
    <n v="85000"/>
    <x v="1"/>
  </r>
  <r>
    <n v="2031"/>
    <n v="44"/>
    <x v="54"/>
    <d v="2025-07-15T00:00:00"/>
    <x v="11"/>
    <x v="2"/>
    <x v="7"/>
    <x v="1"/>
    <n v="40000"/>
    <s v="card"/>
    <n v="-160000"/>
    <x v="10"/>
  </r>
  <r>
    <n v="2032"/>
    <n v="38"/>
    <x v="31"/>
    <d v="2025-02-27T00:00:00"/>
    <x v="3"/>
    <x v="1"/>
    <x v="5"/>
    <x v="0"/>
    <n v="60000"/>
    <s v="Cash"/>
    <n v="180000"/>
    <x v="6"/>
  </r>
  <r>
    <n v="2033"/>
    <n v="48"/>
    <x v="58"/>
    <d v="2025-06-10T00:00:00"/>
    <x v="1"/>
    <x v="1"/>
    <x v="0"/>
    <x v="0"/>
    <n v="53000"/>
    <s v="card"/>
    <n v="53000"/>
    <x v="2"/>
  </r>
  <r>
    <n v="2034"/>
    <n v="55"/>
    <x v="39"/>
    <d v="2025-07-06T00:00:00"/>
    <x v="7"/>
    <x v="0"/>
    <x v="2"/>
    <x v="0"/>
    <n v="70000"/>
    <s v="card"/>
    <n v="140000"/>
    <x v="10"/>
  </r>
  <r>
    <n v="2035"/>
    <n v="51"/>
    <x v="93"/>
    <d v="2025-03-10T00:00:00"/>
    <x v="9"/>
    <x v="1"/>
    <x v="0"/>
    <x v="0"/>
    <n v="45000"/>
    <s v="Online "/>
    <n v="45000"/>
    <x v="5"/>
  </r>
  <r>
    <n v="2036"/>
    <n v="59"/>
    <x v="36"/>
    <d v="2025-11-04T00:00:00"/>
    <x v="1"/>
    <x v="1"/>
    <x v="5"/>
    <x v="0"/>
    <n v="53000"/>
    <s v="Online"/>
    <n v="159000"/>
    <x v="1"/>
  </r>
  <r>
    <n v="2037"/>
    <n v="65"/>
    <x v="41"/>
    <d v="2025-05-03T00:00:00"/>
    <x v="5"/>
    <x v="1"/>
    <x v="5"/>
    <x v="0"/>
    <n v="60000"/>
    <s v="Online "/>
    <n v="180000"/>
    <x v="11"/>
  </r>
  <r>
    <n v="2038"/>
    <n v="118"/>
    <x v="52"/>
    <d v="2025-01-31T00:00:00"/>
    <x v="11"/>
    <x v="2"/>
    <x v="1"/>
    <x v="0"/>
    <n v="40000"/>
    <s v="Online "/>
    <n v="160000"/>
    <x v="0"/>
  </r>
  <r>
    <n v="2039"/>
    <n v="95"/>
    <x v="11"/>
    <d v="2025-02-04T00:00:00"/>
    <x v="9"/>
    <x v="1"/>
    <x v="0"/>
    <x v="0"/>
    <n v="45000"/>
    <s v="Online"/>
    <n v="45000"/>
    <x v="6"/>
  </r>
  <r>
    <n v="2040"/>
    <n v="55"/>
    <x v="39"/>
    <d v="2025-08-31T00:00:00"/>
    <x v="8"/>
    <x v="1"/>
    <x v="2"/>
    <x v="0"/>
    <n v="30000"/>
    <s v="Online"/>
    <n v="60000"/>
    <x v="4"/>
  </r>
  <r>
    <n v="2041"/>
    <n v="90"/>
    <x v="46"/>
    <d v="2025-12-25T00:00:00"/>
    <x v="10"/>
    <x v="1"/>
    <x v="0"/>
    <x v="0"/>
    <n v="48000"/>
    <s v="Online "/>
    <n v="48000"/>
    <x v="9"/>
  </r>
  <r>
    <n v="2042"/>
    <n v="39"/>
    <x v="5"/>
    <d v="2025-12-02T00:00:00"/>
    <x v="2"/>
    <x v="2"/>
    <x v="2"/>
    <x v="0"/>
    <n v="75000"/>
    <s v="Cash"/>
    <n v="150000"/>
    <x v="9"/>
  </r>
  <r>
    <n v="2043"/>
    <n v="28"/>
    <x v="82"/>
    <d v="2025-04-11T00:00:00"/>
    <x v="5"/>
    <x v="1"/>
    <x v="0"/>
    <x v="0"/>
    <n v="65000"/>
    <s v="card"/>
    <n v="65000"/>
    <x v="7"/>
  </r>
  <r>
    <n v="2044"/>
    <n v="55"/>
    <x v="39"/>
    <d v="2025-12-14T00:00:00"/>
    <x v="11"/>
    <x v="2"/>
    <x v="0"/>
    <x v="0"/>
    <n v="40000"/>
    <s v="card"/>
    <n v="40000"/>
    <x v="9"/>
  </r>
  <r>
    <n v="2045"/>
    <n v="16"/>
    <x v="50"/>
    <d v="2025-11-29T00:00:00"/>
    <x v="6"/>
    <x v="2"/>
    <x v="0"/>
    <x v="0"/>
    <n v="84857.142857142855"/>
    <s v="card"/>
    <n v="84857.142857142855"/>
    <x v="1"/>
  </r>
  <r>
    <n v="2046"/>
    <n v="31"/>
    <x v="103"/>
    <d v="2025-09-08T00:00:00"/>
    <x v="11"/>
    <x v="2"/>
    <x v="5"/>
    <x v="0"/>
    <n v="40000"/>
    <s v="Unknown"/>
    <n v="120000"/>
    <x v="8"/>
  </r>
  <r>
    <n v="2047"/>
    <n v="111"/>
    <x v="6"/>
    <d v="2025-07-15T00:00:00"/>
    <x v="8"/>
    <x v="1"/>
    <x v="0"/>
    <x v="0"/>
    <n v="30000"/>
    <s v="card"/>
    <n v="30000"/>
    <x v="10"/>
  </r>
  <r>
    <n v="2048"/>
    <n v="16"/>
    <x v="50"/>
    <d v="2025-11-25T00:00:00"/>
    <x v="2"/>
    <x v="2"/>
    <x v="0"/>
    <x v="0"/>
    <n v="80000"/>
    <s v="Online"/>
    <n v="80000"/>
    <x v="1"/>
  </r>
  <r>
    <n v="2049"/>
    <n v="89"/>
    <x v="7"/>
    <d v="2025-02-18T00:00:00"/>
    <x v="5"/>
    <x v="1"/>
    <x v="2"/>
    <x v="0"/>
    <n v="59954.128440366971"/>
    <s v="Online"/>
    <n v="119908.25688073394"/>
    <x v="6"/>
  </r>
  <r>
    <n v="2050"/>
    <n v="74"/>
    <x v="45"/>
    <d v="2025-02-20T00:00:00"/>
    <x v="1"/>
    <x v="1"/>
    <x v="5"/>
    <x v="0"/>
    <n v="63000"/>
    <s v="Online "/>
    <n v="189000"/>
    <x v="6"/>
  </r>
  <r>
    <n v="2051"/>
    <n v="3"/>
    <x v="72"/>
    <d v="2025-12-10T00:00:00"/>
    <x v="11"/>
    <x v="2"/>
    <x v="4"/>
    <x v="1"/>
    <n v="45000"/>
    <s v="Cash"/>
    <n v="-45000"/>
    <x v="9"/>
  </r>
  <r>
    <n v="2052"/>
    <n v="118"/>
    <x v="52"/>
    <d v="2025-03-02T00:00:00"/>
    <x v="8"/>
    <x v="1"/>
    <x v="0"/>
    <x v="0"/>
    <n v="35000"/>
    <s v="card"/>
    <n v="35000"/>
    <x v="5"/>
  </r>
  <r>
    <n v="2053"/>
    <n v="6"/>
    <x v="27"/>
    <d v="2025-10-22T00:00:00"/>
    <x v="1"/>
    <x v="1"/>
    <x v="0"/>
    <x v="0"/>
    <n v="63000"/>
    <s v="card"/>
    <n v="63000"/>
    <x v="3"/>
  </r>
  <r>
    <n v="2054"/>
    <n v="16"/>
    <x v="50"/>
    <d v="2025-06-02T00:00:00"/>
    <x v="6"/>
    <x v="2"/>
    <x v="2"/>
    <x v="0"/>
    <n v="80000"/>
    <s v="card"/>
    <n v="160000"/>
    <x v="2"/>
  </r>
  <r>
    <n v="2055"/>
    <n v="55"/>
    <x v="39"/>
    <d v="2025-05-31T00:00:00"/>
    <x v="6"/>
    <x v="2"/>
    <x v="0"/>
    <x v="0"/>
    <n v="90000"/>
    <s v="Cash"/>
    <n v="90000"/>
    <x v="11"/>
  </r>
  <r>
    <n v="2056"/>
    <n v="117"/>
    <x v="109"/>
    <d v="2025-11-07T00:00:00"/>
    <x v="7"/>
    <x v="0"/>
    <x v="5"/>
    <x v="0"/>
    <n v="60000"/>
    <s v="Cash"/>
    <n v="180000"/>
    <x v="1"/>
  </r>
  <r>
    <n v="2057"/>
    <n v="5"/>
    <x v="15"/>
    <d v="2025-03-14T00:00:00"/>
    <x v="10"/>
    <x v="1"/>
    <x v="0"/>
    <x v="0"/>
    <n v="53000"/>
    <s v="Cash"/>
    <n v="53000"/>
    <x v="5"/>
  </r>
  <r>
    <n v="2058"/>
    <n v="46"/>
    <x v="98"/>
    <d v="2025-07-03T00:00:00"/>
    <x v="0"/>
    <x v="0"/>
    <x v="0"/>
    <x v="0"/>
    <n v="67000"/>
    <s v="card"/>
    <n v="67000"/>
    <x v="10"/>
  </r>
  <r>
    <n v="2059"/>
    <n v="84"/>
    <x v="75"/>
    <d v="2025-07-24T00:00:00"/>
    <x v="1"/>
    <x v="1"/>
    <x v="0"/>
    <x v="0"/>
    <n v="58000"/>
    <s v="Cash"/>
    <n v="58000"/>
    <x v="10"/>
  </r>
  <r>
    <n v="2060"/>
    <n v="27"/>
    <x v="68"/>
    <d v="2025-11-19T00:00:00"/>
    <x v="3"/>
    <x v="1"/>
    <x v="5"/>
    <x v="0"/>
    <n v="55000"/>
    <s v="Cash"/>
    <n v="165000"/>
    <x v="1"/>
  </r>
  <r>
    <n v="2061"/>
    <n v="85"/>
    <x v="6"/>
    <d v="2025-09-19T00:00:00"/>
    <x v="8"/>
    <x v="1"/>
    <x v="2"/>
    <x v="0"/>
    <n v="35000"/>
    <s v="card"/>
    <n v="70000"/>
    <x v="8"/>
  </r>
  <r>
    <n v="2062"/>
    <n v="4"/>
    <x v="18"/>
    <d v="2025-07-05T00:00:00"/>
    <x v="4"/>
    <x v="2"/>
    <x v="0"/>
    <x v="0"/>
    <n v="55000"/>
    <s v="card"/>
    <n v="55000"/>
    <x v="10"/>
  </r>
  <r>
    <n v="2063"/>
    <n v="43"/>
    <x v="23"/>
    <d v="2025-02-15T00:00:00"/>
    <x v="8"/>
    <x v="1"/>
    <x v="1"/>
    <x v="0"/>
    <n v="35000"/>
    <s v="Online"/>
    <n v="140000"/>
    <x v="6"/>
  </r>
  <r>
    <n v="2064"/>
    <n v="2"/>
    <x v="34"/>
    <d v="2025-07-13T00:00:00"/>
    <x v="3"/>
    <x v="1"/>
    <x v="0"/>
    <x v="0"/>
    <n v="50000"/>
    <s v="Cash"/>
    <n v="50000"/>
    <x v="10"/>
  </r>
  <r>
    <n v="2065"/>
    <n v="106"/>
    <x v="12"/>
    <d v="2025-02-18T00:00:00"/>
    <x v="2"/>
    <x v="2"/>
    <x v="5"/>
    <x v="0"/>
    <n v="80000"/>
    <s v="Cash"/>
    <n v="240000"/>
    <x v="6"/>
  </r>
  <r>
    <n v="2066"/>
    <n v="13"/>
    <x v="38"/>
    <d v="2025-03-29T00:00:00"/>
    <x v="9"/>
    <x v="1"/>
    <x v="0"/>
    <x v="0"/>
    <n v="45000"/>
    <s v="card"/>
    <n v="45000"/>
    <x v="5"/>
  </r>
  <r>
    <n v="2067"/>
    <n v="76"/>
    <x v="95"/>
    <d v="2025-05-13T00:00:00"/>
    <x v="1"/>
    <x v="1"/>
    <x v="6"/>
    <x v="1"/>
    <n v="58000"/>
    <s v="Cash"/>
    <n v="-174000"/>
    <x v="11"/>
  </r>
  <r>
    <n v="2068"/>
    <n v="95"/>
    <x v="11"/>
    <d v="2025-01-28T00:00:00"/>
    <x v="0"/>
    <x v="0"/>
    <x v="5"/>
    <x v="0"/>
    <n v="62000"/>
    <s v="Online "/>
    <n v="186000"/>
    <x v="0"/>
  </r>
  <r>
    <n v="2069"/>
    <n v="59"/>
    <x v="36"/>
    <d v="2025-08-13T00:00:00"/>
    <x v="1"/>
    <x v="1"/>
    <x v="2"/>
    <x v="0"/>
    <n v="58000"/>
    <s v="Cash"/>
    <n v="116000"/>
    <x v="4"/>
  </r>
  <r>
    <n v="2070"/>
    <n v="96"/>
    <x v="1"/>
    <d v="2025-04-28T00:00:00"/>
    <x v="5"/>
    <x v="1"/>
    <x v="4"/>
    <x v="1"/>
    <n v="60000"/>
    <s v="Online "/>
    <n v="-60000"/>
    <x v="7"/>
  </r>
  <r>
    <n v="2071"/>
    <n v="11"/>
    <x v="19"/>
    <d v="2025-05-03T00:00:00"/>
    <x v="3"/>
    <x v="1"/>
    <x v="2"/>
    <x v="0"/>
    <n v="50000"/>
    <s v="Cash"/>
    <n v="100000"/>
    <x v="11"/>
  </r>
  <r>
    <n v="2072"/>
    <n v="119"/>
    <x v="56"/>
    <d v="2025-01-06T00:00:00"/>
    <x v="2"/>
    <x v="2"/>
    <x v="3"/>
    <x v="1"/>
    <n v="75000"/>
    <s v="card"/>
    <n v="-150000"/>
    <x v="0"/>
  </r>
  <r>
    <n v="2073"/>
    <n v="2"/>
    <x v="34"/>
    <d v="2025-04-08T00:00:00"/>
    <x v="4"/>
    <x v="2"/>
    <x v="5"/>
    <x v="0"/>
    <n v="50000"/>
    <s v="Cash"/>
    <n v="150000"/>
    <x v="7"/>
  </r>
  <r>
    <n v="2074"/>
    <n v="95"/>
    <x v="11"/>
    <d v="2025-09-28T00:00:00"/>
    <x v="8"/>
    <x v="1"/>
    <x v="2"/>
    <x v="0"/>
    <n v="35000"/>
    <s v="Cash"/>
    <n v="70000"/>
    <x v="8"/>
  </r>
  <r>
    <n v="2075"/>
    <n v="10"/>
    <x v="84"/>
    <d v="2025-10-03T00:00:00"/>
    <x v="7"/>
    <x v="0"/>
    <x v="0"/>
    <x v="0"/>
    <n v="65000"/>
    <s v="Cash"/>
    <n v="65000"/>
    <x v="3"/>
  </r>
  <r>
    <n v="2076"/>
    <n v="48"/>
    <x v="58"/>
    <d v="2025-06-23T00:00:00"/>
    <x v="3"/>
    <x v="1"/>
    <x v="1"/>
    <x v="0"/>
    <n v="60000"/>
    <s v="Online"/>
    <n v="240000"/>
    <x v="2"/>
  </r>
  <r>
    <n v="2077"/>
    <n v="62"/>
    <x v="2"/>
    <d v="2025-05-16T00:00:00"/>
    <x v="0"/>
    <x v="0"/>
    <x v="5"/>
    <x v="0"/>
    <n v="67000"/>
    <s v="Online"/>
    <n v="201000"/>
    <x v="11"/>
  </r>
  <r>
    <n v="2078"/>
    <n v="119"/>
    <x v="56"/>
    <d v="2025-09-21T00:00:00"/>
    <x v="8"/>
    <x v="1"/>
    <x v="2"/>
    <x v="0"/>
    <n v="35000"/>
    <s v="card"/>
    <n v="70000"/>
    <x v="8"/>
  </r>
  <r>
    <n v="2079"/>
    <n v="79"/>
    <x v="37"/>
    <d v="2025-06-18T00:00:00"/>
    <x v="2"/>
    <x v="2"/>
    <x v="0"/>
    <x v="0"/>
    <n v="70000"/>
    <s v="card"/>
    <n v="70000"/>
    <x v="2"/>
  </r>
  <r>
    <n v="2080"/>
    <n v="46"/>
    <x v="98"/>
    <d v="2025-02-21T00:00:00"/>
    <x v="9"/>
    <x v="1"/>
    <x v="0"/>
    <x v="0"/>
    <n v="40000"/>
    <s v="card"/>
    <n v="40000"/>
    <x v="6"/>
  </r>
  <r>
    <n v="2081"/>
    <n v="16"/>
    <x v="50"/>
    <d v="2025-04-01T00:00:00"/>
    <x v="2"/>
    <x v="2"/>
    <x v="0"/>
    <x v="0"/>
    <n v="75000"/>
    <s v="Online"/>
    <n v="75000"/>
    <x v="7"/>
  </r>
  <r>
    <n v="2082"/>
    <n v="47"/>
    <x v="59"/>
    <d v="2025-04-04T00:00:00"/>
    <x v="11"/>
    <x v="2"/>
    <x v="0"/>
    <x v="0"/>
    <n v="40000"/>
    <s v="Unknown"/>
    <n v="40000"/>
    <x v="7"/>
  </r>
  <r>
    <n v="2083"/>
    <n v="18"/>
    <x v="35"/>
    <d v="2025-11-08T00:00:00"/>
    <x v="7"/>
    <x v="0"/>
    <x v="1"/>
    <x v="0"/>
    <n v="65000"/>
    <s v="Online"/>
    <n v="260000"/>
    <x v="1"/>
  </r>
  <r>
    <n v="2084"/>
    <n v="6"/>
    <x v="27"/>
    <d v="2025-07-22T00:00:00"/>
    <x v="1"/>
    <x v="1"/>
    <x v="0"/>
    <x v="0"/>
    <n v="58000"/>
    <s v="card"/>
    <n v="58000"/>
    <x v="10"/>
  </r>
  <r>
    <n v="2085"/>
    <n v="60"/>
    <x v="43"/>
    <d v="2025-05-17T00:00:00"/>
    <x v="8"/>
    <x v="1"/>
    <x v="2"/>
    <x v="0"/>
    <n v="40000"/>
    <s v="Online"/>
    <n v="80000"/>
    <x v="11"/>
  </r>
  <r>
    <n v="2086"/>
    <n v="97"/>
    <x v="32"/>
    <d v="2025-09-14T00:00:00"/>
    <x v="11"/>
    <x v="2"/>
    <x v="0"/>
    <x v="0"/>
    <n v="35000"/>
    <s v="Cash"/>
    <n v="35000"/>
    <x v="8"/>
  </r>
  <r>
    <n v="2087"/>
    <n v="20"/>
    <x v="48"/>
    <d v="2025-09-14T00:00:00"/>
    <x v="7"/>
    <x v="0"/>
    <x v="0"/>
    <x v="0"/>
    <n v="65000"/>
    <s v="card"/>
    <n v="65000"/>
    <x v="8"/>
  </r>
  <r>
    <n v="2088"/>
    <n v="62"/>
    <x v="2"/>
    <d v="2025-05-25T00:00:00"/>
    <x v="0"/>
    <x v="0"/>
    <x v="1"/>
    <x v="0"/>
    <n v="62000"/>
    <s v="Online "/>
    <n v="248000"/>
    <x v="11"/>
  </r>
  <r>
    <n v="2089"/>
    <n v="66"/>
    <x v="21"/>
    <d v="2025-05-08T00:00:00"/>
    <x v="1"/>
    <x v="1"/>
    <x v="1"/>
    <x v="0"/>
    <n v="58000"/>
    <s v="Online "/>
    <n v="232000"/>
    <x v="11"/>
  </r>
  <r>
    <n v="2090"/>
    <n v="106"/>
    <x v="12"/>
    <d v="2025-04-12T00:00:00"/>
    <x v="11"/>
    <x v="2"/>
    <x v="5"/>
    <x v="0"/>
    <n v="40428.571428571428"/>
    <s v="Cash"/>
    <n v="121285.71428571429"/>
    <x v="7"/>
  </r>
  <r>
    <n v="2091"/>
    <n v="110"/>
    <x v="83"/>
    <d v="2025-11-19T00:00:00"/>
    <x v="4"/>
    <x v="2"/>
    <x v="0"/>
    <x v="0"/>
    <n v="45000"/>
    <s v="card"/>
    <n v="45000"/>
    <x v="1"/>
  </r>
  <r>
    <n v="2092"/>
    <n v="36"/>
    <x v="92"/>
    <d v="2025-03-16T00:00:00"/>
    <x v="10"/>
    <x v="1"/>
    <x v="2"/>
    <x v="0"/>
    <n v="48000"/>
    <s v="card"/>
    <n v="96000"/>
    <x v="5"/>
  </r>
  <r>
    <n v="2093"/>
    <n v="53"/>
    <x v="28"/>
    <d v="2025-06-06T00:00:00"/>
    <x v="6"/>
    <x v="2"/>
    <x v="0"/>
    <x v="0"/>
    <n v="85000"/>
    <s v="card"/>
    <n v="85000"/>
    <x v="2"/>
  </r>
  <r>
    <n v="2094"/>
    <n v="66"/>
    <x v="21"/>
    <d v="2025-11-26T00:00:00"/>
    <x v="11"/>
    <x v="2"/>
    <x v="0"/>
    <x v="0"/>
    <n v="40000"/>
    <s v="Online"/>
    <n v="40000"/>
    <x v="1"/>
  </r>
  <r>
    <n v="2095"/>
    <n v="92"/>
    <x v="64"/>
    <d v="2025-05-07T00:00:00"/>
    <x v="11"/>
    <x v="2"/>
    <x v="0"/>
    <x v="0"/>
    <n v="35000"/>
    <s v="Online "/>
    <n v="35000"/>
    <x v="11"/>
  </r>
  <r>
    <n v="2096"/>
    <n v="96"/>
    <x v="1"/>
    <d v="2025-04-19T00:00:00"/>
    <x v="7"/>
    <x v="0"/>
    <x v="0"/>
    <x v="0"/>
    <n v="70000"/>
    <s v="Cash"/>
    <n v="70000"/>
    <x v="7"/>
  </r>
  <r>
    <n v="2097"/>
    <n v="33"/>
    <x v="30"/>
    <d v="2025-06-07T00:00:00"/>
    <x v="2"/>
    <x v="2"/>
    <x v="0"/>
    <x v="0"/>
    <n v="70000"/>
    <s v="Online "/>
    <n v="70000"/>
    <x v="2"/>
  </r>
  <r>
    <n v="2098"/>
    <n v="71"/>
    <x v="96"/>
    <d v="2025-06-19T00:00:00"/>
    <x v="1"/>
    <x v="1"/>
    <x v="0"/>
    <x v="0"/>
    <n v="63000"/>
    <s v="Cash"/>
    <n v="63000"/>
    <x v="2"/>
  </r>
  <r>
    <n v="2099"/>
    <n v="84"/>
    <x v="75"/>
    <d v="2025-04-18T00:00:00"/>
    <x v="0"/>
    <x v="0"/>
    <x v="0"/>
    <x v="0"/>
    <n v="57000"/>
    <s v="card"/>
    <n v="57000"/>
    <x v="7"/>
  </r>
  <r>
    <n v="2100"/>
    <n v="76"/>
    <x v="95"/>
    <d v="2025-08-04T00:00:00"/>
    <x v="8"/>
    <x v="1"/>
    <x v="0"/>
    <x v="0"/>
    <n v="30000"/>
    <s v="Online"/>
    <n v="30000"/>
    <x v="4"/>
  </r>
  <r>
    <n v="2101"/>
    <n v="93"/>
    <x v="78"/>
    <d v="2025-04-14T00:00:00"/>
    <x v="2"/>
    <x v="2"/>
    <x v="0"/>
    <x v="0"/>
    <n v="75000"/>
    <s v="Cash"/>
    <n v="75000"/>
    <x v="7"/>
  </r>
  <r>
    <n v="2102"/>
    <n v="92"/>
    <x v="64"/>
    <d v="2025-10-14T00:00:00"/>
    <x v="0"/>
    <x v="0"/>
    <x v="2"/>
    <x v="0"/>
    <n v="57000"/>
    <s v="card"/>
    <n v="114000"/>
    <x v="3"/>
  </r>
  <r>
    <n v="2103"/>
    <n v="54"/>
    <x v="89"/>
    <d v="2025-09-15T00:00:00"/>
    <x v="6"/>
    <x v="2"/>
    <x v="2"/>
    <x v="0"/>
    <n v="85000"/>
    <s v="Online"/>
    <n v="170000"/>
    <x v="8"/>
  </r>
  <r>
    <n v="2104"/>
    <n v="6"/>
    <x v="27"/>
    <d v="2025-02-01T00:00:00"/>
    <x v="4"/>
    <x v="2"/>
    <x v="5"/>
    <x v="0"/>
    <n v="50000"/>
    <s v="Cash"/>
    <n v="150000"/>
    <x v="6"/>
  </r>
  <r>
    <n v="2105"/>
    <n v="57"/>
    <x v="17"/>
    <d v="2025-07-16T00:00:00"/>
    <x v="6"/>
    <x v="2"/>
    <x v="2"/>
    <x v="0"/>
    <n v="90000"/>
    <s v="Cash"/>
    <n v="180000"/>
    <x v="10"/>
  </r>
  <r>
    <n v="2106"/>
    <n v="1"/>
    <x v="77"/>
    <d v="2025-10-20T00:00:00"/>
    <x v="1"/>
    <x v="1"/>
    <x v="1"/>
    <x v="0"/>
    <n v="63000"/>
    <s v="Online"/>
    <n v="252000"/>
    <x v="3"/>
  </r>
  <r>
    <n v="2107"/>
    <n v="110"/>
    <x v="83"/>
    <d v="2025-01-06T00:00:00"/>
    <x v="10"/>
    <x v="1"/>
    <x v="2"/>
    <x v="0"/>
    <n v="43000"/>
    <s v="card"/>
    <n v="86000"/>
    <x v="0"/>
  </r>
  <r>
    <n v="2108"/>
    <n v="69"/>
    <x v="60"/>
    <d v="2025-05-30T00:00:00"/>
    <x v="10"/>
    <x v="1"/>
    <x v="0"/>
    <x v="0"/>
    <n v="48000"/>
    <s v="Online "/>
    <n v="48000"/>
    <x v="11"/>
  </r>
  <r>
    <n v="2109"/>
    <n v="32"/>
    <x v="4"/>
    <d v="2025-10-01T00:00:00"/>
    <x v="10"/>
    <x v="1"/>
    <x v="5"/>
    <x v="0"/>
    <n v="48000"/>
    <s v="Online"/>
    <n v="144000"/>
    <x v="3"/>
  </r>
  <r>
    <n v="2110"/>
    <n v="11"/>
    <x v="19"/>
    <d v="2025-10-09T00:00:00"/>
    <x v="5"/>
    <x v="1"/>
    <x v="2"/>
    <x v="0"/>
    <n v="65000"/>
    <s v="card"/>
    <n v="130000"/>
    <x v="3"/>
  </r>
  <r>
    <n v="2111"/>
    <n v="81"/>
    <x v="26"/>
    <d v="2025-02-07T00:00:00"/>
    <x v="9"/>
    <x v="1"/>
    <x v="0"/>
    <x v="0"/>
    <n v="45000"/>
    <s v="Online "/>
    <n v="45000"/>
    <x v="6"/>
  </r>
  <r>
    <n v="2112"/>
    <n v="96"/>
    <x v="1"/>
    <d v="2025-07-15T00:00:00"/>
    <x v="5"/>
    <x v="1"/>
    <x v="1"/>
    <x v="0"/>
    <n v="65000"/>
    <s v="card"/>
    <n v="260000"/>
    <x v="10"/>
  </r>
  <r>
    <n v="2113"/>
    <n v="29"/>
    <x v="19"/>
    <d v="2025-05-18T00:00:00"/>
    <x v="7"/>
    <x v="0"/>
    <x v="0"/>
    <x v="0"/>
    <n v="65000"/>
    <s v="Online"/>
    <n v="65000"/>
    <x v="11"/>
  </r>
  <r>
    <n v="2114"/>
    <n v="19"/>
    <x v="47"/>
    <d v="2025-02-17T00:00:00"/>
    <x v="2"/>
    <x v="2"/>
    <x v="2"/>
    <x v="0"/>
    <n v="75000"/>
    <s v="Cash"/>
    <n v="150000"/>
    <x v="6"/>
  </r>
  <r>
    <n v="2115"/>
    <n v="63"/>
    <x v="3"/>
    <d v="2025-03-04T00:00:00"/>
    <x v="5"/>
    <x v="1"/>
    <x v="0"/>
    <x v="0"/>
    <n v="60000"/>
    <s v="card"/>
    <n v="60000"/>
    <x v="5"/>
  </r>
  <r>
    <n v="2116"/>
    <n v="88"/>
    <x v="29"/>
    <d v="2025-04-07T00:00:00"/>
    <x v="4"/>
    <x v="2"/>
    <x v="0"/>
    <x v="0"/>
    <n v="50000"/>
    <s v="Online "/>
    <n v="50000"/>
    <x v="7"/>
  </r>
  <r>
    <n v="2117"/>
    <n v="78"/>
    <x v="4"/>
    <d v="2025-02-21T00:00:00"/>
    <x v="11"/>
    <x v="2"/>
    <x v="5"/>
    <x v="0"/>
    <n v="35000"/>
    <s v="card"/>
    <n v="105000"/>
    <x v="6"/>
  </r>
  <r>
    <n v="2118"/>
    <n v="50"/>
    <x v="24"/>
    <d v="2025-02-26T00:00:00"/>
    <x v="9"/>
    <x v="1"/>
    <x v="0"/>
    <x v="0"/>
    <n v="45000"/>
    <s v="Cash"/>
    <n v="45000"/>
    <x v="6"/>
  </r>
  <r>
    <n v="2119"/>
    <n v="96"/>
    <x v="1"/>
    <d v="2025-11-04T00:00:00"/>
    <x v="8"/>
    <x v="1"/>
    <x v="1"/>
    <x v="0"/>
    <n v="30000"/>
    <s v="Online "/>
    <n v="120000"/>
    <x v="1"/>
  </r>
  <r>
    <n v="2120"/>
    <n v="11"/>
    <x v="19"/>
    <d v="2025-03-13T00:00:00"/>
    <x v="10"/>
    <x v="1"/>
    <x v="1"/>
    <x v="0"/>
    <n v="48000"/>
    <s v="card"/>
    <n v="192000"/>
    <x v="5"/>
  </r>
  <r>
    <n v="2121"/>
    <n v="20"/>
    <x v="48"/>
    <d v="2025-01-29T00:00:00"/>
    <x v="10"/>
    <x v="1"/>
    <x v="5"/>
    <x v="0"/>
    <n v="53000"/>
    <s v="card"/>
    <n v="159000"/>
    <x v="0"/>
  </r>
  <r>
    <n v="2122"/>
    <n v="14"/>
    <x v="85"/>
    <d v="2025-01-06T00:00:00"/>
    <x v="6"/>
    <x v="2"/>
    <x v="0"/>
    <x v="0"/>
    <n v="80000"/>
    <s v="Cash"/>
    <n v="80000"/>
    <x v="0"/>
  </r>
  <r>
    <n v="2123"/>
    <n v="55"/>
    <x v="39"/>
    <d v="2025-03-17T00:00:00"/>
    <x v="11"/>
    <x v="2"/>
    <x v="0"/>
    <x v="0"/>
    <n v="40000"/>
    <s v="card"/>
    <n v="40000"/>
    <x v="5"/>
  </r>
  <r>
    <n v="2124"/>
    <n v="22"/>
    <x v="66"/>
    <d v="2025-04-25T00:00:00"/>
    <x v="3"/>
    <x v="1"/>
    <x v="0"/>
    <x v="0"/>
    <n v="50000"/>
    <s v="card"/>
    <n v="50000"/>
    <x v="7"/>
  </r>
  <r>
    <n v="2125"/>
    <n v="47"/>
    <x v="59"/>
    <d v="2025-01-23T00:00:00"/>
    <x v="3"/>
    <x v="1"/>
    <x v="0"/>
    <x v="0"/>
    <n v="55320"/>
    <s v="Cash"/>
    <n v="55320"/>
    <x v="0"/>
  </r>
  <r>
    <n v="2126"/>
    <n v="24"/>
    <x v="13"/>
    <d v="2025-06-08T00:00:00"/>
    <x v="8"/>
    <x v="1"/>
    <x v="2"/>
    <x v="0"/>
    <n v="35000"/>
    <s v="Online"/>
    <n v="70000"/>
    <x v="2"/>
  </r>
  <r>
    <n v="2127"/>
    <n v="118"/>
    <x v="52"/>
    <d v="2025-05-12T00:00:00"/>
    <x v="2"/>
    <x v="2"/>
    <x v="0"/>
    <x v="0"/>
    <n v="70000"/>
    <s v="Online "/>
    <n v="70000"/>
    <x v="11"/>
  </r>
  <r>
    <n v="2128"/>
    <n v="19"/>
    <x v="47"/>
    <d v="2025-03-17T00:00:00"/>
    <x v="7"/>
    <x v="0"/>
    <x v="5"/>
    <x v="0"/>
    <n v="65000"/>
    <s v="Cash"/>
    <n v="195000"/>
    <x v="5"/>
  </r>
  <r>
    <n v="2129"/>
    <n v="55"/>
    <x v="39"/>
    <d v="2025-05-23T00:00:00"/>
    <x v="5"/>
    <x v="1"/>
    <x v="0"/>
    <x v="0"/>
    <n v="60000"/>
    <s v="Online"/>
    <n v="60000"/>
    <x v="11"/>
  </r>
  <r>
    <n v="2130"/>
    <n v="41"/>
    <x v="86"/>
    <d v="2025-06-08T00:00:00"/>
    <x v="2"/>
    <x v="2"/>
    <x v="2"/>
    <x v="0"/>
    <n v="75000"/>
    <s v="card"/>
    <n v="150000"/>
    <x v="2"/>
  </r>
  <r>
    <n v="2131"/>
    <n v="54"/>
    <x v="89"/>
    <d v="2025-12-09T00:00:00"/>
    <x v="6"/>
    <x v="2"/>
    <x v="2"/>
    <x v="0"/>
    <n v="90000"/>
    <s v="card"/>
    <n v="180000"/>
    <x v="9"/>
  </r>
  <r>
    <n v="2132"/>
    <n v="75"/>
    <x v="70"/>
    <d v="2025-08-04T00:00:00"/>
    <x v="5"/>
    <x v="1"/>
    <x v="5"/>
    <x v="0"/>
    <n v="59954.128440366971"/>
    <s v="card"/>
    <n v="179862.38532110091"/>
    <x v="4"/>
  </r>
  <r>
    <n v="2133"/>
    <n v="27"/>
    <x v="68"/>
    <d v="2025-05-07T00:00:00"/>
    <x v="9"/>
    <x v="1"/>
    <x v="0"/>
    <x v="0"/>
    <n v="40000"/>
    <s v="Online"/>
    <n v="40000"/>
    <x v="11"/>
  </r>
  <r>
    <n v="2134"/>
    <n v="109"/>
    <x v="106"/>
    <d v="2025-05-31T00:00:00"/>
    <x v="1"/>
    <x v="1"/>
    <x v="1"/>
    <x v="0"/>
    <n v="63000"/>
    <s v="Cash"/>
    <n v="252000"/>
    <x v="11"/>
  </r>
  <r>
    <n v="2135"/>
    <n v="106"/>
    <x v="12"/>
    <d v="2025-01-29T00:00:00"/>
    <x v="10"/>
    <x v="1"/>
    <x v="0"/>
    <x v="0"/>
    <n v="48000"/>
    <s v="Online "/>
    <n v="48000"/>
    <x v="0"/>
  </r>
  <r>
    <n v="2136"/>
    <n v="118"/>
    <x v="52"/>
    <d v="2025-07-10T00:00:00"/>
    <x v="11"/>
    <x v="2"/>
    <x v="5"/>
    <x v="0"/>
    <n v="45000"/>
    <s v="Cash"/>
    <n v="135000"/>
    <x v="10"/>
  </r>
  <r>
    <n v="2137"/>
    <n v="112"/>
    <x v="16"/>
    <d v="2025-01-16T00:00:00"/>
    <x v="1"/>
    <x v="1"/>
    <x v="4"/>
    <x v="1"/>
    <n v="53000"/>
    <s v="card"/>
    <n v="-53000"/>
    <x v="0"/>
  </r>
  <r>
    <n v="2138"/>
    <n v="73"/>
    <x v="14"/>
    <d v="2025-03-18T00:00:00"/>
    <x v="11"/>
    <x v="2"/>
    <x v="5"/>
    <x v="0"/>
    <n v="40000"/>
    <s v="card"/>
    <n v="120000"/>
    <x v="5"/>
  </r>
  <r>
    <n v="2139"/>
    <n v="53"/>
    <x v="28"/>
    <d v="2025-06-22T00:00:00"/>
    <x v="5"/>
    <x v="1"/>
    <x v="0"/>
    <x v="0"/>
    <n v="55000"/>
    <s v="Online "/>
    <n v="55000"/>
    <x v="2"/>
  </r>
  <r>
    <n v="2140"/>
    <n v="5"/>
    <x v="15"/>
    <d v="2025-03-30T00:00:00"/>
    <x v="4"/>
    <x v="2"/>
    <x v="0"/>
    <x v="0"/>
    <n v="50000"/>
    <s v="Cash"/>
    <n v="50000"/>
    <x v="5"/>
  </r>
  <r>
    <n v="2141"/>
    <n v="92"/>
    <x v="64"/>
    <d v="2025-10-20T00:00:00"/>
    <x v="0"/>
    <x v="0"/>
    <x v="5"/>
    <x v="0"/>
    <n v="62000"/>
    <s v="Online"/>
    <n v="186000"/>
    <x v="3"/>
  </r>
  <r>
    <n v="2142"/>
    <n v="78"/>
    <x v="4"/>
    <d v="2025-09-25T00:00:00"/>
    <x v="3"/>
    <x v="1"/>
    <x v="5"/>
    <x v="0"/>
    <n v="55000"/>
    <s v="Cash"/>
    <n v="165000"/>
    <x v="8"/>
  </r>
  <r>
    <n v="2143"/>
    <n v="51"/>
    <x v="93"/>
    <d v="2025-10-14T00:00:00"/>
    <x v="1"/>
    <x v="1"/>
    <x v="1"/>
    <x v="0"/>
    <n v="58000"/>
    <s v="Online "/>
    <n v="232000"/>
    <x v="3"/>
  </r>
  <r>
    <n v="2144"/>
    <n v="83"/>
    <x v="57"/>
    <d v="2025-07-14T00:00:00"/>
    <x v="11"/>
    <x v="2"/>
    <x v="1"/>
    <x v="0"/>
    <n v="40000"/>
    <s v="Cash"/>
    <n v="160000"/>
    <x v="10"/>
  </r>
  <r>
    <n v="2145"/>
    <n v="35"/>
    <x v="81"/>
    <d v="2025-02-23T00:00:00"/>
    <x v="3"/>
    <x v="1"/>
    <x v="2"/>
    <x v="0"/>
    <n v="55000"/>
    <s v="Unknown"/>
    <n v="110000"/>
    <x v="6"/>
  </r>
  <r>
    <n v="2146"/>
    <n v="21"/>
    <x v="105"/>
    <d v="2025-02-24T00:00:00"/>
    <x v="6"/>
    <x v="2"/>
    <x v="2"/>
    <x v="0"/>
    <n v="80000"/>
    <s v="Cash"/>
    <n v="160000"/>
    <x v="6"/>
  </r>
  <r>
    <n v="2147"/>
    <n v="26"/>
    <x v="67"/>
    <d v="2025-01-17T00:00:00"/>
    <x v="8"/>
    <x v="1"/>
    <x v="0"/>
    <x v="0"/>
    <n v="40000"/>
    <s v="Cash"/>
    <n v="40000"/>
    <x v="0"/>
  </r>
  <r>
    <n v="2148"/>
    <n v="102"/>
    <x v="9"/>
    <d v="2025-01-24T00:00:00"/>
    <x v="2"/>
    <x v="2"/>
    <x v="0"/>
    <x v="0"/>
    <n v="75000"/>
    <s v="Online"/>
    <n v="75000"/>
    <x v="0"/>
  </r>
  <r>
    <n v="2149"/>
    <n v="60"/>
    <x v="43"/>
    <d v="2025-09-14T00:00:00"/>
    <x v="11"/>
    <x v="2"/>
    <x v="1"/>
    <x v="0"/>
    <n v="40000"/>
    <s v="Cash"/>
    <n v="160000"/>
    <x v="8"/>
  </r>
  <r>
    <n v="2150"/>
    <n v="90"/>
    <x v="46"/>
    <d v="2025-02-19T00:00:00"/>
    <x v="8"/>
    <x v="1"/>
    <x v="5"/>
    <x v="0"/>
    <n v="35000"/>
    <s v="card"/>
    <n v="105000"/>
    <x v="6"/>
  </r>
  <r>
    <n v="2151"/>
    <n v="76"/>
    <x v="95"/>
    <d v="2025-09-02T00:00:00"/>
    <x v="11"/>
    <x v="2"/>
    <x v="0"/>
    <x v="0"/>
    <n v="40000"/>
    <s v="card"/>
    <n v="40000"/>
    <x v="8"/>
  </r>
  <r>
    <n v="2152"/>
    <n v="114"/>
    <x v="63"/>
    <d v="2025-02-17T00:00:00"/>
    <x v="8"/>
    <x v="1"/>
    <x v="4"/>
    <x v="1"/>
    <n v="35000"/>
    <s v="Cash"/>
    <n v="-35000"/>
    <x v="6"/>
  </r>
  <r>
    <n v="2153"/>
    <n v="67"/>
    <x v="90"/>
    <d v="2025-08-11T00:00:00"/>
    <x v="5"/>
    <x v="1"/>
    <x v="2"/>
    <x v="0"/>
    <n v="60000"/>
    <s v="Online"/>
    <n v="120000"/>
    <x v="4"/>
  </r>
  <r>
    <n v="2154"/>
    <n v="80"/>
    <x v="102"/>
    <d v="2025-01-21T00:00:00"/>
    <x v="11"/>
    <x v="2"/>
    <x v="0"/>
    <x v="0"/>
    <n v="40000"/>
    <s v="Cash"/>
    <n v="40000"/>
    <x v="0"/>
  </r>
  <r>
    <n v="2155"/>
    <n v="73"/>
    <x v="14"/>
    <d v="2025-09-12T00:00:00"/>
    <x v="8"/>
    <x v="1"/>
    <x v="0"/>
    <x v="0"/>
    <n v="35000"/>
    <s v="card"/>
    <n v="35000"/>
    <x v="8"/>
  </r>
  <r>
    <n v="2156"/>
    <n v="13"/>
    <x v="38"/>
    <d v="2025-10-06T00:00:00"/>
    <x v="2"/>
    <x v="2"/>
    <x v="0"/>
    <x v="0"/>
    <n v="70000"/>
    <s v="Online"/>
    <n v="70000"/>
    <x v="3"/>
  </r>
  <r>
    <n v="2157"/>
    <n v="12"/>
    <x v="42"/>
    <d v="2025-02-04T00:00:00"/>
    <x v="3"/>
    <x v="1"/>
    <x v="0"/>
    <x v="0"/>
    <n v="55000"/>
    <s v="Online "/>
    <n v="55000"/>
    <x v="6"/>
  </r>
  <r>
    <n v="2158"/>
    <n v="119"/>
    <x v="56"/>
    <d v="2025-05-03T00:00:00"/>
    <x v="1"/>
    <x v="1"/>
    <x v="0"/>
    <x v="0"/>
    <n v="58000"/>
    <s v="card"/>
    <n v="58000"/>
    <x v="11"/>
  </r>
  <r>
    <n v="2159"/>
    <n v="110"/>
    <x v="83"/>
    <d v="2025-12-15T00:00:00"/>
    <x v="4"/>
    <x v="2"/>
    <x v="0"/>
    <x v="0"/>
    <n v="55000"/>
    <s v="Online"/>
    <n v="55000"/>
    <x v="9"/>
  </r>
  <r>
    <n v="2160"/>
    <n v="11"/>
    <x v="19"/>
    <d v="2025-07-31T00:00:00"/>
    <x v="8"/>
    <x v="1"/>
    <x v="0"/>
    <x v="0"/>
    <n v="30000"/>
    <s v="Online "/>
    <n v="30000"/>
    <x v="10"/>
  </r>
  <r>
    <n v="2161"/>
    <n v="102"/>
    <x v="9"/>
    <d v="2025-12-25T00:00:00"/>
    <x v="10"/>
    <x v="1"/>
    <x v="0"/>
    <x v="0"/>
    <n v="43000"/>
    <s v="Cash"/>
    <n v="43000"/>
    <x v="9"/>
  </r>
  <r>
    <n v="2162"/>
    <n v="73"/>
    <x v="14"/>
    <d v="2025-07-02T00:00:00"/>
    <x v="11"/>
    <x v="2"/>
    <x v="1"/>
    <x v="0"/>
    <n v="40000"/>
    <s v="Online"/>
    <n v="160000"/>
    <x v="10"/>
  </r>
  <r>
    <n v="2163"/>
    <n v="60"/>
    <x v="43"/>
    <d v="2025-11-25T00:00:00"/>
    <x v="2"/>
    <x v="2"/>
    <x v="0"/>
    <x v="0"/>
    <n v="70000"/>
    <s v="card"/>
    <n v="70000"/>
    <x v="1"/>
  </r>
  <r>
    <n v="2164"/>
    <n v="99"/>
    <x v="87"/>
    <d v="2025-04-13T00:00:00"/>
    <x v="11"/>
    <x v="2"/>
    <x v="0"/>
    <x v="0"/>
    <n v="40000"/>
    <s v="Cash"/>
    <n v="40000"/>
    <x v="7"/>
  </r>
  <r>
    <n v="2165"/>
    <n v="90"/>
    <x v="46"/>
    <d v="2025-01-09T00:00:00"/>
    <x v="5"/>
    <x v="1"/>
    <x v="2"/>
    <x v="0"/>
    <n v="55000"/>
    <s v="card"/>
    <n v="110000"/>
    <x v="0"/>
  </r>
  <r>
    <n v="2166"/>
    <n v="19"/>
    <x v="47"/>
    <d v="2025-04-20T00:00:00"/>
    <x v="8"/>
    <x v="1"/>
    <x v="2"/>
    <x v="0"/>
    <n v="35000"/>
    <s v="Unknown"/>
    <n v="70000"/>
    <x v="7"/>
  </r>
  <r>
    <n v="2167"/>
    <n v="61"/>
    <x v="25"/>
    <d v="2025-01-28T00:00:00"/>
    <x v="10"/>
    <x v="1"/>
    <x v="1"/>
    <x v="0"/>
    <n v="48000"/>
    <s v="Unknown"/>
    <n v="192000"/>
    <x v="0"/>
  </r>
  <r>
    <n v="2168"/>
    <n v="23"/>
    <x v="0"/>
    <d v="2025-03-14T00:00:00"/>
    <x v="3"/>
    <x v="1"/>
    <x v="2"/>
    <x v="0"/>
    <n v="55320"/>
    <s v="card"/>
    <n v="110640"/>
    <x v="5"/>
  </r>
  <r>
    <n v="2169"/>
    <n v="68"/>
    <x v="108"/>
    <d v="2025-12-09T00:00:00"/>
    <x v="10"/>
    <x v="1"/>
    <x v="1"/>
    <x v="0"/>
    <n v="43000"/>
    <s v="Online"/>
    <n v="172000"/>
    <x v="9"/>
  </r>
  <r>
    <n v="2170"/>
    <n v="118"/>
    <x v="52"/>
    <d v="2025-03-26T00:00:00"/>
    <x v="0"/>
    <x v="0"/>
    <x v="2"/>
    <x v="0"/>
    <n v="62000"/>
    <s v="Online "/>
    <n v="124000"/>
    <x v="5"/>
  </r>
  <r>
    <n v="2171"/>
    <n v="56"/>
    <x v="53"/>
    <d v="2025-12-21T00:00:00"/>
    <x v="7"/>
    <x v="0"/>
    <x v="1"/>
    <x v="0"/>
    <n v="60000"/>
    <s v="card"/>
    <n v="240000"/>
    <x v="9"/>
  </r>
  <r>
    <n v="2172"/>
    <n v="93"/>
    <x v="78"/>
    <d v="2025-10-24T00:00:00"/>
    <x v="8"/>
    <x v="1"/>
    <x v="0"/>
    <x v="0"/>
    <n v="35000"/>
    <s v="card"/>
    <n v="35000"/>
    <x v="3"/>
  </r>
  <r>
    <n v="2173"/>
    <n v="120"/>
    <x v="71"/>
    <d v="2025-09-13T00:00:00"/>
    <x v="1"/>
    <x v="1"/>
    <x v="1"/>
    <x v="0"/>
    <n v="58000"/>
    <s v="card"/>
    <n v="232000"/>
    <x v="8"/>
  </r>
  <r>
    <n v="2174"/>
    <n v="96"/>
    <x v="1"/>
    <d v="2025-11-21T00:00:00"/>
    <x v="1"/>
    <x v="1"/>
    <x v="0"/>
    <x v="0"/>
    <n v="58000"/>
    <s v="card"/>
    <n v="58000"/>
    <x v="1"/>
  </r>
  <r>
    <n v="2175"/>
    <n v="90"/>
    <x v="46"/>
    <d v="2025-03-27T00:00:00"/>
    <x v="6"/>
    <x v="2"/>
    <x v="0"/>
    <x v="0"/>
    <n v="85000"/>
    <s v="Unknown"/>
    <n v="85000"/>
    <x v="5"/>
  </r>
  <r>
    <n v="2176"/>
    <n v="74"/>
    <x v="45"/>
    <d v="2025-07-09T00:00:00"/>
    <x v="9"/>
    <x v="1"/>
    <x v="0"/>
    <x v="0"/>
    <n v="45000"/>
    <s v="Online "/>
    <n v="45000"/>
    <x v="10"/>
  </r>
  <r>
    <n v="2177"/>
    <n v="64"/>
    <x v="50"/>
    <d v="2025-08-22T00:00:00"/>
    <x v="8"/>
    <x v="1"/>
    <x v="0"/>
    <x v="0"/>
    <n v="35000"/>
    <s v="Cash"/>
    <n v="35000"/>
    <x v="4"/>
  </r>
  <r>
    <n v="2178"/>
    <n v="78"/>
    <x v="4"/>
    <d v="2025-02-28T00:00:00"/>
    <x v="7"/>
    <x v="0"/>
    <x v="2"/>
    <x v="0"/>
    <n v="65000"/>
    <s v="Cash"/>
    <n v="130000"/>
    <x v="6"/>
  </r>
  <r>
    <n v="2179"/>
    <n v="56"/>
    <x v="53"/>
    <d v="2025-05-26T00:00:00"/>
    <x v="11"/>
    <x v="2"/>
    <x v="5"/>
    <x v="0"/>
    <n v="40428.571428571428"/>
    <s v="Unknown"/>
    <n v="121285.71428571429"/>
    <x v="11"/>
  </r>
  <r>
    <n v="2180"/>
    <n v="104"/>
    <x v="76"/>
    <d v="2025-02-15T00:00:00"/>
    <x v="3"/>
    <x v="1"/>
    <x v="2"/>
    <x v="0"/>
    <n v="55000"/>
    <s v="Online "/>
    <n v="110000"/>
    <x v="6"/>
  </r>
  <r>
    <n v="2181"/>
    <n v="97"/>
    <x v="32"/>
    <d v="2025-06-10T00:00:00"/>
    <x v="4"/>
    <x v="2"/>
    <x v="2"/>
    <x v="0"/>
    <n v="55000"/>
    <s v="card"/>
    <n v="110000"/>
    <x v="2"/>
  </r>
  <r>
    <n v="2182"/>
    <n v="28"/>
    <x v="82"/>
    <d v="2025-08-21T00:00:00"/>
    <x v="10"/>
    <x v="1"/>
    <x v="0"/>
    <x v="0"/>
    <n v="48000"/>
    <s v="Online"/>
    <n v="48000"/>
    <x v="4"/>
  </r>
  <r>
    <n v="2183"/>
    <n v="118"/>
    <x v="52"/>
    <d v="2025-07-31T00:00:00"/>
    <x v="2"/>
    <x v="2"/>
    <x v="0"/>
    <x v="0"/>
    <n v="75000"/>
    <s v="Online"/>
    <n v="75000"/>
    <x v="10"/>
  </r>
  <r>
    <n v="2184"/>
    <n v="113"/>
    <x v="69"/>
    <d v="2025-05-16T00:00:00"/>
    <x v="8"/>
    <x v="1"/>
    <x v="5"/>
    <x v="0"/>
    <n v="35000"/>
    <s v="card"/>
    <n v="105000"/>
    <x v="11"/>
  </r>
  <r>
    <n v="2185"/>
    <n v="2"/>
    <x v="34"/>
    <d v="2025-03-20T00:00:00"/>
    <x v="9"/>
    <x v="1"/>
    <x v="0"/>
    <x v="0"/>
    <n v="45000"/>
    <s v="Cash"/>
    <n v="45000"/>
    <x v="5"/>
  </r>
  <r>
    <n v="2186"/>
    <n v="72"/>
    <x v="51"/>
    <d v="2025-09-04T00:00:00"/>
    <x v="11"/>
    <x v="2"/>
    <x v="1"/>
    <x v="0"/>
    <n v="35000"/>
    <s v="Cash"/>
    <n v="140000"/>
    <x v="8"/>
  </r>
  <r>
    <n v="2187"/>
    <n v="96"/>
    <x v="1"/>
    <d v="2025-07-19T00:00:00"/>
    <x v="8"/>
    <x v="1"/>
    <x v="3"/>
    <x v="1"/>
    <n v="35000"/>
    <s v="card"/>
    <n v="-70000"/>
    <x v="10"/>
  </r>
  <r>
    <n v="2188"/>
    <n v="30"/>
    <x v="101"/>
    <d v="2025-12-30T00:00:00"/>
    <x v="3"/>
    <x v="1"/>
    <x v="5"/>
    <x v="0"/>
    <n v="60000"/>
    <s v="Cash"/>
    <n v="180000"/>
    <x v="9"/>
  </r>
  <r>
    <n v="2189"/>
    <n v="21"/>
    <x v="105"/>
    <d v="2025-04-15T00:00:00"/>
    <x v="7"/>
    <x v="0"/>
    <x v="0"/>
    <x v="0"/>
    <n v="65000"/>
    <s v="card"/>
    <n v="65000"/>
    <x v="7"/>
  </r>
  <r>
    <n v="2190"/>
    <n v="80"/>
    <x v="102"/>
    <d v="2025-06-10T00:00:00"/>
    <x v="5"/>
    <x v="1"/>
    <x v="0"/>
    <x v="0"/>
    <n v="60000"/>
    <s v="Cash"/>
    <n v="60000"/>
    <x v="2"/>
  </r>
  <r>
    <n v="2191"/>
    <n v="31"/>
    <x v="103"/>
    <d v="2025-04-24T00:00:00"/>
    <x v="8"/>
    <x v="1"/>
    <x v="2"/>
    <x v="0"/>
    <n v="35000"/>
    <s v="Online"/>
    <n v="70000"/>
    <x v="7"/>
  </r>
  <r>
    <n v="2192"/>
    <n v="85"/>
    <x v="6"/>
    <d v="2025-05-21T00:00:00"/>
    <x v="9"/>
    <x v="1"/>
    <x v="6"/>
    <x v="1"/>
    <n v="40000"/>
    <s v="card"/>
    <n v="-120000"/>
    <x v="11"/>
  </r>
  <r>
    <n v="2193"/>
    <n v="59"/>
    <x v="36"/>
    <d v="2025-03-04T00:00:00"/>
    <x v="4"/>
    <x v="2"/>
    <x v="0"/>
    <x v="0"/>
    <n v="50000"/>
    <s v="card"/>
    <n v="50000"/>
    <x v="5"/>
  </r>
  <r>
    <n v="2194"/>
    <n v="64"/>
    <x v="50"/>
    <d v="2025-04-17T00:00:00"/>
    <x v="7"/>
    <x v="0"/>
    <x v="2"/>
    <x v="0"/>
    <n v="60000"/>
    <s v="Unknown"/>
    <n v="120000"/>
    <x v="7"/>
  </r>
  <r>
    <n v="2195"/>
    <n v="60"/>
    <x v="43"/>
    <d v="2025-09-02T00:00:00"/>
    <x v="8"/>
    <x v="1"/>
    <x v="2"/>
    <x v="0"/>
    <n v="35000"/>
    <s v="Cash"/>
    <n v="70000"/>
    <x v="8"/>
  </r>
  <r>
    <n v="2196"/>
    <n v="24"/>
    <x v="13"/>
    <d v="2025-01-06T00:00:00"/>
    <x v="0"/>
    <x v="0"/>
    <x v="0"/>
    <x v="0"/>
    <n v="62265.486725663715"/>
    <s v="Cash"/>
    <n v="62265.486725663715"/>
    <x v="0"/>
  </r>
  <r>
    <n v="2197"/>
    <n v="77"/>
    <x v="49"/>
    <d v="2025-03-01T00:00:00"/>
    <x v="6"/>
    <x v="2"/>
    <x v="0"/>
    <x v="0"/>
    <n v="85000"/>
    <s v="Cash"/>
    <n v="85000"/>
    <x v="5"/>
  </r>
  <r>
    <n v="2198"/>
    <n v="3"/>
    <x v="72"/>
    <d v="2025-09-20T00:00:00"/>
    <x v="6"/>
    <x v="2"/>
    <x v="1"/>
    <x v="0"/>
    <n v="85000"/>
    <s v="card"/>
    <n v="340000"/>
    <x v="8"/>
  </r>
  <r>
    <n v="2199"/>
    <n v="42"/>
    <x v="14"/>
    <d v="2025-04-23T00:00:00"/>
    <x v="1"/>
    <x v="1"/>
    <x v="0"/>
    <x v="0"/>
    <n v="58000"/>
    <s v="card"/>
    <n v="58000"/>
    <x v="7"/>
  </r>
  <r>
    <n v="2201"/>
    <n v="33"/>
    <x v="30"/>
    <d v="2025-12-04T00:00:00"/>
    <x v="1"/>
    <x v="1"/>
    <x v="2"/>
    <x v="0"/>
    <n v="53000"/>
    <s v="Cash"/>
    <n v="106000"/>
    <x v="9"/>
  </r>
  <r>
    <n v="2202"/>
    <n v="102"/>
    <x v="9"/>
    <d v="2025-07-09T00:00:00"/>
    <x v="10"/>
    <x v="1"/>
    <x v="2"/>
    <x v="0"/>
    <n v="53000"/>
    <s v="Online"/>
    <n v="106000"/>
    <x v="10"/>
  </r>
  <r>
    <n v="2203"/>
    <n v="80"/>
    <x v="102"/>
    <d v="2025-07-11T00:00:00"/>
    <x v="3"/>
    <x v="1"/>
    <x v="0"/>
    <x v="0"/>
    <n v="60000"/>
    <s v="Online "/>
    <n v="60000"/>
    <x v="10"/>
  </r>
  <r>
    <n v="2204"/>
    <n v="105"/>
    <x v="104"/>
    <d v="2025-08-19T00:00:00"/>
    <x v="3"/>
    <x v="1"/>
    <x v="2"/>
    <x v="0"/>
    <n v="55000"/>
    <s v="Online"/>
    <n v="110000"/>
    <x v="4"/>
  </r>
  <r>
    <n v="2205"/>
    <n v="78"/>
    <x v="4"/>
    <d v="2025-09-29T00:00:00"/>
    <x v="8"/>
    <x v="1"/>
    <x v="0"/>
    <x v="0"/>
    <n v="30000"/>
    <s v="card"/>
    <n v="30000"/>
    <x v="8"/>
  </r>
  <r>
    <n v="2206"/>
    <n v="102"/>
    <x v="9"/>
    <d v="2025-07-03T00:00:00"/>
    <x v="1"/>
    <x v="1"/>
    <x v="0"/>
    <x v="0"/>
    <n v="58000"/>
    <s v="Online"/>
    <n v="58000"/>
    <x v="10"/>
  </r>
  <r>
    <n v="2207"/>
    <n v="16"/>
    <x v="50"/>
    <d v="2025-06-13T00:00:00"/>
    <x v="9"/>
    <x v="1"/>
    <x v="0"/>
    <x v="0"/>
    <n v="45000"/>
    <s v="Cash"/>
    <n v="45000"/>
    <x v="2"/>
  </r>
  <r>
    <n v="2208"/>
    <n v="102"/>
    <x v="9"/>
    <d v="2025-04-30T00:00:00"/>
    <x v="7"/>
    <x v="0"/>
    <x v="2"/>
    <x v="0"/>
    <n v="65458.715596330272"/>
    <s v="Cash"/>
    <n v="130917.43119266054"/>
    <x v="7"/>
  </r>
  <r>
    <n v="2209"/>
    <n v="28"/>
    <x v="82"/>
    <d v="2025-10-15T00:00:00"/>
    <x v="3"/>
    <x v="1"/>
    <x v="2"/>
    <x v="0"/>
    <n v="55000"/>
    <s v="Online"/>
    <n v="110000"/>
    <x v="3"/>
  </r>
  <r>
    <n v="2210"/>
    <n v="105"/>
    <x v="104"/>
    <d v="2025-04-12T00:00:00"/>
    <x v="7"/>
    <x v="0"/>
    <x v="1"/>
    <x v="0"/>
    <n v="65000"/>
    <s v="Online"/>
    <n v="260000"/>
    <x v="7"/>
  </r>
  <r>
    <n v="2211"/>
    <n v="54"/>
    <x v="89"/>
    <d v="2025-03-05T00:00:00"/>
    <x v="3"/>
    <x v="1"/>
    <x v="2"/>
    <x v="0"/>
    <n v="55000"/>
    <s v="Cash"/>
    <n v="110000"/>
    <x v="5"/>
  </r>
  <r>
    <n v="2212"/>
    <n v="74"/>
    <x v="45"/>
    <d v="2025-05-26T00:00:00"/>
    <x v="9"/>
    <x v="1"/>
    <x v="2"/>
    <x v="0"/>
    <n v="45353.535353535357"/>
    <s v="card"/>
    <n v="90707.070707070714"/>
    <x v="11"/>
  </r>
  <r>
    <n v="2213"/>
    <n v="115"/>
    <x v="80"/>
    <d v="2025-09-28T00:00:00"/>
    <x v="6"/>
    <x v="2"/>
    <x v="5"/>
    <x v="0"/>
    <n v="80000"/>
    <s v="card"/>
    <n v="240000"/>
    <x v="8"/>
  </r>
  <r>
    <n v="2214"/>
    <n v="107"/>
    <x v="20"/>
    <d v="2025-04-06T00:00:00"/>
    <x v="11"/>
    <x v="2"/>
    <x v="0"/>
    <x v="0"/>
    <n v="40000"/>
    <s v="Cash"/>
    <n v="40000"/>
    <x v="7"/>
  </r>
  <r>
    <n v="2215"/>
    <n v="100"/>
    <x v="61"/>
    <d v="2025-09-10T00:00:00"/>
    <x v="7"/>
    <x v="0"/>
    <x v="2"/>
    <x v="0"/>
    <n v="65000"/>
    <s v="Unknown"/>
    <n v="130000"/>
    <x v="8"/>
  </r>
  <r>
    <n v="2216"/>
    <n v="109"/>
    <x v="106"/>
    <d v="2025-03-04T00:00:00"/>
    <x v="8"/>
    <x v="1"/>
    <x v="0"/>
    <x v="0"/>
    <n v="35000"/>
    <s v="Cash"/>
    <n v="35000"/>
    <x v="5"/>
  </r>
  <r>
    <n v="2217"/>
    <n v="14"/>
    <x v="85"/>
    <d v="2025-12-19T00:00:00"/>
    <x v="7"/>
    <x v="0"/>
    <x v="0"/>
    <x v="0"/>
    <n v="65000"/>
    <s v="Online "/>
    <n v="65000"/>
    <x v="9"/>
  </r>
  <r>
    <n v="2218"/>
    <n v="116"/>
    <x v="76"/>
    <d v="2025-10-03T00:00:00"/>
    <x v="7"/>
    <x v="0"/>
    <x v="0"/>
    <x v="0"/>
    <n v="60000"/>
    <s v="Online"/>
    <n v="60000"/>
    <x v="3"/>
  </r>
  <r>
    <n v="2219"/>
    <n v="10"/>
    <x v="84"/>
    <d v="2025-06-18T00:00:00"/>
    <x v="0"/>
    <x v="0"/>
    <x v="0"/>
    <x v="0"/>
    <n v="62000"/>
    <s v="card"/>
    <n v="62000"/>
    <x v="2"/>
  </r>
  <r>
    <n v="2220"/>
    <n v="17"/>
    <x v="40"/>
    <d v="2025-03-17T00:00:00"/>
    <x v="7"/>
    <x v="0"/>
    <x v="5"/>
    <x v="0"/>
    <n v="65000"/>
    <s v="Cash"/>
    <n v="195000"/>
    <x v="5"/>
  </r>
  <r>
    <n v="2221"/>
    <n v="68"/>
    <x v="108"/>
    <d v="2025-10-23T00:00:00"/>
    <x v="10"/>
    <x v="1"/>
    <x v="0"/>
    <x v="0"/>
    <n v="48000"/>
    <s v="Cash"/>
    <n v="48000"/>
    <x v="3"/>
  </r>
  <r>
    <n v="2222"/>
    <n v="12"/>
    <x v="42"/>
    <d v="2025-06-01T00:00:00"/>
    <x v="0"/>
    <x v="0"/>
    <x v="0"/>
    <x v="0"/>
    <n v="67000"/>
    <s v="Online "/>
    <n v="67000"/>
    <x v="2"/>
  </r>
  <r>
    <n v="2223"/>
    <n v="10"/>
    <x v="84"/>
    <d v="2025-09-11T00:00:00"/>
    <x v="3"/>
    <x v="1"/>
    <x v="0"/>
    <x v="0"/>
    <n v="55000"/>
    <s v="Cash"/>
    <n v="55000"/>
    <x v="8"/>
  </r>
  <r>
    <n v="2224"/>
    <n v="63"/>
    <x v="3"/>
    <d v="2025-06-24T00:00:00"/>
    <x v="3"/>
    <x v="1"/>
    <x v="1"/>
    <x v="0"/>
    <n v="55000"/>
    <s v="Online "/>
    <n v="220000"/>
    <x v="2"/>
  </r>
  <r>
    <n v="2225"/>
    <n v="20"/>
    <x v="48"/>
    <d v="2025-02-24T00:00:00"/>
    <x v="6"/>
    <x v="2"/>
    <x v="0"/>
    <x v="0"/>
    <n v="85000"/>
    <s v="card"/>
    <n v="85000"/>
    <x v="6"/>
  </r>
  <r>
    <n v="2226"/>
    <n v="25"/>
    <x v="94"/>
    <d v="2025-05-23T00:00:00"/>
    <x v="3"/>
    <x v="1"/>
    <x v="0"/>
    <x v="0"/>
    <n v="55000"/>
    <s v="Cash"/>
    <n v="55000"/>
    <x v="11"/>
  </r>
  <r>
    <n v="2227"/>
    <n v="60"/>
    <x v="43"/>
    <d v="2025-02-26T00:00:00"/>
    <x v="3"/>
    <x v="1"/>
    <x v="2"/>
    <x v="0"/>
    <n v="55000"/>
    <s v="card"/>
    <n v="110000"/>
    <x v="6"/>
  </r>
  <r>
    <n v="2228"/>
    <n v="85"/>
    <x v="6"/>
    <d v="2025-08-20T00:00:00"/>
    <x v="6"/>
    <x v="2"/>
    <x v="0"/>
    <x v="0"/>
    <n v="90000"/>
    <s v="card"/>
    <n v="90000"/>
    <x v="4"/>
  </r>
  <r>
    <n v="2229"/>
    <n v="28"/>
    <x v="82"/>
    <d v="2025-07-23T00:00:00"/>
    <x v="1"/>
    <x v="1"/>
    <x v="2"/>
    <x v="0"/>
    <n v="58000"/>
    <s v="Online"/>
    <n v="116000"/>
    <x v="10"/>
  </r>
  <r>
    <n v="2230"/>
    <n v="48"/>
    <x v="58"/>
    <d v="2025-01-26T00:00:00"/>
    <x v="3"/>
    <x v="1"/>
    <x v="0"/>
    <x v="0"/>
    <n v="55000"/>
    <s v="Cash"/>
    <n v="55000"/>
    <x v="0"/>
  </r>
  <r>
    <n v="2231"/>
    <n v="52"/>
    <x v="10"/>
    <d v="2025-01-11T00:00:00"/>
    <x v="1"/>
    <x v="1"/>
    <x v="2"/>
    <x v="0"/>
    <n v="58000"/>
    <s v="Online "/>
    <n v="116000"/>
    <x v="0"/>
  </r>
  <r>
    <n v="2232"/>
    <n v="32"/>
    <x v="4"/>
    <d v="2025-04-23T00:00:00"/>
    <x v="3"/>
    <x v="1"/>
    <x v="0"/>
    <x v="0"/>
    <n v="60000"/>
    <s v="card"/>
    <n v="60000"/>
    <x v="7"/>
  </r>
  <r>
    <n v="2233"/>
    <n v="69"/>
    <x v="60"/>
    <d v="2025-05-22T00:00:00"/>
    <x v="3"/>
    <x v="1"/>
    <x v="2"/>
    <x v="0"/>
    <n v="55000"/>
    <s v="Online "/>
    <n v="110000"/>
    <x v="11"/>
  </r>
  <r>
    <n v="2234"/>
    <n v="106"/>
    <x v="12"/>
    <d v="2025-05-18T00:00:00"/>
    <x v="5"/>
    <x v="1"/>
    <x v="0"/>
    <x v="0"/>
    <n v="60000"/>
    <s v="Online "/>
    <n v="60000"/>
    <x v="11"/>
  </r>
  <r>
    <n v="2235"/>
    <n v="77"/>
    <x v="49"/>
    <d v="2025-01-02T00:00:00"/>
    <x v="0"/>
    <x v="0"/>
    <x v="2"/>
    <x v="0"/>
    <n v="67000"/>
    <s v="Online "/>
    <n v="134000"/>
    <x v="0"/>
  </r>
  <r>
    <n v="2236"/>
    <n v="31"/>
    <x v="103"/>
    <d v="2025-06-11T00:00:00"/>
    <x v="1"/>
    <x v="1"/>
    <x v="0"/>
    <x v="0"/>
    <n v="58000"/>
    <s v="Cash"/>
    <n v="58000"/>
    <x v="2"/>
  </r>
  <r>
    <n v="2237"/>
    <n v="118"/>
    <x v="52"/>
    <d v="2025-08-12T00:00:00"/>
    <x v="9"/>
    <x v="1"/>
    <x v="0"/>
    <x v="0"/>
    <n v="40000"/>
    <s v="card"/>
    <n v="40000"/>
    <x v="4"/>
  </r>
  <r>
    <n v="2238"/>
    <n v="22"/>
    <x v="66"/>
    <d v="2025-05-01T00:00:00"/>
    <x v="8"/>
    <x v="1"/>
    <x v="2"/>
    <x v="0"/>
    <n v="40000"/>
    <s v="Cash"/>
    <n v="80000"/>
    <x v="11"/>
  </r>
  <r>
    <n v="2239"/>
    <n v="61"/>
    <x v="25"/>
    <d v="2025-01-24T00:00:00"/>
    <x v="3"/>
    <x v="1"/>
    <x v="1"/>
    <x v="0"/>
    <n v="55000"/>
    <s v="Cash"/>
    <n v="220000"/>
    <x v="0"/>
  </r>
  <r>
    <n v="2240"/>
    <n v="100"/>
    <x v="61"/>
    <d v="2025-02-21T00:00:00"/>
    <x v="3"/>
    <x v="1"/>
    <x v="2"/>
    <x v="0"/>
    <n v="55000"/>
    <s v="Cash"/>
    <n v="110000"/>
    <x v="6"/>
  </r>
  <r>
    <n v="2241"/>
    <n v="33"/>
    <x v="30"/>
    <d v="2025-07-09T00:00:00"/>
    <x v="8"/>
    <x v="1"/>
    <x v="2"/>
    <x v="0"/>
    <n v="30000"/>
    <s v="Online "/>
    <n v="60000"/>
    <x v="10"/>
  </r>
  <r>
    <n v="2242"/>
    <n v="43"/>
    <x v="23"/>
    <d v="2025-06-12T00:00:00"/>
    <x v="6"/>
    <x v="2"/>
    <x v="0"/>
    <x v="0"/>
    <n v="85000"/>
    <s v="Cash"/>
    <n v="85000"/>
    <x v="2"/>
  </r>
  <r>
    <n v="2243"/>
    <n v="53"/>
    <x v="28"/>
    <d v="2025-04-12T00:00:00"/>
    <x v="10"/>
    <x v="1"/>
    <x v="2"/>
    <x v="0"/>
    <n v="43000"/>
    <s v="Online"/>
    <n v="86000"/>
    <x v="7"/>
  </r>
  <r>
    <n v="2244"/>
    <n v="27"/>
    <x v="68"/>
    <d v="2025-02-15T00:00:00"/>
    <x v="5"/>
    <x v="1"/>
    <x v="5"/>
    <x v="0"/>
    <n v="55000"/>
    <s v="Cash"/>
    <n v="165000"/>
    <x v="6"/>
  </r>
  <r>
    <n v="2245"/>
    <n v="23"/>
    <x v="0"/>
    <d v="2025-12-14T00:00:00"/>
    <x v="0"/>
    <x v="0"/>
    <x v="2"/>
    <x v="0"/>
    <n v="67000"/>
    <s v="Online"/>
    <n v="134000"/>
    <x v="9"/>
  </r>
  <r>
    <n v="2246"/>
    <n v="25"/>
    <x v="94"/>
    <d v="2025-10-24T00:00:00"/>
    <x v="9"/>
    <x v="1"/>
    <x v="1"/>
    <x v="0"/>
    <n v="50000"/>
    <s v="card"/>
    <n v="200000"/>
    <x v="3"/>
  </r>
  <r>
    <n v="2247"/>
    <n v="73"/>
    <x v="14"/>
    <d v="2025-05-28T00:00:00"/>
    <x v="7"/>
    <x v="0"/>
    <x v="2"/>
    <x v="0"/>
    <n v="65000"/>
    <s v="Cash"/>
    <n v="130000"/>
    <x v="11"/>
  </r>
  <r>
    <n v="2248"/>
    <n v="118"/>
    <x v="52"/>
    <d v="2025-11-16T00:00:00"/>
    <x v="0"/>
    <x v="0"/>
    <x v="0"/>
    <x v="0"/>
    <n v="62000"/>
    <s v="Online"/>
    <n v="62000"/>
    <x v="1"/>
  </r>
  <r>
    <n v="2249"/>
    <n v="2"/>
    <x v="34"/>
    <d v="2025-01-21T00:00:00"/>
    <x v="2"/>
    <x v="2"/>
    <x v="0"/>
    <x v="0"/>
    <n v="80000"/>
    <s v="card"/>
    <n v="80000"/>
    <x v="0"/>
  </r>
  <r>
    <n v="2250"/>
    <n v="40"/>
    <x v="79"/>
    <d v="2025-08-09T00:00:00"/>
    <x v="9"/>
    <x v="1"/>
    <x v="4"/>
    <x v="1"/>
    <n v="45000"/>
    <s v="Online"/>
    <n v="-45000"/>
    <x v="4"/>
  </r>
  <r>
    <n v="2251"/>
    <n v="101"/>
    <x v="33"/>
    <d v="2025-12-07T00:00:00"/>
    <x v="6"/>
    <x v="2"/>
    <x v="0"/>
    <x v="0"/>
    <n v="85000"/>
    <s v="card"/>
    <n v="85000"/>
    <x v="9"/>
  </r>
  <r>
    <n v="2252"/>
    <n v="75"/>
    <x v="70"/>
    <d v="2025-05-29T00:00:00"/>
    <x v="3"/>
    <x v="1"/>
    <x v="2"/>
    <x v="0"/>
    <n v="55000"/>
    <s v="card"/>
    <n v="110000"/>
    <x v="11"/>
  </r>
  <r>
    <n v="2253"/>
    <n v="52"/>
    <x v="10"/>
    <d v="2025-05-14T00:00:00"/>
    <x v="3"/>
    <x v="1"/>
    <x v="0"/>
    <x v="0"/>
    <n v="60000"/>
    <s v="Cash"/>
    <n v="60000"/>
    <x v="11"/>
  </r>
  <r>
    <n v="2254"/>
    <n v="18"/>
    <x v="35"/>
    <d v="2025-04-13T00:00:00"/>
    <x v="8"/>
    <x v="1"/>
    <x v="2"/>
    <x v="0"/>
    <n v="40000"/>
    <s v="Online"/>
    <n v="80000"/>
    <x v="7"/>
  </r>
  <r>
    <n v="2255"/>
    <n v="11"/>
    <x v="19"/>
    <d v="2025-10-18T00:00:00"/>
    <x v="0"/>
    <x v="0"/>
    <x v="2"/>
    <x v="0"/>
    <n v="62000"/>
    <s v="card"/>
    <n v="124000"/>
    <x v="3"/>
  </r>
  <r>
    <n v="2256"/>
    <n v="18"/>
    <x v="35"/>
    <d v="2025-08-15T00:00:00"/>
    <x v="6"/>
    <x v="2"/>
    <x v="3"/>
    <x v="1"/>
    <n v="85000"/>
    <s v="card"/>
    <n v="-170000"/>
    <x v="4"/>
  </r>
  <r>
    <n v="2257"/>
    <n v="60"/>
    <x v="43"/>
    <d v="2025-07-30T00:00:00"/>
    <x v="11"/>
    <x v="2"/>
    <x v="2"/>
    <x v="0"/>
    <n v="35000"/>
    <s v="Cash"/>
    <n v="70000"/>
    <x v="10"/>
  </r>
  <r>
    <n v="2258"/>
    <n v="79"/>
    <x v="37"/>
    <d v="2025-05-05T00:00:00"/>
    <x v="0"/>
    <x v="0"/>
    <x v="0"/>
    <x v="0"/>
    <n v="67000"/>
    <s v="card"/>
    <n v="67000"/>
    <x v="11"/>
  </r>
  <r>
    <n v="2259"/>
    <n v="97"/>
    <x v="32"/>
    <d v="2025-03-06T00:00:00"/>
    <x v="11"/>
    <x v="2"/>
    <x v="2"/>
    <x v="0"/>
    <n v="45000"/>
    <s v="card"/>
    <n v="90000"/>
    <x v="5"/>
  </r>
  <r>
    <n v="2260"/>
    <n v="8"/>
    <x v="1"/>
    <d v="2025-11-29T00:00:00"/>
    <x v="0"/>
    <x v="0"/>
    <x v="2"/>
    <x v="0"/>
    <n v="57000"/>
    <s v="Online "/>
    <n v="114000"/>
    <x v="1"/>
  </r>
  <r>
    <n v="2261"/>
    <n v="43"/>
    <x v="23"/>
    <d v="2025-03-04T00:00:00"/>
    <x v="9"/>
    <x v="1"/>
    <x v="5"/>
    <x v="0"/>
    <n v="45000"/>
    <s v="Cash"/>
    <n v="135000"/>
    <x v="5"/>
  </r>
  <r>
    <n v="2262"/>
    <n v="95"/>
    <x v="11"/>
    <d v="2025-03-11T00:00:00"/>
    <x v="2"/>
    <x v="2"/>
    <x v="0"/>
    <x v="0"/>
    <n v="75000"/>
    <s v="card"/>
    <n v="75000"/>
    <x v="5"/>
  </r>
  <r>
    <n v="2263"/>
    <n v="80"/>
    <x v="102"/>
    <d v="2025-04-13T00:00:00"/>
    <x v="5"/>
    <x v="1"/>
    <x v="0"/>
    <x v="0"/>
    <n v="60000"/>
    <s v="Cash"/>
    <n v="60000"/>
    <x v="7"/>
  </r>
  <r>
    <n v="2264"/>
    <n v="13"/>
    <x v="38"/>
    <d v="2025-04-15T00:00:00"/>
    <x v="10"/>
    <x v="1"/>
    <x v="0"/>
    <x v="0"/>
    <n v="53000"/>
    <s v="card"/>
    <n v="53000"/>
    <x v="7"/>
  </r>
  <r>
    <n v="2265"/>
    <n v="119"/>
    <x v="56"/>
    <d v="2025-03-06T00:00:00"/>
    <x v="3"/>
    <x v="1"/>
    <x v="0"/>
    <x v="0"/>
    <n v="55000"/>
    <s v="Cash"/>
    <n v="55000"/>
    <x v="5"/>
  </r>
  <r>
    <n v="2266"/>
    <n v="88"/>
    <x v="29"/>
    <d v="2025-12-03T00:00:00"/>
    <x v="2"/>
    <x v="2"/>
    <x v="2"/>
    <x v="0"/>
    <n v="75000"/>
    <s v="Cash"/>
    <n v="150000"/>
    <x v="9"/>
  </r>
  <r>
    <n v="2267"/>
    <n v="19"/>
    <x v="47"/>
    <d v="2025-12-03T00:00:00"/>
    <x v="5"/>
    <x v="1"/>
    <x v="2"/>
    <x v="0"/>
    <n v="65000"/>
    <s v="card"/>
    <n v="130000"/>
    <x v="9"/>
  </r>
  <r>
    <n v="2268"/>
    <n v="38"/>
    <x v="31"/>
    <d v="2025-08-12T00:00:00"/>
    <x v="0"/>
    <x v="0"/>
    <x v="0"/>
    <x v="0"/>
    <n v="62265.486725663715"/>
    <s v="Online "/>
    <n v="62265.486725663715"/>
    <x v="4"/>
  </r>
  <r>
    <n v="2269"/>
    <n v="103"/>
    <x v="91"/>
    <d v="2025-08-26T00:00:00"/>
    <x v="3"/>
    <x v="1"/>
    <x v="0"/>
    <x v="0"/>
    <n v="50000"/>
    <s v="card"/>
    <n v="50000"/>
    <x v="4"/>
  </r>
  <r>
    <n v="2270"/>
    <n v="73"/>
    <x v="14"/>
    <d v="2025-06-01T00:00:00"/>
    <x v="11"/>
    <x v="2"/>
    <x v="0"/>
    <x v="0"/>
    <n v="45000"/>
    <s v="Online"/>
    <n v="45000"/>
    <x v="2"/>
  </r>
  <r>
    <n v="2271"/>
    <n v="118"/>
    <x v="52"/>
    <d v="2025-08-28T00:00:00"/>
    <x v="1"/>
    <x v="1"/>
    <x v="0"/>
    <x v="0"/>
    <n v="53000"/>
    <s v="Cash"/>
    <n v="53000"/>
    <x v="4"/>
  </r>
  <r>
    <n v="2272"/>
    <n v="110"/>
    <x v="83"/>
    <d v="2025-04-18T00:00:00"/>
    <x v="6"/>
    <x v="2"/>
    <x v="2"/>
    <x v="0"/>
    <n v="80000"/>
    <s v="Online"/>
    <n v="160000"/>
    <x v="7"/>
  </r>
  <r>
    <n v="2273"/>
    <n v="84"/>
    <x v="75"/>
    <d v="2025-10-16T00:00:00"/>
    <x v="5"/>
    <x v="1"/>
    <x v="5"/>
    <x v="0"/>
    <n v="60000"/>
    <s v="card"/>
    <n v="180000"/>
    <x v="3"/>
  </r>
  <r>
    <n v="2274"/>
    <n v="9"/>
    <x v="88"/>
    <d v="2025-05-09T00:00:00"/>
    <x v="8"/>
    <x v="1"/>
    <x v="2"/>
    <x v="0"/>
    <n v="35000"/>
    <s v="Cash"/>
    <n v="70000"/>
    <x v="11"/>
  </r>
  <r>
    <n v="2275"/>
    <n v="90"/>
    <x v="46"/>
    <d v="2025-10-29T00:00:00"/>
    <x v="7"/>
    <x v="0"/>
    <x v="2"/>
    <x v="0"/>
    <n v="70000"/>
    <s v="card"/>
    <n v="140000"/>
    <x v="3"/>
  </r>
  <r>
    <n v="2276"/>
    <n v="4"/>
    <x v="18"/>
    <d v="2025-03-23T00:00:00"/>
    <x v="5"/>
    <x v="1"/>
    <x v="5"/>
    <x v="0"/>
    <n v="55000"/>
    <s v="Online"/>
    <n v="165000"/>
    <x v="5"/>
  </r>
  <r>
    <n v="2277"/>
    <n v="98"/>
    <x v="62"/>
    <d v="2025-05-02T00:00:00"/>
    <x v="10"/>
    <x v="1"/>
    <x v="5"/>
    <x v="0"/>
    <n v="48053.763440860217"/>
    <s v="card"/>
    <n v="144161.29032258067"/>
    <x v="11"/>
  </r>
  <r>
    <n v="2278"/>
    <n v="79"/>
    <x v="37"/>
    <d v="2025-02-28T00:00:00"/>
    <x v="0"/>
    <x v="0"/>
    <x v="2"/>
    <x v="0"/>
    <n v="62000"/>
    <s v="Cash"/>
    <n v="124000"/>
    <x v="6"/>
  </r>
  <r>
    <n v="2279"/>
    <n v="42"/>
    <x v="14"/>
    <d v="2025-12-24T00:00:00"/>
    <x v="3"/>
    <x v="1"/>
    <x v="0"/>
    <x v="0"/>
    <n v="60000"/>
    <s v="Cash"/>
    <n v="60000"/>
    <x v="9"/>
  </r>
  <r>
    <n v="2280"/>
    <n v="33"/>
    <x v="30"/>
    <d v="2025-08-13T00:00:00"/>
    <x v="2"/>
    <x v="2"/>
    <x v="0"/>
    <x v="0"/>
    <n v="75000"/>
    <s v="card"/>
    <n v="75000"/>
    <x v="4"/>
  </r>
  <r>
    <n v="2281"/>
    <n v="105"/>
    <x v="104"/>
    <d v="2025-04-09T00:00:00"/>
    <x v="6"/>
    <x v="2"/>
    <x v="5"/>
    <x v="0"/>
    <n v="80000"/>
    <s v="Cash"/>
    <n v="240000"/>
    <x v="7"/>
  </r>
  <r>
    <n v="2282"/>
    <n v="115"/>
    <x v="80"/>
    <d v="2025-07-04T00:00:00"/>
    <x v="9"/>
    <x v="1"/>
    <x v="0"/>
    <x v="0"/>
    <n v="45000"/>
    <s v="Cash"/>
    <n v="45000"/>
    <x v="10"/>
  </r>
  <r>
    <n v="2283"/>
    <n v="107"/>
    <x v="20"/>
    <d v="2025-10-20T00:00:00"/>
    <x v="10"/>
    <x v="1"/>
    <x v="0"/>
    <x v="0"/>
    <n v="48053.763440860217"/>
    <s v="card"/>
    <n v="48053.763440860217"/>
    <x v="3"/>
  </r>
  <r>
    <n v="2284"/>
    <n v="57"/>
    <x v="17"/>
    <d v="2025-11-17T00:00:00"/>
    <x v="11"/>
    <x v="2"/>
    <x v="2"/>
    <x v="0"/>
    <n v="35000"/>
    <s v="card"/>
    <n v="70000"/>
    <x v="1"/>
  </r>
  <r>
    <n v="2285"/>
    <n v="16"/>
    <x v="50"/>
    <d v="2025-04-29T00:00:00"/>
    <x v="2"/>
    <x v="2"/>
    <x v="0"/>
    <x v="0"/>
    <n v="75000"/>
    <s v="card"/>
    <n v="75000"/>
    <x v="7"/>
  </r>
  <r>
    <n v="2286"/>
    <n v="91"/>
    <x v="74"/>
    <d v="2025-04-02T00:00:00"/>
    <x v="7"/>
    <x v="0"/>
    <x v="0"/>
    <x v="0"/>
    <n v="70000"/>
    <s v="Cash"/>
    <n v="70000"/>
    <x v="7"/>
  </r>
  <r>
    <n v="2287"/>
    <n v="120"/>
    <x v="71"/>
    <d v="2025-09-14T00:00:00"/>
    <x v="4"/>
    <x v="2"/>
    <x v="2"/>
    <x v="0"/>
    <n v="45000"/>
    <s v="Cash"/>
    <n v="90000"/>
    <x v="8"/>
  </r>
  <r>
    <n v="2288"/>
    <n v="61"/>
    <x v="25"/>
    <d v="2025-12-01T00:00:00"/>
    <x v="0"/>
    <x v="0"/>
    <x v="0"/>
    <x v="0"/>
    <n v="62000"/>
    <s v="Online"/>
    <n v="62000"/>
    <x v="9"/>
  </r>
  <r>
    <n v="2289"/>
    <n v="114"/>
    <x v="63"/>
    <d v="2025-03-13T00:00:00"/>
    <x v="9"/>
    <x v="1"/>
    <x v="1"/>
    <x v="0"/>
    <n v="40000"/>
    <s v="card"/>
    <n v="160000"/>
    <x v="5"/>
  </r>
  <r>
    <n v="2290"/>
    <n v="104"/>
    <x v="76"/>
    <d v="2025-11-09T00:00:00"/>
    <x v="4"/>
    <x v="2"/>
    <x v="0"/>
    <x v="0"/>
    <n v="45000"/>
    <s v="Cash"/>
    <n v="45000"/>
    <x v="1"/>
  </r>
  <r>
    <n v="2291"/>
    <n v="62"/>
    <x v="2"/>
    <d v="2025-05-19T00:00:00"/>
    <x v="1"/>
    <x v="1"/>
    <x v="0"/>
    <x v="0"/>
    <n v="53000"/>
    <s v="Online "/>
    <n v="53000"/>
    <x v="11"/>
  </r>
  <r>
    <n v="2292"/>
    <n v="45"/>
    <x v="55"/>
    <d v="2025-09-02T00:00:00"/>
    <x v="11"/>
    <x v="2"/>
    <x v="0"/>
    <x v="0"/>
    <n v="35000"/>
    <s v="Cash"/>
    <n v="35000"/>
    <x v="8"/>
  </r>
  <r>
    <n v="2293"/>
    <n v="78"/>
    <x v="4"/>
    <d v="2025-12-16T00:00:00"/>
    <x v="11"/>
    <x v="2"/>
    <x v="2"/>
    <x v="0"/>
    <n v="40000"/>
    <s v="card"/>
    <n v="80000"/>
    <x v="9"/>
  </r>
  <r>
    <n v="2294"/>
    <n v="90"/>
    <x v="46"/>
    <d v="2025-09-08T00:00:00"/>
    <x v="1"/>
    <x v="1"/>
    <x v="0"/>
    <x v="0"/>
    <n v="58000"/>
    <s v="card"/>
    <n v="58000"/>
    <x v="8"/>
  </r>
  <r>
    <n v="2295"/>
    <n v="115"/>
    <x v="80"/>
    <d v="2025-07-08T00:00:00"/>
    <x v="4"/>
    <x v="2"/>
    <x v="0"/>
    <x v="0"/>
    <n v="50000"/>
    <s v="Cash"/>
    <n v="50000"/>
    <x v="10"/>
  </r>
  <r>
    <n v="2296"/>
    <n v="12"/>
    <x v="42"/>
    <d v="2025-06-01T00:00:00"/>
    <x v="4"/>
    <x v="2"/>
    <x v="5"/>
    <x v="0"/>
    <n v="55000"/>
    <s v="card"/>
    <n v="165000"/>
    <x v="2"/>
  </r>
  <r>
    <n v="2297"/>
    <n v="112"/>
    <x v="16"/>
    <d v="2025-05-08T00:00:00"/>
    <x v="5"/>
    <x v="1"/>
    <x v="0"/>
    <x v="0"/>
    <n v="60000"/>
    <s v="Online"/>
    <n v="60000"/>
    <x v="11"/>
  </r>
  <r>
    <n v="2298"/>
    <n v="6"/>
    <x v="27"/>
    <d v="2025-06-29T00:00:00"/>
    <x v="7"/>
    <x v="0"/>
    <x v="0"/>
    <x v="0"/>
    <n v="65000"/>
    <s v="card"/>
    <n v="65000"/>
    <x v="2"/>
  </r>
  <r>
    <n v="2299"/>
    <n v="85"/>
    <x v="6"/>
    <d v="2025-12-03T00:00:00"/>
    <x v="3"/>
    <x v="1"/>
    <x v="0"/>
    <x v="0"/>
    <n v="60000"/>
    <s v="Online "/>
    <n v="60000"/>
    <x v="9"/>
  </r>
  <r>
    <n v="2300"/>
    <n v="95"/>
    <x v="11"/>
    <d v="2025-04-23T00:00:00"/>
    <x v="7"/>
    <x v="0"/>
    <x v="0"/>
    <x v="0"/>
    <n v="70000"/>
    <s v="Cash"/>
    <n v="70000"/>
    <x v="7"/>
  </r>
  <r>
    <n v="2301"/>
    <n v="115"/>
    <x v="80"/>
    <d v="2025-06-13T00:00:00"/>
    <x v="0"/>
    <x v="0"/>
    <x v="0"/>
    <x v="0"/>
    <n v="62000"/>
    <s v="Online"/>
    <n v="62000"/>
    <x v="2"/>
  </r>
  <r>
    <n v="2302"/>
    <n v="11"/>
    <x v="19"/>
    <d v="2025-03-12T00:00:00"/>
    <x v="10"/>
    <x v="1"/>
    <x v="0"/>
    <x v="0"/>
    <n v="53000"/>
    <s v="Online"/>
    <n v="53000"/>
    <x v="5"/>
  </r>
  <r>
    <n v="2303"/>
    <n v="93"/>
    <x v="78"/>
    <d v="2025-01-19T00:00:00"/>
    <x v="1"/>
    <x v="1"/>
    <x v="5"/>
    <x v="0"/>
    <n v="58000"/>
    <s v="card"/>
    <n v="174000"/>
    <x v="0"/>
  </r>
  <r>
    <n v="2304"/>
    <n v="108"/>
    <x v="107"/>
    <d v="2025-05-19T00:00:00"/>
    <x v="9"/>
    <x v="1"/>
    <x v="0"/>
    <x v="0"/>
    <n v="45353.535353535357"/>
    <s v="Cash"/>
    <n v="45353.535353535357"/>
    <x v="11"/>
  </r>
  <r>
    <n v="2305"/>
    <n v="50"/>
    <x v="24"/>
    <d v="2025-10-01T00:00:00"/>
    <x v="2"/>
    <x v="2"/>
    <x v="2"/>
    <x v="0"/>
    <n v="70000"/>
    <s v="card"/>
    <n v="140000"/>
    <x v="3"/>
  </r>
  <r>
    <n v="2306"/>
    <n v="24"/>
    <x v="13"/>
    <d v="2025-08-09T00:00:00"/>
    <x v="8"/>
    <x v="1"/>
    <x v="5"/>
    <x v="0"/>
    <n v="35000"/>
    <s v="card"/>
    <n v="105000"/>
    <x v="4"/>
  </r>
  <r>
    <n v="2307"/>
    <n v="117"/>
    <x v="109"/>
    <d v="2025-06-22T00:00:00"/>
    <x v="4"/>
    <x v="2"/>
    <x v="1"/>
    <x v="0"/>
    <n v="45000"/>
    <s v="card"/>
    <n v="180000"/>
    <x v="2"/>
  </r>
  <r>
    <n v="2308"/>
    <n v="101"/>
    <x v="33"/>
    <d v="2025-01-30T00:00:00"/>
    <x v="5"/>
    <x v="1"/>
    <x v="5"/>
    <x v="0"/>
    <n v="60000"/>
    <s v="card"/>
    <n v="180000"/>
    <x v="0"/>
  </r>
  <r>
    <n v="2309"/>
    <n v="74"/>
    <x v="45"/>
    <d v="2025-10-18T00:00:00"/>
    <x v="5"/>
    <x v="1"/>
    <x v="0"/>
    <x v="0"/>
    <n v="60000"/>
    <s v="Cash"/>
    <n v="60000"/>
    <x v="3"/>
  </r>
  <r>
    <n v="2310"/>
    <n v="117"/>
    <x v="109"/>
    <d v="2025-05-24T00:00:00"/>
    <x v="9"/>
    <x v="1"/>
    <x v="0"/>
    <x v="0"/>
    <n v="45000"/>
    <s v="Online"/>
    <n v="45000"/>
    <x v="11"/>
  </r>
  <r>
    <n v="2311"/>
    <n v="74"/>
    <x v="45"/>
    <d v="2025-01-20T00:00:00"/>
    <x v="11"/>
    <x v="2"/>
    <x v="0"/>
    <x v="0"/>
    <n v="40000"/>
    <s v="Online "/>
    <n v="40000"/>
    <x v="0"/>
  </r>
  <r>
    <n v="2312"/>
    <n v="104"/>
    <x v="76"/>
    <d v="2025-07-01T00:00:00"/>
    <x v="4"/>
    <x v="2"/>
    <x v="2"/>
    <x v="0"/>
    <n v="50000"/>
    <s v="card"/>
    <n v="100000"/>
    <x v="10"/>
  </r>
  <r>
    <n v="2313"/>
    <n v="60"/>
    <x v="43"/>
    <d v="2025-08-14T00:00:00"/>
    <x v="9"/>
    <x v="1"/>
    <x v="0"/>
    <x v="0"/>
    <n v="45000"/>
    <s v="card"/>
    <n v="45000"/>
    <x v="4"/>
  </r>
  <r>
    <n v="2314"/>
    <n v="8"/>
    <x v="1"/>
    <d v="2025-10-02T00:00:00"/>
    <x v="4"/>
    <x v="2"/>
    <x v="0"/>
    <x v="0"/>
    <n v="50000"/>
    <s v="Online"/>
    <n v="50000"/>
    <x v="3"/>
  </r>
  <r>
    <n v="2315"/>
    <n v="34"/>
    <x v="100"/>
    <d v="2025-03-07T00:00:00"/>
    <x v="2"/>
    <x v="2"/>
    <x v="0"/>
    <x v="0"/>
    <n v="80000"/>
    <s v="Cash"/>
    <n v="80000"/>
    <x v="5"/>
  </r>
  <r>
    <n v="2316"/>
    <n v="15"/>
    <x v="8"/>
    <d v="2025-01-20T00:00:00"/>
    <x v="8"/>
    <x v="1"/>
    <x v="2"/>
    <x v="0"/>
    <n v="35000"/>
    <s v="Unknown"/>
    <n v="70000"/>
    <x v="0"/>
  </r>
  <r>
    <n v="2317"/>
    <n v="55"/>
    <x v="39"/>
    <d v="2025-05-13T00:00:00"/>
    <x v="5"/>
    <x v="1"/>
    <x v="5"/>
    <x v="0"/>
    <n v="60000"/>
    <s v="Cash"/>
    <n v="180000"/>
    <x v="11"/>
  </r>
  <r>
    <n v="2318"/>
    <n v="31"/>
    <x v="103"/>
    <d v="2025-02-25T00:00:00"/>
    <x v="7"/>
    <x v="0"/>
    <x v="0"/>
    <x v="0"/>
    <n v="70000"/>
    <s v="Cash"/>
    <n v="70000"/>
    <x v="6"/>
  </r>
  <r>
    <n v="2319"/>
    <n v="42"/>
    <x v="14"/>
    <d v="2025-10-07T00:00:00"/>
    <x v="4"/>
    <x v="2"/>
    <x v="0"/>
    <x v="0"/>
    <n v="50000"/>
    <s v="card"/>
    <n v="50000"/>
    <x v="3"/>
  </r>
  <r>
    <n v="2320"/>
    <n v="42"/>
    <x v="14"/>
    <d v="2025-04-07T00:00:00"/>
    <x v="4"/>
    <x v="2"/>
    <x v="5"/>
    <x v="0"/>
    <n v="50000"/>
    <s v="Cash"/>
    <n v="150000"/>
    <x v="7"/>
  </r>
  <r>
    <n v="2321"/>
    <n v="4"/>
    <x v="18"/>
    <d v="2025-08-07T00:00:00"/>
    <x v="1"/>
    <x v="1"/>
    <x v="4"/>
    <x v="1"/>
    <n v="63000"/>
    <s v="Cash"/>
    <n v="-63000"/>
    <x v="4"/>
  </r>
  <r>
    <n v="2322"/>
    <n v="28"/>
    <x v="82"/>
    <d v="2025-09-19T00:00:00"/>
    <x v="7"/>
    <x v="0"/>
    <x v="0"/>
    <x v="0"/>
    <n v="65000"/>
    <s v="Online "/>
    <n v="65000"/>
    <x v="8"/>
  </r>
  <r>
    <n v="2323"/>
    <n v="93"/>
    <x v="78"/>
    <d v="2025-07-15T00:00:00"/>
    <x v="1"/>
    <x v="1"/>
    <x v="0"/>
    <x v="0"/>
    <n v="58000"/>
    <s v="Cash"/>
    <n v="58000"/>
    <x v="10"/>
  </r>
  <r>
    <n v="2324"/>
    <n v="94"/>
    <x v="73"/>
    <d v="2025-09-28T00:00:00"/>
    <x v="3"/>
    <x v="1"/>
    <x v="5"/>
    <x v="0"/>
    <n v="60000"/>
    <s v="Online"/>
    <n v="180000"/>
    <x v="8"/>
  </r>
  <r>
    <n v="2325"/>
    <n v="35"/>
    <x v="81"/>
    <d v="2025-10-22T00:00:00"/>
    <x v="10"/>
    <x v="1"/>
    <x v="0"/>
    <x v="0"/>
    <n v="48000"/>
    <s v="card"/>
    <n v="48000"/>
    <x v="3"/>
  </r>
  <r>
    <n v="2326"/>
    <n v="41"/>
    <x v="86"/>
    <d v="2025-03-01T00:00:00"/>
    <x v="5"/>
    <x v="1"/>
    <x v="2"/>
    <x v="0"/>
    <n v="60000"/>
    <s v="Online"/>
    <n v="120000"/>
    <x v="5"/>
  </r>
  <r>
    <n v="2327"/>
    <n v="72"/>
    <x v="51"/>
    <d v="2025-09-02T00:00:00"/>
    <x v="6"/>
    <x v="2"/>
    <x v="2"/>
    <x v="0"/>
    <n v="85000"/>
    <s v="Cash"/>
    <n v="170000"/>
    <x v="8"/>
  </r>
  <r>
    <n v="2328"/>
    <n v="73"/>
    <x v="14"/>
    <d v="2025-03-10T00:00:00"/>
    <x v="1"/>
    <x v="1"/>
    <x v="5"/>
    <x v="0"/>
    <n v="63000"/>
    <s v="Cash"/>
    <n v="189000"/>
    <x v="5"/>
  </r>
  <r>
    <n v="2329"/>
    <n v="34"/>
    <x v="100"/>
    <d v="2025-06-24T00:00:00"/>
    <x v="0"/>
    <x v="0"/>
    <x v="0"/>
    <x v="0"/>
    <n v="62000"/>
    <s v="Cash"/>
    <n v="62000"/>
    <x v="2"/>
  </r>
  <r>
    <n v="2330"/>
    <n v="64"/>
    <x v="50"/>
    <d v="2025-12-04T00:00:00"/>
    <x v="8"/>
    <x v="1"/>
    <x v="0"/>
    <x v="0"/>
    <n v="35000"/>
    <s v="Online"/>
    <n v="35000"/>
    <x v="9"/>
  </r>
  <r>
    <n v="2331"/>
    <n v="98"/>
    <x v="62"/>
    <d v="2025-12-31T00:00:00"/>
    <x v="6"/>
    <x v="2"/>
    <x v="0"/>
    <x v="0"/>
    <n v="80000"/>
    <s v="Online "/>
    <n v="80000"/>
    <x v="9"/>
  </r>
  <r>
    <n v="2332"/>
    <n v="22"/>
    <x v="66"/>
    <d v="2025-09-03T00:00:00"/>
    <x v="3"/>
    <x v="1"/>
    <x v="2"/>
    <x v="0"/>
    <n v="55000"/>
    <s v="Online "/>
    <n v="110000"/>
    <x v="8"/>
  </r>
  <r>
    <n v="2333"/>
    <n v="72"/>
    <x v="51"/>
    <d v="2025-12-31T00:00:00"/>
    <x v="10"/>
    <x v="1"/>
    <x v="0"/>
    <x v="0"/>
    <n v="48000"/>
    <s v="Online "/>
    <n v="48000"/>
    <x v="9"/>
  </r>
  <r>
    <n v="2334"/>
    <n v="6"/>
    <x v="27"/>
    <d v="2025-01-07T00:00:00"/>
    <x v="3"/>
    <x v="1"/>
    <x v="5"/>
    <x v="0"/>
    <n v="55000"/>
    <s v="Online"/>
    <n v="165000"/>
    <x v="0"/>
  </r>
  <r>
    <n v="2335"/>
    <n v="97"/>
    <x v="32"/>
    <d v="2025-12-25T00:00:00"/>
    <x v="2"/>
    <x v="2"/>
    <x v="5"/>
    <x v="0"/>
    <n v="80000"/>
    <s v="Cash"/>
    <n v="240000"/>
    <x v="9"/>
  </r>
  <r>
    <n v="2336"/>
    <n v="115"/>
    <x v="80"/>
    <d v="2025-10-31T00:00:00"/>
    <x v="9"/>
    <x v="1"/>
    <x v="5"/>
    <x v="0"/>
    <n v="45000"/>
    <s v="card"/>
    <n v="135000"/>
    <x v="3"/>
  </r>
  <r>
    <n v="2337"/>
    <n v="23"/>
    <x v="0"/>
    <d v="2025-10-29T00:00:00"/>
    <x v="6"/>
    <x v="2"/>
    <x v="0"/>
    <x v="0"/>
    <n v="85000"/>
    <s v="card"/>
    <n v="85000"/>
    <x v="3"/>
  </r>
  <r>
    <n v="2338"/>
    <n v="73"/>
    <x v="14"/>
    <d v="2025-09-26T00:00:00"/>
    <x v="6"/>
    <x v="2"/>
    <x v="0"/>
    <x v="0"/>
    <n v="85000"/>
    <s v="Unknown"/>
    <n v="85000"/>
    <x v="8"/>
  </r>
  <r>
    <n v="2339"/>
    <n v="60"/>
    <x v="43"/>
    <d v="2025-01-22T00:00:00"/>
    <x v="1"/>
    <x v="1"/>
    <x v="2"/>
    <x v="0"/>
    <n v="63000"/>
    <s v="card"/>
    <n v="126000"/>
    <x v="0"/>
  </r>
  <r>
    <n v="2340"/>
    <n v="45"/>
    <x v="55"/>
    <d v="2025-03-26T00:00:00"/>
    <x v="0"/>
    <x v="0"/>
    <x v="0"/>
    <x v="0"/>
    <n v="62000"/>
    <s v="Cash"/>
    <n v="62000"/>
    <x v="5"/>
  </r>
  <r>
    <n v="2341"/>
    <n v="37"/>
    <x v="22"/>
    <d v="2025-11-07T00:00:00"/>
    <x v="0"/>
    <x v="0"/>
    <x v="5"/>
    <x v="0"/>
    <n v="62000"/>
    <s v="Cash"/>
    <n v="186000"/>
    <x v="1"/>
  </r>
  <r>
    <n v="2342"/>
    <n v="71"/>
    <x v="96"/>
    <d v="2025-03-28T00:00:00"/>
    <x v="6"/>
    <x v="2"/>
    <x v="0"/>
    <x v="0"/>
    <n v="90000"/>
    <s v="card"/>
    <n v="90000"/>
    <x v="5"/>
  </r>
  <r>
    <n v="2343"/>
    <n v="107"/>
    <x v="20"/>
    <d v="2025-09-07T00:00:00"/>
    <x v="9"/>
    <x v="1"/>
    <x v="2"/>
    <x v="0"/>
    <n v="45000"/>
    <s v="Cash"/>
    <n v="90000"/>
    <x v="8"/>
  </r>
  <r>
    <n v="2344"/>
    <n v="17"/>
    <x v="40"/>
    <d v="2025-06-01T00:00:00"/>
    <x v="2"/>
    <x v="2"/>
    <x v="2"/>
    <x v="0"/>
    <n v="75000"/>
    <s v="card"/>
    <n v="150000"/>
    <x v="2"/>
  </r>
  <r>
    <n v="2345"/>
    <n v="111"/>
    <x v="6"/>
    <d v="2025-05-23T00:00:00"/>
    <x v="1"/>
    <x v="1"/>
    <x v="0"/>
    <x v="0"/>
    <n v="53000"/>
    <s v="Online "/>
    <n v="53000"/>
    <x v="11"/>
  </r>
  <r>
    <n v="2346"/>
    <n v="10"/>
    <x v="84"/>
    <d v="2025-03-22T00:00:00"/>
    <x v="7"/>
    <x v="0"/>
    <x v="0"/>
    <x v="0"/>
    <n v="65000"/>
    <s v="Online "/>
    <n v="65000"/>
    <x v="5"/>
  </r>
  <r>
    <n v="2347"/>
    <n v="89"/>
    <x v="7"/>
    <d v="2025-01-20T00:00:00"/>
    <x v="7"/>
    <x v="0"/>
    <x v="5"/>
    <x v="0"/>
    <n v="70000"/>
    <s v="Cash"/>
    <n v="210000"/>
    <x v="0"/>
  </r>
  <r>
    <n v="2348"/>
    <n v="85"/>
    <x v="6"/>
    <d v="2025-01-19T00:00:00"/>
    <x v="8"/>
    <x v="1"/>
    <x v="0"/>
    <x v="0"/>
    <n v="35000"/>
    <s v="Cash"/>
    <n v="35000"/>
    <x v="0"/>
  </r>
  <r>
    <n v="2350"/>
    <n v="17"/>
    <x v="40"/>
    <d v="2025-11-22T00:00:00"/>
    <x v="10"/>
    <x v="1"/>
    <x v="0"/>
    <x v="0"/>
    <n v="48000"/>
    <s v="Cash"/>
    <n v="48000"/>
    <x v="1"/>
  </r>
  <r>
    <n v="2351"/>
    <n v="79"/>
    <x v="37"/>
    <d v="2025-12-30T00:00:00"/>
    <x v="10"/>
    <x v="1"/>
    <x v="2"/>
    <x v="0"/>
    <n v="48000"/>
    <s v="Online "/>
    <n v="96000"/>
    <x v="9"/>
  </r>
  <r>
    <n v="2352"/>
    <n v="75"/>
    <x v="70"/>
    <d v="2025-11-23T00:00:00"/>
    <x v="10"/>
    <x v="1"/>
    <x v="2"/>
    <x v="0"/>
    <n v="48000"/>
    <s v="Online"/>
    <n v="96000"/>
    <x v="1"/>
  </r>
  <r>
    <n v="2353"/>
    <n v="86"/>
    <x v="99"/>
    <d v="2025-08-09T00:00:00"/>
    <x v="2"/>
    <x v="2"/>
    <x v="2"/>
    <x v="0"/>
    <n v="75000"/>
    <s v="Online"/>
    <n v="150000"/>
    <x v="4"/>
  </r>
  <r>
    <n v="2354"/>
    <n v="13"/>
    <x v="38"/>
    <d v="2025-02-27T00:00:00"/>
    <x v="10"/>
    <x v="1"/>
    <x v="2"/>
    <x v="0"/>
    <n v="48000"/>
    <s v="card"/>
    <n v="96000"/>
    <x v="6"/>
  </r>
  <r>
    <n v="2355"/>
    <n v="23"/>
    <x v="0"/>
    <d v="2025-06-13T00:00:00"/>
    <x v="2"/>
    <x v="2"/>
    <x v="0"/>
    <x v="0"/>
    <n v="75000"/>
    <s v="card"/>
    <n v="75000"/>
    <x v="2"/>
  </r>
  <r>
    <n v="2356"/>
    <n v="108"/>
    <x v="107"/>
    <d v="2025-11-04T00:00:00"/>
    <x v="2"/>
    <x v="2"/>
    <x v="4"/>
    <x v="1"/>
    <n v="75000"/>
    <s v="card"/>
    <n v="-75000"/>
    <x v="1"/>
  </r>
  <r>
    <n v="2357"/>
    <n v="8"/>
    <x v="1"/>
    <d v="2025-06-15T00:00:00"/>
    <x v="6"/>
    <x v="2"/>
    <x v="0"/>
    <x v="0"/>
    <n v="85000"/>
    <s v="card"/>
    <n v="85000"/>
    <x v="2"/>
  </r>
  <r>
    <n v="2358"/>
    <n v="34"/>
    <x v="100"/>
    <d v="2025-05-18T00:00:00"/>
    <x v="9"/>
    <x v="1"/>
    <x v="0"/>
    <x v="0"/>
    <n v="40000"/>
    <s v="card"/>
    <n v="40000"/>
    <x v="11"/>
  </r>
  <r>
    <n v="2359"/>
    <n v="29"/>
    <x v="19"/>
    <d v="2025-03-27T00:00:00"/>
    <x v="4"/>
    <x v="2"/>
    <x v="1"/>
    <x v="0"/>
    <n v="45000"/>
    <s v="Cash"/>
    <n v="180000"/>
    <x v="5"/>
  </r>
  <r>
    <n v="2360"/>
    <n v="78"/>
    <x v="4"/>
    <d v="2025-01-11T00:00:00"/>
    <x v="6"/>
    <x v="2"/>
    <x v="1"/>
    <x v="0"/>
    <n v="85000"/>
    <s v="Online"/>
    <n v="340000"/>
    <x v="0"/>
  </r>
  <r>
    <n v="2361"/>
    <n v="99"/>
    <x v="87"/>
    <d v="2025-02-02T00:00:00"/>
    <x v="6"/>
    <x v="2"/>
    <x v="2"/>
    <x v="0"/>
    <n v="85000"/>
    <s v="Cash"/>
    <n v="170000"/>
    <x v="6"/>
  </r>
  <r>
    <n v="2362"/>
    <n v="108"/>
    <x v="107"/>
    <d v="2025-07-22T00:00:00"/>
    <x v="6"/>
    <x v="2"/>
    <x v="0"/>
    <x v="0"/>
    <n v="85000"/>
    <s v="Unknown"/>
    <n v="85000"/>
    <x v="10"/>
  </r>
  <r>
    <n v="2363"/>
    <n v="28"/>
    <x v="82"/>
    <d v="2025-05-08T00:00:00"/>
    <x v="6"/>
    <x v="2"/>
    <x v="1"/>
    <x v="0"/>
    <n v="80000"/>
    <s v="Cash"/>
    <n v="320000"/>
    <x v="11"/>
  </r>
  <r>
    <n v="2364"/>
    <n v="51"/>
    <x v="93"/>
    <d v="2025-01-22T00:00:00"/>
    <x v="2"/>
    <x v="2"/>
    <x v="0"/>
    <x v="0"/>
    <n v="70000"/>
    <s v="card"/>
    <n v="70000"/>
    <x v="0"/>
  </r>
  <r>
    <n v="2365"/>
    <n v="35"/>
    <x v="81"/>
    <d v="2025-05-03T00:00:00"/>
    <x v="5"/>
    <x v="1"/>
    <x v="0"/>
    <x v="0"/>
    <n v="60000"/>
    <s v="card"/>
    <n v="60000"/>
    <x v="11"/>
  </r>
  <r>
    <n v="2366"/>
    <n v="65"/>
    <x v="41"/>
    <d v="2025-12-27T00:00:00"/>
    <x v="5"/>
    <x v="1"/>
    <x v="0"/>
    <x v="0"/>
    <n v="55000"/>
    <s v="card"/>
    <n v="55000"/>
    <x v="9"/>
  </r>
  <r>
    <n v="2367"/>
    <n v="95"/>
    <x v="11"/>
    <d v="2025-07-20T00:00:00"/>
    <x v="4"/>
    <x v="2"/>
    <x v="1"/>
    <x v="0"/>
    <n v="50000"/>
    <s v="Online"/>
    <n v="200000"/>
    <x v="10"/>
  </r>
  <r>
    <n v="2368"/>
    <n v="36"/>
    <x v="92"/>
    <d v="2025-04-14T00:00:00"/>
    <x v="2"/>
    <x v="2"/>
    <x v="5"/>
    <x v="0"/>
    <n v="80000"/>
    <s v="Online"/>
    <n v="240000"/>
    <x v="7"/>
  </r>
  <r>
    <n v="2369"/>
    <n v="55"/>
    <x v="39"/>
    <d v="2025-04-24T00:00:00"/>
    <x v="3"/>
    <x v="1"/>
    <x v="2"/>
    <x v="0"/>
    <n v="55320"/>
    <s v="card"/>
    <n v="110640"/>
    <x v="7"/>
  </r>
  <r>
    <n v="2370"/>
    <n v="3"/>
    <x v="72"/>
    <d v="2025-07-21T00:00:00"/>
    <x v="2"/>
    <x v="2"/>
    <x v="2"/>
    <x v="0"/>
    <n v="75000"/>
    <s v="card"/>
    <n v="150000"/>
    <x v="10"/>
  </r>
  <r>
    <n v="2371"/>
    <n v="99"/>
    <x v="87"/>
    <d v="2025-08-17T00:00:00"/>
    <x v="10"/>
    <x v="1"/>
    <x v="2"/>
    <x v="0"/>
    <n v="43000"/>
    <s v="Online"/>
    <n v="86000"/>
    <x v="4"/>
  </r>
  <r>
    <n v="2372"/>
    <n v="19"/>
    <x v="47"/>
    <d v="2025-02-12T00:00:00"/>
    <x v="8"/>
    <x v="1"/>
    <x v="0"/>
    <x v="0"/>
    <n v="35000"/>
    <s v="card"/>
    <n v="35000"/>
    <x v="6"/>
  </r>
  <r>
    <n v="2373"/>
    <n v="19"/>
    <x v="47"/>
    <d v="2025-11-12T00:00:00"/>
    <x v="11"/>
    <x v="2"/>
    <x v="0"/>
    <x v="0"/>
    <n v="40000"/>
    <s v="Online"/>
    <n v="40000"/>
    <x v="1"/>
  </r>
  <r>
    <n v="2374"/>
    <n v="95"/>
    <x v="11"/>
    <d v="2025-03-19T00:00:00"/>
    <x v="7"/>
    <x v="0"/>
    <x v="5"/>
    <x v="0"/>
    <n v="70000"/>
    <s v="card"/>
    <n v="210000"/>
    <x v="5"/>
  </r>
  <r>
    <n v="2375"/>
    <n v="35"/>
    <x v="81"/>
    <d v="2025-04-18T00:00:00"/>
    <x v="5"/>
    <x v="1"/>
    <x v="2"/>
    <x v="0"/>
    <n v="60000"/>
    <s v="Online"/>
    <n v="120000"/>
    <x v="7"/>
  </r>
  <r>
    <n v="2376"/>
    <n v="60"/>
    <x v="43"/>
    <d v="2025-09-05T00:00:00"/>
    <x v="5"/>
    <x v="1"/>
    <x v="0"/>
    <x v="0"/>
    <n v="60000"/>
    <s v="card"/>
    <n v="60000"/>
    <x v="8"/>
  </r>
  <r>
    <n v="2377"/>
    <n v="17"/>
    <x v="40"/>
    <d v="2025-03-24T00:00:00"/>
    <x v="9"/>
    <x v="1"/>
    <x v="0"/>
    <x v="0"/>
    <n v="45000"/>
    <s v="card"/>
    <n v="45000"/>
    <x v="5"/>
  </r>
  <r>
    <n v="2378"/>
    <n v="114"/>
    <x v="63"/>
    <d v="2025-11-09T00:00:00"/>
    <x v="11"/>
    <x v="2"/>
    <x v="0"/>
    <x v="0"/>
    <n v="45000"/>
    <s v="card"/>
    <n v="45000"/>
    <x v="1"/>
  </r>
  <r>
    <n v="2379"/>
    <n v="38"/>
    <x v="31"/>
    <d v="2025-11-08T00:00:00"/>
    <x v="3"/>
    <x v="1"/>
    <x v="0"/>
    <x v="0"/>
    <n v="55000"/>
    <s v="Cash"/>
    <n v="55000"/>
    <x v="1"/>
  </r>
  <r>
    <n v="2380"/>
    <n v="84"/>
    <x v="75"/>
    <d v="2025-03-14T00:00:00"/>
    <x v="1"/>
    <x v="1"/>
    <x v="1"/>
    <x v="0"/>
    <n v="63000"/>
    <s v="Unknown"/>
    <n v="252000"/>
    <x v="5"/>
  </r>
  <r>
    <n v="2381"/>
    <n v="78"/>
    <x v="4"/>
    <d v="2025-08-30T00:00:00"/>
    <x v="0"/>
    <x v="0"/>
    <x v="0"/>
    <x v="0"/>
    <n v="62000"/>
    <s v="card"/>
    <n v="62000"/>
    <x v="4"/>
  </r>
  <r>
    <n v="2382"/>
    <n v="41"/>
    <x v="86"/>
    <d v="2025-02-04T00:00:00"/>
    <x v="11"/>
    <x v="2"/>
    <x v="0"/>
    <x v="0"/>
    <n v="35000"/>
    <s v="Cash"/>
    <n v="35000"/>
    <x v="6"/>
  </r>
  <r>
    <n v="2383"/>
    <n v="89"/>
    <x v="7"/>
    <d v="2025-03-10T00:00:00"/>
    <x v="3"/>
    <x v="1"/>
    <x v="0"/>
    <x v="0"/>
    <n v="50000"/>
    <s v="Cash"/>
    <n v="50000"/>
    <x v="5"/>
  </r>
  <r>
    <n v="2384"/>
    <n v="21"/>
    <x v="105"/>
    <d v="2025-06-29T00:00:00"/>
    <x v="3"/>
    <x v="1"/>
    <x v="0"/>
    <x v="0"/>
    <n v="55320"/>
    <s v="Online"/>
    <n v="55320"/>
    <x v="2"/>
  </r>
  <r>
    <n v="2385"/>
    <n v="106"/>
    <x v="12"/>
    <d v="2025-10-27T00:00:00"/>
    <x v="11"/>
    <x v="2"/>
    <x v="0"/>
    <x v="0"/>
    <n v="45000"/>
    <s v="Cash"/>
    <n v="45000"/>
    <x v="3"/>
  </r>
  <r>
    <n v="2386"/>
    <n v="70"/>
    <x v="97"/>
    <d v="2025-12-04T00:00:00"/>
    <x v="8"/>
    <x v="1"/>
    <x v="2"/>
    <x v="0"/>
    <n v="35000"/>
    <s v="Online"/>
    <n v="70000"/>
    <x v="9"/>
  </r>
  <r>
    <n v="2387"/>
    <n v="23"/>
    <x v="0"/>
    <d v="2025-10-16T00:00:00"/>
    <x v="0"/>
    <x v="0"/>
    <x v="1"/>
    <x v="0"/>
    <n v="67000"/>
    <s v="Online"/>
    <n v="268000"/>
    <x v="3"/>
  </r>
  <r>
    <n v="2388"/>
    <n v="74"/>
    <x v="45"/>
    <d v="2025-06-11T00:00:00"/>
    <x v="4"/>
    <x v="2"/>
    <x v="0"/>
    <x v="0"/>
    <n v="50000"/>
    <s v="Cash"/>
    <n v="50000"/>
    <x v="2"/>
  </r>
  <r>
    <n v="2389"/>
    <n v="12"/>
    <x v="42"/>
    <d v="2025-03-17T00:00:00"/>
    <x v="4"/>
    <x v="2"/>
    <x v="2"/>
    <x v="0"/>
    <n v="45000"/>
    <s v="card"/>
    <n v="90000"/>
    <x v="5"/>
  </r>
  <r>
    <n v="2390"/>
    <n v="18"/>
    <x v="35"/>
    <d v="2025-08-14T00:00:00"/>
    <x v="6"/>
    <x v="2"/>
    <x v="0"/>
    <x v="0"/>
    <n v="85000"/>
    <s v="Cash"/>
    <n v="85000"/>
    <x v="4"/>
  </r>
  <r>
    <n v="2391"/>
    <n v="72"/>
    <x v="51"/>
    <d v="2025-07-13T00:00:00"/>
    <x v="11"/>
    <x v="2"/>
    <x v="0"/>
    <x v="0"/>
    <n v="40428.571428571428"/>
    <s v="Cash"/>
    <n v="40428.571428571428"/>
    <x v="10"/>
  </r>
  <r>
    <n v="2392"/>
    <n v="11"/>
    <x v="19"/>
    <d v="2025-04-20T00:00:00"/>
    <x v="4"/>
    <x v="2"/>
    <x v="5"/>
    <x v="0"/>
    <n v="50000"/>
    <s v="card"/>
    <n v="150000"/>
    <x v="7"/>
  </r>
  <r>
    <n v="2393"/>
    <n v="89"/>
    <x v="7"/>
    <d v="2025-12-17T00:00:00"/>
    <x v="0"/>
    <x v="0"/>
    <x v="5"/>
    <x v="0"/>
    <n v="62000"/>
    <s v="Online"/>
    <n v="186000"/>
    <x v="9"/>
  </r>
  <r>
    <n v="2394"/>
    <n v="110"/>
    <x v="83"/>
    <d v="2025-10-12T00:00:00"/>
    <x v="2"/>
    <x v="2"/>
    <x v="0"/>
    <x v="0"/>
    <n v="80000"/>
    <s v="card"/>
    <n v="80000"/>
    <x v="3"/>
  </r>
  <r>
    <n v="2395"/>
    <n v="48"/>
    <x v="58"/>
    <d v="2025-06-01T00:00:00"/>
    <x v="1"/>
    <x v="1"/>
    <x v="0"/>
    <x v="0"/>
    <n v="63000"/>
    <s v="Cash"/>
    <n v="63000"/>
    <x v="2"/>
  </r>
  <r>
    <n v="2396"/>
    <n v="40"/>
    <x v="79"/>
    <d v="2025-02-18T00:00:00"/>
    <x v="7"/>
    <x v="0"/>
    <x v="2"/>
    <x v="0"/>
    <n v="60000"/>
    <s v="card"/>
    <n v="120000"/>
    <x v="6"/>
  </r>
  <r>
    <n v="2397"/>
    <n v="83"/>
    <x v="57"/>
    <d v="2025-11-25T00:00:00"/>
    <x v="0"/>
    <x v="0"/>
    <x v="4"/>
    <x v="1"/>
    <n v="62000"/>
    <s v="Unknown"/>
    <n v="-62000"/>
    <x v="1"/>
  </r>
  <r>
    <n v="2398"/>
    <n v="106"/>
    <x v="12"/>
    <d v="2025-08-30T00:00:00"/>
    <x v="9"/>
    <x v="1"/>
    <x v="2"/>
    <x v="0"/>
    <n v="45000"/>
    <s v="card"/>
    <n v="90000"/>
    <x v="4"/>
  </r>
  <r>
    <n v="2399"/>
    <n v="48"/>
    <x v="58"/>
    <d v="2025-11-10T00:00:00"/>
    <x v="9"/>
    <x v="1"/>
    <x v="5"/>
    <x v="0"/>
    <n v="45000"/>
    <s v="card"/>
    <n v="135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3FEC4-B6AE-4A6C-9627-FD51FA769BF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E15" firstHeaderRow="1" firstDataRow="2" firstDataCol="1"/>
  <pivotFields count="12">
    <pivotField showAll="0"/>
    <pivotField showAll="0"/>
    <pivotField showAll="0"/>
    <pivotField numFmtId="14"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numFmtId="164" showAll="0"/>
    <pivotField showAll="0"/>
    <pivotField dataField="1" numFmtId="164" showAll="0"/>
    <pivotField axis="axisRow" showAll="0">
      <items count="13">
        <item x="0"/>
        <item x="6"/>
        <item x="5"/>
        <item x="7"/>
        <item x="11"/>
        <item x="2"/>
        <item x="10"/>
        <item x="4"/>
        <item x="8"/>
        <item x="3"/>
        <item x="1"/>
        <item x="9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_Price" fld="10" baseField="0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421ED-1FDF-4F8D-ABAB-4CC138C89EE0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0:B73" firstHeaderRow="1" firstDataRow="2" firstDataCol="1"/>
  <pivotFields count="12">
    <pivotField showAll="0"/>
    <pivotField showAll="0"/>
    <pivotField showAll="0"/>
    <pivotField numFmtId="14" showAll="0"/>
    <pivotField axis="axisRow" showAll="0" sortType="ascending">
      <items count="13">
        <item x="10"/>
        <item x="4"/>
        <item x="3"/>
        <item x="6"/>
        <item x="2"/>
        <item x="7"/>
        <item x="11"/>
        <item x="9"/>
        <item x="8"/>
        <item x="5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7" count="1" selected="0">
              <x v="1"/>
            </reference>
          </references>
        </pivotArea>
      </autoSortScope>
    </pivotField>
    <pivotField showAll="0"/>
    <pivotField dataField="1" showAll="0">
      <items count="9">
        <item x="7"/>
        <item x="6"/>
        <item x="3"/>
        <item x="4"/>
        <item x="0"/>
        <item x="2"/>
        <item x="5"/>
        <item x="1"/>
        <item t="default"/>
      </items>
    </pivotField>
    <pivotField axis="axisCol" showAll="0" sortType="ascending">
      <items count="3">
        <item h="1" x="0"/>
        <item x="1"/>
        <item t="default"/>
      </items>
    </pivotField>
    <pivotField numFmtId="164" showAll="0"/>
    <pivotField showAll="0"/>
    <pivotField numFmtId="164" showAll="0"/>
    <pivotField showAll="0"/>
  </pivotFields>
  <rowFields count="1">
    <field x="4"/>
  </rowFields>
  <rowItems count="12">
    <i>
      <x v="11"/>
    </i>
    <i>
      <x v="8"/>
    </i>
    <i>
      <x v="6"/>
    </i>
    <i>
      <x v="10"/>
    </i>
    <i>
      <x v="5"/>
    </i>
    <i>
      <x v="4"/>
    </i>
    <i>
      <x v="3"/>
    </i>
    <i>
      <x v="7"/>
    </i>
    <i>
      <x/>
    </i>
    <i>
      <x v="9"/>
    </i>
    <i>
      <x v="1"/>
    </i>
    <i t="grand">
      <x/>
    </i>
  </rowItems>
  <colFields count="1">
    <field x="7"/>
  </colFields>
  <colItems count="1">
    <i>
      <x v="1"/>
    </i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80604-55A7-41FD-B1A8-6D4F4DE54E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2:B55" firstHeaderRow="1" firstDataRow="1" firstDataCol="1"/>
  <pivotFields count="12"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axis="axisRow" showAll="0">
      <items count="13">
        <item x="0"/>
        <item x="6"/>
        <item x="5"/>
        <item x="7"/>
        <item x="11"/>
        <item x="2"/>
        <item x="10"/>
        <item x="4"/>
        <item x="8"/>
        <item x="3"/>
        <item x="1"/>
        <item x="9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Pric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8131E-CDCC-42B4-B735-98DA4EA7AE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33" firstHeaderRow="1" firstDataRow="1" firstDataCol="1"/>
  <pivotFields count="12">
    <pivotField showAll="0"/>
    <pivotField showAll="0"/>
    <pivotField axis="axisRow" showAll="0" measureFilter="1" sortType="descending">
      <items count="111">
        <item x="74"/>
        <item x="85"/>
        <item x="23"/>
        <item x="16"/>
        <item x="2"/>
        <item x="45"/>
        <item x="66"/>
        <item x="69"/>
        <item x="25"/>
        <item x="93"/>
        <item x="28"/>
        <item x="65"/>
        <item x="81"/>
        <item x="109"/>
        <item x="91"/>
        <item x="87"/>
        <item x="4"/>
        <item x="62"/>
        <item x="11"/>
        <item x="21"/>
        <item x="108"/>
        <item x="13"/>
        <item x="44"/>
        <item x="88"/>
        <item x="42"/>
        <item x="3"/>
        <item x="29"/>
        <item x="72"/>
        <item x="73"/>
        <item x="58"/>
        <item x="52"/>
        <item x="97"/>
        <item x="49"/>
        <item x="86"/>
        <item x="12"/>
        <item x="40"/>
        <item x="10"/>
        <item x="18"/>
        <item x="70"/>
        <item x="76"/>
        <item x="61"/>
        <item x="19"/>
        <item x="77"/>
        <item x="47"/>
        <item x="59"/>
        <item x="60"/>
        <item x="98"/>
        <item x="94"/>
        <item x="96"/>
        <item x="38"/>
        <item x="1"/>
        <item x="0"/>
        <item x="50"/>
        <item x="8"/>
        <item x="20"/>
        <item x="5"/>
        <item x="67"/>
        <item x="7"/>
        <item x="101"/>
        <item x="24"/>
        <item x="55"/>
        <item x="102"/>
        <item x="26"/>
        <item x="79"/>
        <item x="35"/>
        <item x="37"/>
        <item x="14"/>
        <item x="33"/>
        <item x="36"/>
        <item x="30"/>
        <item x="63"/>
        <item x="107"/>
        <item x="22"/>
        <item x="83"/>
        <item x="89"/>
        <item x="17"/>
        <item x="54"/>
        <item x="99"/>
        <item x="39"/>
        <item x="92"/>
        <item x="64"/>
        <item x="90"/>
        <item x="34"/>
        <item x="100"/>
        <item x="106"/>
        <item x="51"/>
        <item x="57"/>
        <item x="103"/>
        <item x="15"/>
        <item x="71"/>
        <item x="27"/>
        <item x="78"/>
        <item x="84"/>
        <item x="56"/>
        <item x="6"/>
        <item x="48"/>
        <item x="80"/>
        <item x="75"/>
        <item x="31"/>
        <item x="32"/>
        <item x="95"/>
        <item x="68"/>
        <item x="43"/>
        <item x="105"/>
        <item x="104"/>
        <item x="53"/>
        <item x="46"/>
        <item x="82"/>
        <item x="4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showAll="0"/>
  </pivotFields>
  <rowFields count="1">
    <field x="2"/>
  </rowFields>
  <rowItems count="11">
    <i>
      <x v="16"/>
    </i>
    <i>
      <x v="50"/>
    </i>
    <i>
      <x v="78"/>
    </i>
    <i>
      <x v="94"/>
    </i>
    <i>
      <x v="41"/>
    </i>
    <i>
      <x v="102"/>
    </i>
    <i>
      <x v="57"/>
    </i>
    <i>
      <x v="66"/>
    </i>
    <i>
      <x v="52"/>
    </i>
    <i>
      <x v="18"/>
    </i>
    <i t="grand">
      <x/>
    </i>
  </rowItems>
  <colItems count="1">
    <i/>
  </colItems>
  <dataFields count="1">
    <dataField name="Sum of Total_Price" fld="10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F34E-6A35-4F98-A64C-EBEA27CA32F8}">
  <dimension ref="A1:L1395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4.140625" bestFit="1" customWidth="1"/>
    <col min="3" max="3" width="18" bestFit="1" customWidth="1"/>
    <col min="4" max="4" width="13.140625" bestFit="1" customWidth="1"/>
    <col min="5" max="5" width="16.42578125" bestFit="1" customWidth="1"/>
    <col min="6" max="6" width="11.140625" bestFit="1" customWidth="1"/>
    <col min="7" max="7" width="10.42578125" bestFit="1" customWidth="1"/>
    <col min="8" max="8" width="13.140625" bestFit="1" customWidth="1"/>
    <col min="9" max="9" width="13.140625" style="2" customWidth="1"/>
    <col min="10" max="10" width="18.5703125" bestFit="1" customWidth="1"/>
    <col min="11" max="11" width="11.7109375" bestFit="1" customWidth="1"/>
    <col min="12" max="12" width="7.7109375" bestFit="1" customWidth="1"/>
  </cols>
  <sheetData>
    <row r="1" spans="1:12" x14ac:dyDescent="0.25">
      <c r="A1" t="s">
        <v>0</v>
      </c>
      <c r="B1" t="s">
        <v>1</v>
      </c>
      <c r="C1" t="s">
        <v>51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t="s">
        <v>8</v>
      </c>
      <c r="K1" t="s">
        <v>33</v>
      </c>
      <c r="L1" t="s">
        <v>34</v>
      </c>
    </row>
    <row r="2" spans="1:12" x14ac:dyDescent="0.25">
      <c r="A2">
        <v>1000</v>
      </c>
      <c r="B2">
        <v>23</v>
      </c>
      <c r="C2" t="str">
        <f>IFERROR(_xlfn.XLOOKUP(B2, Customer!A:A, Customer!B:B), "Unknown Customer")</f>
        <v>Milad Rezaei</v>
      </c>
      <c r="D2" s="1">
        <v>45665</v>
      </c>
      <c r="E2" t="s">
        <v>9</v>
      </c>
      <c r="F2" t="s">
        <v>10</v>
      </c>
      <c r="G2">
        <v>1</v>
      </c>
      <c r="H2" t="s">
        <v>11</v>
      </c>
      <c r="I2" s="2">
        <v>57000</v>
      </c>
      <c r="J2" t="s">
        <v>12</v>
      </c>
      <c r="K2" s="3">
        <f>G2*I2</f>
        <v>57000</v>
      </c>
      <c r="L2" t="str">
        <f>TEXT(D2,"YYYY-MM")</f>
        <v>2025-01</v>
      </c>
    </row>
    <row r="3" spans="1:12" x14ac:dyDescent="0.25">
      <c r="A3">
        <v>1001</v>
      </c>
      <c r="B3">
        <v>96</v>
      </c>
      <c r="C3" t="str">
        <f>IFERROR(_xlfn.XLOOKUP(B3, Customer!A:A, Customer!B:B), "Unknown Customer")</f>
        <v>Milad Norouzi</v>
      </c>
      <c r="D3" s="1">
        <v>45984</v>
      </c>
      <c r="E3" t="s">
        <v>13</v>
      </c>
      <c r="F3" t="s">
        <v>14</v>
      </c>
      <c r="G3">
        <v>4</v>
      </c>
      <c r="H3" t="s">
        <v>11</v>
      </c>
      <c r="I3" s="2">
        <v>53000</v>
      </c>
      <c r="J3" t="s">
        <v>15</v>
      </c>
      <c r="K3" s="3">
        <f t="shared" ref="K3:K66" si="0">G3*I3</f>
        <v>212000</v>
      </c>
      <c r="L3" t="str">
        <f t="shared" ref="L3:L66" si="1">TEXT(D3,"YYYY-MM")</f>
        <v>2025-11</v>
      </c>
    </row>
    <row r="4" spans="1:12" x14ac:dyDescent="0.25">
      <c r="A4">
        <v>1002</v>
      </c>
      <c r="B4">
        <v>62</v>
      </c>
      <c r="C4" t="str">
        <f>IFERROR(_xlfn.XLOOKUP(B4, Customer!A:A, Customer!B:B), "Unknown Customer")</f>
        <v>Amir Mousavi</v>
      </c>
      <c r="D4" s="1">
        <v>45832</v>
      </c>
      <c r="E4" t="s">
        <v>16</v>
      </c>
      <c r="F4" t="s">
        <v>17</v>
      </c>
      <c r="G4">
        <v>1</v>
      </c>
      <c r="H4" t="s">
        <v>11</v>
      </c>
      <c r="I4" s="2">
        <v>75000</v>
      </c>
      <c r="J4" t="s">
        <v>15</v>
      </c>
      <c r="K4" s="3">
        <f t="shared" si="0"/>
        <v>75000</v>
      </c>
      <c r="L4" t="str">
        <f t="shared" si="1"/>
        <v>2025-06</v>
      </c>
    </row>
    <row r="5" spans="1:12" x14ac:dyDescent="0.25">
      <c r="A5">
        <v>1003</v>
      </c>
      <c r="B5">
        <v>63</v>
      </c>
      <c r="C5" t="str">
        <f>IFERROR(_xlfn.XLOOKUP(B5, Customer!A:A, Customer!B:B), "Unknown Customer")</f>
        <v>Golnaz Rezaei</v>
      </c>
      <c r="D5" s="1">
        <v>45953</v>
      </c>
      <c r="E5" t="s">
        <v>18</v>
      </c>
      <c r="F5" t="s">
        <v>14</v>
      </c>
      <c r="G5">
        <v>1</v>
      </c>
      <c r="H5" t="s">
        <v>11</v>
      </c>
      <c r="I5" s="2">
        <v>55000</v>
      </c>
      <c r="J5" t="s">
        <v>19</v>
      </c>
      <c r="K5" s="3">
        <f t="shared" si="0"/>
        <v>55000</v>
      </c>
      <c r="L5" t="str">
        <f t="shared" si="1"/>
        <v>2025-10</v>
      </c>
    </row>
    <row r="6" spans="1:12" x14ac:dyDescent="0.25">
      <c r="A6">
        <v>1004</v>
      </c>
      <c r="B6">
        <v>32</v>
      </c>
      <c r="C6" t="str">
        <f>IFERROR(_xlfn.XLOOKUP(B6, Customer!A:A, Customer!B:B), "Unknown Customer")</f>
        <v>Elham Karimi</v>
      </c>
      <c r="D6" s="1">
        <v>45943</v>
      </c>
      <c r="E6" t="s">
        <v>18</v>
      </c>
      <c r="F6" t="s">
        <v>14</v>
      </c>
      <c r="G6">
        <v>4</v>
      </c>
      <c r="H6" t="s">
        <v>11</v>
      </c>
      <c r="I6" s="2">
        <v>60000</v>
      </c>
      <c r="J6" t="s">
        <v>15</v>
      </c>
      <c r="K6" s="3">
        <f t="shared" si="0"/>
        <v>240000</v>
      </c>
      <c r="L6" t="str">
        <f t="shared" si="1"/>
        <v>2025-10</v>
      </c>
    </row>
    <row r="7" spans="1:12" x14ac:dyDescent="0.25">
      <c r="A7">
        <v>1005</v>
      </c>
      <c r="B7">
        <v>39</v>
      </c>
      <c r="C7" t="str">
        <f>IFERROR(_xlfn.XLOOKUP(B7, Customer!A:A, Customer!B:B), "Unknown Customer")</f>
        <v>Mona Ghasemi</v>
      </c>
      <c r="D7" s="1">
        <v>45877</v>
      </c>
      <c r="E7" t="s">
        <v>20</v>
      </c>
      <c r="F7" t="s">
        <v>17</v>
      </c>
      <c r="G7">
        <v>2</v>
      </c>
      <c r="H7" t="s">
        <v>11</v>
      </c>
      <c r="I7" s="2">
        <v>45000</v>
      </c>
      <c r="J7" t="s">
        <v>21</v>
      </c>
      <c r="K7" s="3">
        <f t="shared" si="0"/>
        <v>90000</v>
      </c>
      <c r="L7" t="str">
        <f t="shared" si="1"/>
        <v>2025-08</v>
      </c>
    </row>
    <row r="8" spans="1:12" x14ac:dyDescent="0.25">
      <c r="A8">
        <v>1006</v>
      </c>
      <c r="B8">
        <v>85</v>
      </c>
      <c r="C8" t="str">
        <f>IFERROR(_xlfn.XLOOKUP(B8, Customer!A:A, Customer!B:B), "Unknown Customer")</f>
        <v>Sepideh Yousefi</v>
      </c>
      <c r="D8" s="1">
        <v>45738</v>
      </c>
      <c r="E8" t="s">
        <v>18</v>
      </c>
      <c r="F8" t="s">
        <v>14</v>
      </c>
      <c r="G8">
        <v>2</v>
      </c>
      <c r="H8" t="s">
        <v>11</v>
      </c>
      <c r="I8" s="2">
        <v>50000</v>
      </c>
      <c r="J8" t="s">
        <v>15</v>
      </c>
      <c r="K8" s="3">
        <f t="shared" si="0"/>
        <v>100000</v>
      </c>
      <c r="L8" t="str">
        <f t="shared" si="1"/>
        <v>2025-03</v>
      </c>
    </row>
    <row r="9" spans="1:12" x14ac:dyDescent="0.25">
      <c r="A9">
        <v>1007</v>
      </c>
      <c r="B9">
        <v>58</v>
      </c>
      <c r="C9" t="str">
        <f>IFERROR(_xlfn.XLOOKUP(B9, Customer!A:A, Customer!B:B), "Unknown Customer")</f>
        <v>Mona Moradi</v>
      </c>
      <c r="D9" s="1">
        <v>45668</v>
      </c>
      <c r="E9" t="s">
        <v>22</v>
      </c>
      <c r="F9" t="s">
        <v>14</v>
      </c>
      <c r="G9">
        <v>1</v>
      </c>
      <c r="H9" t="s">
        <v>11</v>
      </c>
      <c r="I9" s="2">
        <v>60000</v>
      </c>
      <c r="J9" t="s">
        <v>12</v>
      </c>
      <c r="K9" s="3">
        <f t="shared" si="0"/>
        <v>60000</v>
      </c>
      <c r="L9" t="str">
        <f t="shared" si="1"/>
        <v>2025-01</v>
      </c>
    </row>
    <row r="10" spans="1:12" x14ac:dyDescent="0.25">
      <c r="A10">
        <v>1008</v>
      </c>
      <c r="B10">
        <v>111</v>
      </c>
      <c r="C10" t="str">
        <f>IFERROR(_xlfn.XLOOKUP(B10, Customer!A:A, Customer!B:B), "Unknown Customer")</f>
        <v>Sepideh Yousefi</v>
      </c>
      <c r="D10" s="1">
        <v>45694</v>
      </c>
      <c r="E10" t="s">
        <v>16</v>
      </c>
      <c r="F10" t="s">
        <v>17</v>
      </c>
      <c r="G10">
        <v>1</v>
      </c>
      <c r="H10" t="s">
        <v>11</v>
      </c>
      <c r="I10" s="2">
        <v>80000</v>
      </c>
      <c r="J10" t="s">
        <v>15</v>
      </c>
      <c r="K10" s="3">
        <f t="shared" si="0"/>
        <v>80000</v>
      </c>
      <c r="L10" t="str">
        <f t="shared" si="1"/>
        <v>2025-02</v>
      </c>
    </row>
    <row r="11" spans="1:12" x14ac:dyDescent="0.25">
      <c r="A11">
        <v>1009</v>
      </c>
      <c r="B11">
        <v>15</v>
      </c>
      <c r="C11" t="str">
        <f>IFERROR(_xlfn.XLOOKUP(B11, Customer!A:A, Customer!B:B), "Unknown Customer")</f>
        <v>Milad Zare</v>
      </c>
      <c r="D11" s="1">
        <v>45773</v>
      </c>
      <c r="E11" t="s">
        <v>23</v>
      </c>
      <c r="F11" t="s">
        <v>17</v>
      </c>
      <c r="G11">
        <v>1</v>
      </c>
      <c r="H11" t="s">
        <v>11</v>
      </c>
      <c r="I11" s="2">
        <v>85000</v>
      </c>
      <c r="J11" t="s">
        <v>24</v>
      </c>
      <c r="K11" s="3">
        <f t="shared" si="0"/>
        <v>85000</v>
      </c>
      <c r="L11" t="str">
        <f t="shared" si="1"/>
        <v>2025-04</v>
      </c>
    </row>
    <row r="12" spans="1:12" x14ac:dyDescent="0.25">
      <c r="A12">
        <v>1010</v>
      </c>
      <c r="B12">
        <v>102</v>
      </c>
      <c r="C12" t="str">
        <f>IFERROR(_xlfn.XLOOKUP(B12, Customer!A:A, Customer!B:B), "Unknown Customer")</f>
        <v>Yasaman Yousefi</v>
      </c>
      <c r="D12" s="1">
        <v>45668</v>
      </c>
      <c r="E12" t="s">
        <v>9</v>
      </c>
      <c r="F12" t="s">
        <v>10</v>
      </c>
      <c r="G12">
        <v>2</v>
      </c>
      <c r="H12" t="s">
        <v>11</v>
      </c>
      <c r="I12" s="2">
        <v>57000</v>
      </c>
      <c r="J12" t="s">
        <v>12</v>
      </c>
      <c r="K12" s="3">
        <f t="shared" si="0"/>
        <v>114000</v>
      </c>
      <c r="L12" t="str">
        <f t="shared" si="1"/>
        <v>2025-01</v>
      </c>
    </row>
    <row r="13" spans="1:12" x14ac:dyDescent="0.25">
      <c r="A13">
        <v>1011</v>
      </c>
      <c r="B13">
        <v>52</v>
      </c>
      <c r="C13" t="str">
        <f>IFERROR(_xlfn.XLOOKUP(B13, Customer!A:A, Customer!B:B), "Unknown Customer")</f>
        <v>Kaveh Rostami</v>
      </c>
      <c r="D13" s="1">
        <v>45914</v>
      </c>
      <c r="E13" t="s">
        <v>9</v>
      </c>
      <c r="F13" t="s">
        <v>10</v>
      </c>
      <c r="G13">
        <v>2</v>
      </c>
      <c r="H13" t="s">
        <v>11</v>
      </c>
      <c r="I13" s="2">
        <v>57000</v>
      </c>
      <c r="J13" t="s">
        <v>15</v>
      </c>
      <c r="K13" s="3">
        <f t="shared" si="0"/>
        <v>114000</v>
      </c>
      <c r="L13" t="str">
        <f t="shared" si="1"/>
        <v>2025-09</v>
      </c>
    </row>
    <row r="14" spans="1:12" x14ac:dyDescent="0.25">
      <c r="A14">
        <v>1012</v>
      </c>
      <c r="B14">
        <v>95</v>
      </c>
      <c r="C14" t="str">
        <f>IFERROR(_xlfn.XLOOKUP(B14, Customer!A:A, Customer!B:B), "Unknown Customer")</f>
        <v>Elham Norouzi</v>
      </c>
      <c r="D14" s="1">
        <v>45967</v>
      </c>
      <c r="E14" t="s">
        <v>25</v>
      </c>
      <c r="F14" t="s">
        <v>10</v>
      </c>
      <c r="G14">
        <v>1</v>
      </c>
      <c r="H14" t="s">
        <v>11</v>
      </c>
      <c r="I14" s="2">
        <v>65000</v>
      </c>
      <c r="J14" t="s">
        <v>32</v>
      </c>
      <c r="K14" s="3">
        <f t="shared" si="0"/>
        <v>65000</v>
      </c>
      <c r="L14" t="str">
        <f t="shared" si="1"/>
        <v>2025-11</v>
      </c>
    </row>
    <row r="15" spans="1:12" x14ac:dyDescent="0.25">
      <c r="A15">
        <v>1013</v>
      </c>
      <c r="B15">
        <v>106</v>
      </c>
      <c r="C15" t="str">
        <f>IFERROR(_xlfn.XLOOKUP(B15, Customer!A:A, Customer!B:B), "Unknown Customer")</f>
        <v>Iman Zare</v>
      </c>
      <c r="D15" s="1">
        <v>45953</v>
      </c>
      <c r="E15" t="s">
        <v>9</v>
      </c>
      <c r="F15" t="s">
        <v>10</v>
      </c>
      <c r="G15">
        <v>-2</v>
      </c>
      <c r="H15" t="s">
        <v>26</v>
      </c>
      <c r="I15" s="2">
        <v>67000</v>
      </c>
      <c r="J15" t="s">
        <v>21</v>
      </c>
      <c r="K15" s="3">
        <f t="shared" si="0"/>
        <v>-134000</v>
      </c>
      <c r="L15" t="str">
        <f t="shared" si="1"/>
        <v>2025-10</v>
      </c>
    </row>
    <row r="16" spans="1:12" x14ac:dyDescent="0.25">
      <c r="A16">
        <v>1014</v>
      </c>
      <c r="B16">
        <v>24</v>
      </c>
      <c r="C16" t="str">
        <f>IFERROR(_xlfn.XLOOKUP(B16, Customer!A:A, Customer!B:B), "Unknown Customer")</f>
        <v>Farhad Sadeghi</v>
      </c>
      <c r="D16" s="1">
        <v>45999</v>
      </c>
      <c r="E16" t="s">
        <v>20</v>
      </c>
      <c r="F16" t="s">
        <v>17</v>
      </c>
      <c r="G16">
        <v>1</v>
      </c>
      <c r="H16" t="s">
        <v>11</v>
      </c>
      <c r="I16" s="2">
        <v>50000</v>
      </c>
      <c r="J16" t="s">
        <v>21</v>
      </c>
      <c r="K16" s="3">
        <f t="shared" si="0"/>
        <v>50000</v>
      </c>
      <c r="L16" t="str">
        <f t="shared" si="1"/>
        <v>2025-12</v>
      </c>
    </row>
    <row r="17" spans="1:12" x14ac:dyDescent="0.25">
      <c r="A17">
        <v>1015</v>
      </c>
      <c r="B17">
        <v>42</v>
      </c>
      <c r="C17" t="str">
        <f>IFERROR(_xlfn.XLOOKUP(B17, Customer!A:A, Customer!B:B), "Unknown Customer")</f>
        <v>Niloofar Ebrahimi</v>
      </c>
      <c r="D17" s="1">
        <v>45711</v>
      </c>
      <c r="E17" t="s">
        <v>27</v>
      </c>
      <c r="F17" t="s">
        <v>14</v>
      </c>
      <c r="G17">
        <v>2</v>
      </c>
      <c r="H17" t="s">
        <v>11</v>
      </c>
      <c r="I17" s="2">
        <v>35000</v>
      </c>
      <c r="J17" t="s">
        <v>28</v>
      </c>
      <c r="K17" s="3">
        <f t="shared" si="0"/>
        <v>70000</v>
      </c>
      <c r="L17" t="str">
        <f t="shared" si="1"/>
        <v>2025-02</v>
      </c>
    </row>
    <row r="18" spans="1:12" x14ac:dyDescent="0.25">
      <c r="A18">
        <v>1016</v>
      </c>
      <c r="B18">
        <v>5</v>
      </c>
      <c r="C18" t="str">
        <f>IFERROR(_xlfn.XLOOKUP(B18, Customer!A:A, Customer!B:B), "Unknown Customer")</f>
        <v>Sara Sadeghi</v>
      </c>
      <c r="D18" s="1">
        <v>45703</v>
      </c>
      <c r="E18" t="s">
        <v>16</v>
      </c>
      <c r="F18" t="s">
        <v>17</v>
      </c>
      <c r="G18">
        <v>1</v>
      </c>
      <c r="H18" t="s">
        <v>11</v>
      </c>
      <c r="I18" s="2">
        <v>70000</v>
      </c>
      <c r="J18" t="s">
        <v>12</v>
      </c>
      <c r="K18" s="3">
        <f t="shared" si="0"/>
        <v>70000</v>
      </c>
      <c r="L18" t="str">
        <f t="shared" si="1"/>
        <v>2025-02</v>
      </c>
    </row>
    <row r="19" spans="1:12" x14ac:dyDescent="0.25">
      <c r="A19">
        <v>1017</v>
      </c>
      <c r="B19">
        <v>112</v>
      </c>
      <c r="C19" t="str">
        <f>IFERROR(_xlfn.XLOOKUP(B19, Customer!A:A, Customer!B:B), "Unknown Customer")</f>
        <v>Amir Fallahi</v>
      </c>
      <c r="D19" s="1">
        <v>45894</v>
      </c>
      <c r="E19" t="s">
        <v>23</v>
      </c>
      <c r="F19" t="s">
        <v>17</v>
      </c>
      <c r="G19">
        <v>-1</v>
      </c>
      <c r="H19" t="s">
        <v>26</v>
      </c>
      <c r="I19" s="2">
        <v>90000</v>
      </c>
      <c r="J19" t="s">
        <v>12</v>
      </c>
      <c r="K19" s="3">
        <f t="shared" si="0"/>
        <v>-90000</v>
      </c>
      <c r="L19" t="str">
        <f t="shared" si="1"/>
        <v>2025-08</v>
      </c>
    </row>
    <row r="20" spans="1:12" x14ac:dyDescent="0.25">
      <c r="A20">
        <v>1018</v>
      </c>
      <c r="B20">
        <v>57</v>
      </c>
      <c r="C20" t="str">
        <f>IFERROR(_xlfn.XLOOKUP(B20, Customer!A:A, Customer!B:B), "Unknown Customer")</f>
        <v>Parisa Sadeghi</v>
      </c>
      <c r="D20" s="1">
        <v>45762</v>
      </c>
      <c r="E20" t="s">
        <v>29</v>
      </c>
      <c r="F20" t="s">
        <v>14</v>
      </c>
      <c r="G20">
        <v>1</v>
      </c>
      <c r="H20" t="s">
        <v>11</v>
      </c>
      <c r="I20" s="2">
        <v>45000</v>
      </c>
      <c r="J20" t="s">
        <v>32</v>
      </c>
      <c r="K20" s="3">
        <f t="shared" si="0"/>
        <v>45000</v>
      </c>
      <c r="L20" t="str">
        <f t="shared" si="1"/>
        <v>2025-04</v>
      </c>
    </row>
    <row r="21" spans="1:12" x14ac:dyDescent="0.25">
      <c r="A21">
        <v>1019</v>
      </c>
      <c r="B21">
        <v>4</v>
      </c>
      <c r="C21" t="str">
        <f>IFERROR(_xlfn.XLOOKUP(B21, Customer!A:A, Customer!B:B), "Unknown Customer")</f>
        <v>Kaveh Salehi</v>
      </c>
      <c r="D21" s="1">
        <v>45969</v>
      </c>
      <c r="E21" t="s">
        <v>27</v>
      </c>
      <c r="F21" t="s">
        <v>14</v>
      </c>
      <c r="G21">
        <v>1</v>
      </c>
      <c r="H21" t="s">
        <v>11</v>
      </c>
      <c r="I21" s="2">
        <v>40000</v>
      </c>
      <c r="J21" t="s">
        <v>19</v>
      </c>
      <c r="K21" s="3">
        <f t="shared" si="0"/>
        <v>40000</v>
      </c>
      <c r="L21" t="str">
        <f t="shared" si="1"/>
        <v>2025-11</v>
      </c>
    </row>
    <row r="22" spans="1:12" x14ac:dyDescent="0.25">
      <c r="A22">
        <v>1020</v>
      </c>
      <c r="B22">
        <v>29</v>
      </c>
      <c r="C22" t="str">
        <f>IFERROR(_xlfn.XLOOKUP(B22, Customer!A:A, Customer!B:B), "Unknown Customer")</f>
        <v>Leila Kazemi</v>
      </c>
      <c r="D22" s="1">
        <v>45894</v>
      </c>
      <c r="E22" t="s">
        <v>18</v>
      </c>
      <c r="F22" t="s">
        <v>14</v>
      </c>
      <c r="G22">
        <v>2</v>
      </c>
      <c r="H22" t="s">
        <v>11</v>
      </c>
      <c r="I22" s="2">
        <v>55000</v>
      </c>
      <c r="J22" t="s">
        <v>15</v>
      </c>
      <c r="K22" s="3">
        <f t="shared" si="0"/>
        <v>110000</v>
      </c>
      <c r="L22" t="str">
        <f t="shared" si="1"/>
        <v>2025-08</v>
      </c>
    </row>
    <row r="23" spans="1:12" x14ac:dyDescent="0.25">
      <c r="A23">
        <v>1021</v>
      </c>
      <c r="B23">
        <v>107</v>
      </c>
      <c r="C23" t="str">
        <f>IFERROR(_xlfn.XLOOKUP(B23, Customer!A:A, Customer!B:B), "Unknown Customer")</f>
        <v>Mona Abbasi</v>
      </c>
      <c r="D23" s="1">
        <v>45899</v>
      </c>
      <c r="E23" t="s">
        <v>16</v>
      </c>
      <c r="F23" t="s">
        <v>17</v>
      </c>
      <c r="G23">
        <v>2</v>
      </c>
      <c r="H23" t="s">
        <v>11</v>
      </c>
      <c r="I23" s="2">
        <v>75000</v>
      </c>
      <c r="J23" t="s">
        <v>28</v>
      </c>
      <c r="K23" s="3">
        <f t="shared" si="0"/>
        <v>150000</v>
      </c>
      <c r="L23" t="str">
        <f t="shared" si="1"/>
        <v>2025-08</v>
      </c>
    </row>
    <row r="24" spans="1:12" x14ac:dyDescent="0.25">
      <c r="A24">
        <v>1022</v>
      </c>
      <c r="B24">
        <v>66</v>
      </c>
      <c r="C24" t="str">
        <f>IFERROR(_xlfn.XLOOKUP(B24, Customer!A:A, Customer!B:B), "Unknown Customer")</f>
        <v>Farhad Abbasi</v>
      </c>
      <c r="D24" s="1">
        <v>45964</v>
      </c>
      <c r="E24" t="s">
        <v>22</v>
      </c>
      <c r="F24" t="s">
        <v>14</v>
      </c>
      <c r="G24">
        <v>4</v>
      </c>
      <c r="H24" t="s">
        <v>11</v>
      </c>
      <c r="I24" s="2">
        <v>59954.128440366971</v>
      </c>
      <c r="J24" t="s">
        <v>19</v>
      </c>
      <c r="K24" s="3">
        <f t="shared" si="0"/>
        <v>239816.51376146788</v>
      </c>
      <c r="L24" t="str">
        <f t="shared" si="1"/>
        <v>2025-11</v>
      </c>
    </row>
    <row r="25" spans="1:12" x14ac:dyDescent="0.25">
      <c r="A25">
        <v>1023</v>
      </c>
      <c r="B25">
        <v>37</v>
      </c>
      <c r="C25" t="str">
        <f>IFERROR(_xlfn.XLOOKUP(B25, Customer!A:A, Customer!B:B), "Unknown Customer")</f>
        <v>Omid Sadeghi</v>
      </c>
      <c r="D25" s="1">
        <v>45694</v>
      </c>
      <c r="E25" t="s">
        <v>22</v>
      </c>
      <c r="F25" t="s">
        <v>14</v>
      </c>
      <c r="G25">
        <v>4</v>
      </c>
      <c r="H25" t="s">
        <v>11</v>
      </c>
      <c r="I25" s="2">
        <v>60000</v>
      </c>
      <c r="J25" t="s">
        <v>21</v>
      </c>
      <c r="K25" s="3">
        <f t="shared" si="0"/>
        <v>240000</v>
      </c>
      <c r="L25" t="str">
        <f t="shared" si="1"/>
        <v>2025-02</v>
      </c>
    </row>
    <row r="26" spans="1:12" x14ac:dyDescent="0.25">
      <c r="A26">
        <v>1024</v>
      </c>
      <c r="B26">
        <v>43</v>
      </c>
      <c r="C26" t="str">
        <f>IFERROR(_xlfn.XLOOKUP(B26, Customer!A:A, Customer!B:B), "Unknown Customer")</f>
        <v>Ali Mousavi</v>
      </c>
      <c r="D26" s="1">
        <v>45818</v>
      </c>
      <c r="E26" t="s">
        <v>23</v>
      </c>
      <c r="F26" t="s">
        <v>17</v>
      </c>
      <c r="G26">
        <v>1</v>
      </c>
      <c r="H26" t="s">
        <v>11</v>
      </c>
      <c r="I26" s="2">
        <v>85000</v>
      </c>
      <c r="J26" t="s">
        <v>28</v>
      </c>
      <c r="K26" s="3">
        <f t="shared" si="0"/>
        <v>85000</v>
      </c>
      <c r="L26" t="str">
        <f t="shared" si="1"/>
        <v>2025-06</v>
      </c>
    </row>
    <row r="27" spans="1:12" x14ac:dyDescent="0.25">
      <c r="A27">
        <v>1025</v>
      </c>
      <c r="B27">
        <v>50</v>
      </c>
      <c r="C27" t="str">
        <f>IFERROR(_xlfn.XLOOKUP(B27, Customer!A:A, Customer!B:B), "Unknown Customer")</f>
        <v>Mona Naderi</v>
      </c>
      <c r="D27" s="1">
        <v>45868</v>
      </c>
      <c r="E27" t="s">
        <v>30</v>
      </c>
      <c r="F27" t="s">
        <v>14</v>
      </c>
      <c r="G27">
        <v>3</v>
      </c>
      <c r="H27" t="s">
        <v>11</v>
      </c>
      <c r="I27" s="2">
        <v>48000</v>
      </c>
      <c r="J27" t="s">
        <v>15</v>
      </c>
      <c r="K27" s="3">
        <f t="shared" si="0"/>
        <v>144000</v>
      </c>
      <c r="L27" t="str">
        <f t="shared" si="1"/>
        <v>2025-07</v>
      </c>
    </row>
    <row r="28" spans="1:12" x14ac:dyDescent="0.25">
      <c r="A28">
        <v>1026</v>
      </c>
      <c r="B28">
        <v>85</v>
      </c>
      <c r="C28" t="str">
        <f>IFERROR(_xlfn.XLOOKUP(B28, Customer!A:A, Customer!B:B), "Unknown Customer")</f>
        <v>Sepideh Yousefi</v>
      </c>
      <c r="D28" s="1">
        <v>45735</v>
      </c>
      <c r="E28" t="s">
        <v>27</v>
      </c>
      <c r="F28" t="s">
        <v>14</v>
      </c>
      <c r="G28">
        <v>1</v>
      </c>
      <c r="H28" t="s">
        <v>11</v>
      </c>
      <c r="I28" s="2">
        <v>40000</v>
      </c>
      <c r="J28" t="s">
        <v>19</v>
      </c>
      <c r="K28" s="3">
        <f t="shared" si="0"/>
        <v>40000</v>
      </c>
      <c r="L28" t="str">
        <f t="shared" si="1"/>
        <v>2025-03</v>
      </c>
    </row>
    <row r="29" spans="1:12" x14ac:dyDescent="0.25">
      <c r="A29">
        <v>1027</v>
      </c>
      <c r="B29">
        <v>112</v>
      </c>
      <c r="C29" t="str">
        <f>IFERROR(_xlfn.XLOOKUP(B29, Customer!A:A, Customer!B:B), "Unknown Customer")</f>
        <v>Amir Fallahi</v>
      </c>
      <c r="D29" s="1">
        <v>45709</v>
      </c>
      <c r="E29" t="s">
        <v>16</v>
      </c>
      <c r="F29" t="s">
        <v>17</v>
      </c>
      <c r="G29">
        <v>1</v>
      </c>
      <c r="H29" t="s">
        <v>11</v>
      </c>
      <c r="I29" s="2">
        <v>75000</v>
      </c>
      <c r="J29" t="s">
        <v>19</v>
      </c>
      <c r="K29" s="3">
        <f t="shared" si="0"/>
        <v>75000</v>
      </c>
      <c r="L29" t="str">
        <f t="shared" si="1"/>
        <v>2025-02</v>
      </c>
    </row>
    <row r="30" spans="1:12" x14ac:dyDescent="0.25">
      <c r="A30">
        <v>1028</v>
      </c>
      <c r="B30">
        <v>61</v>
      </c>
      <c r="C30" t="str">
        <f>IFERROR(_xlfn.XLOOKUP(B30, Customer!A:A, Customer!B:B), "Unknown Customer")</f>
        <v>Arman Moradi</v>
      </c>
      <c r="D30" s="1">
        <v>45831</v>
      </c>
      <c r="E30" t="s">
        <v>9</v>
      </c>
      <c r="F30" t="s">
        <v>10</v>
      </c>
      <c r="G30">
        <v>3</v>
      </c>
      <c r="H30" t="s">
        <v>11</v>
      </c>
      <c r="I30" s="2">
        <v>57000</v>
      </c>
      <c r="J30" t="s">
        <v>21</v>
      </c>
      <c r="K30" s="3">
        <f t="shared" si="0"/>
        <v>171000</v>
      </c>
      <c r="L30" t="str">
        <f t="shared" si="1"/>
        <v>2025-06</v>
      </c>
    </row>
    <row r="31" spans="1:12" x14ac:dyDescent="0.25">
      <c r="A31">
        <v>1029</v>
      </c>
      <c r="B31">
        <v>81</v>
      </c>
      <c r="C31" t="str">
        <f>IFERROR(_xlfn.XLOOKUP(B31, Customer!A:A, Customer!B:B), "Unknown Customer")</f>
        <v>Nazanin Fallahi</v>
      </c>
      <c r="D31" s="1">
        <v>45907</v>
      </c>
      <c r="E31" t="s">
        <v>22</v>
      </c>
      <c r="F31" t="s">
        <v>14</v>
      </c>
      <c r="G31">
        <v>2</v>
      </c>
      <c r="H31" t="s">
        <v>11</v>
      </c>
      <c r="I31" s="2">
        <v>55000</v>
      </c>
      <c r="J31" t="s">
        <v>24</v>
      </c>
      <c r="K31" s="3">
        <f t="shared" si="0"/>
        <v>110000</v>
      </c>
      <c r="L31" t="str">
        <f t="shared" si="1"/>
        <v>2025-09</v>
      </c>
    </row>
    <row r="32" spans="1:12" x14ac:dyDescent="0.25">
      <c r="A32">
        <v>1030</v>
      </c>
      <c r="B32">
        <v>96</v>
      </c>
      <c r="C32" t="str">
        <f>IFERROR(_xlfn.XLOOKUP(B32, Customer!A:A, Customer!B:B), "Unknown Customer")</f>
        <v>Milad Norouzi</v>
      </c>
      <c r="D32" s="1">
        <v>45880</v>
      </c>
      <c r="E32" t="s">
        <v>18</v>
      </c>
      <c r="F32" t="s">
        <v>14</v>
      </c>
      <c r="G32">
        <v>2</v>
      </c>
      <c r="H32" t="s">
        <v>11</v>
      </c>
      <c r="I32" s="2">
        <v>55000</v>
      </c>
      <c r="J32" t="s">
        <v>19</v>
      </c>
      <c r="K32" s="3">
        <f t="shared" si="0"/>
        <v>110000</v>
      </c>
      <c r="L32" t="str">
        <f t="shared" si="1"/>
        <v>2025-08</v>
      </c>
    </row>
    <row r="33" spans="1:12" x14ac:dyDescent="0.25">
      <c r="A33">
        <v>1031</v>
      </c>
      <c r="B33">
        <v>6</v>
      </c>
      <c r="C33" t="str">
        <f>IFERROR(_xlfn.XLOOKUP(B33, Customer!A:A, Customer!B:B), "Unknown Customer")</f>
        <v>Sepideh Mousavi</v>
      </c>
      <c r="D33" s="1">
        <v>45686</v>
      </c>
      <c r="E33" t="s">
        <v>25</v>
      </c>
      <c r="F33" t="s">
        <v>10</v>
      </c>
      <c r="G33">
        <v>1</v>
      </c>
      <c r="H33" t="s">
        <v>11</v>
      </c>
      <c r="I33" s="2">
        <v>65000</v>
      </c>
      <c r="J33" t="s">
        <v>32</v>
      </c>
      <c r="K33" s="3">
        <f t="shared" si="0"/>
        <v>65000</v>
      </c>
      <c r="L33" t="str">
        <f t="shared" si="1"/>
        <v>2025-01</v>
      </c>
    </row>
    <row r="34" spans="1:12" x14ac:dyDescent="0.25">
      <c r="A34">
        <v>1032</v>
      </c>
      <c r="B34">
        <v>53</v>
      </c>
      <c r="C34" t="str">
        <f>IFERROR(_xlfn.XLOOKUP(B34, Customer!A:A, Customer!B:B), "Unknown Customer")</f>
        <v>Azadeh Moradi</v>
      </c>
      <c r="D34" s="1">
        <v>46007</v>
      </c>
      <c r="E34" t="s">
        <v>20</v>
      </c>
      <c r="F34" t="s">
        <v>17</v>
      </c>
      <c r="G34">
        <v>1</v>
      </c>
      <c r="H34" t="s">
        <v>11</v>
      </c>
      <c r="I34" s="2">
        <v>45000</v>
      </c>
      <c r="J34" t="s">
        <v>28</v>
      </c>
      <c r="K34" s="3">
        <f t="shared" si="0"/>
        <v>45000</v>
      </c>
      <c r="L34" t="str">
        <f t="shared" si="1"/>
        <v>2025-12</v>
      </c>
    </row>
    <row r="35" spans="1:12" x14ac:dyDescent="0.25">
      <c r="A35">
        <v>1033</v>
      </c>
      <c r="B35">
        <v>88</v>
      </c>
      <c r="C35" t="str">
        <f>IFERROR(_xlfn.XLOOKUP(B35, Customer!A:A, Customer!B:B), "Unknown Customer")</f>
        <v>Golnaz Rostami</v>
      </c>
      <c r="D35" s="1">
        <v>45912</v>
      </c>
      <c r="E35" t="s">
        <v>30</v>
      </c>
      <c r="F35" t="s">
        <v>14</v>
      </c>
      <c r="G35">
        <v>1</v>
      </c>
      <c r="H35" t="s">
        <v>11</v>
      </c>
      <c r="I35" s="2">
        <v>48000</v>
      </c>
      <c r="J35" t="s">
        <v>15</v>
      </c>
      <c r="K35" s="3">
        <f t="shared" si="0"/>
        <v>48000</v>
      </c>
      <c r="L35" t="str">
        <f t="shared" si="1"/>
        <v>2025-09</v>
      </c>
    </row>
    <row r="36" spans="1:12" x14ac:dyDescent="0.25">
      <c r="A36">
        <v>1034</v>
      </c>
      <c r="B36">
        <v>33</v>
      </c>
      <c r="C36" t="str">
        <f>IFERROR(_xlfn.XLOOKUP(B36, Customer!A:A, Customer!B:B), "Unknown Customer")</f>
        <v>Niloofar Zare</v>
      </c>
      <c r="D36" s="1">
        <v>45778</v>
      </c>
      <c r="E36" t="s">
        <v>27</v>
      </c>
      <c r="F36" t="s">
        <v>14</v>
      </c>
      <c r="G36">
        <v>-3</v>
      </c>
      <c r="H36" t="s">
        <v>26</v>
      </c>
      <c r="I36" s="2">
        <v>40000</v>
      </c>
      <c r="J36" t="s">
        <v>15</v>
      </c>
      <c r="K36" s="3">
        <f t="shared" si="0"/>
        <v>-120000</v>
      </c>
      <c r="L36" t="str">
        <f t="shared" si="1"/>
        <v>2025-05</v>
      </c>
    </row>
    <row r="37" spans="1:12" x14ac:dyDescent="0.25">
      <c r="A37">
        <v>1035</v>
      </c>
      <c r="B37">
        <v>96</v>
      </c>
      <c r="C37" t="str">
        <f>IFERROR(_xlfn.XLOOKUP(B37, Customer!A:A, Customer!B:B), "Unknown Customer")</f>
        <v>Milad Norouzi</v>
      </c>
      <c r="D37" s="1">
        <v>45958</v>
      </c>
      <c r="E37" t="s">
        <v>25</v>
      </c>
      <c r="F37" t="s">
        <v>10</v>
      </c>
      <c r="G37">
        <v>3</v>
      </c>
      <c r="H37" t="s">
        <v>11</v>
      </c>
      <c r="I37" s="2">
        <v>65000</v>
      </c>
      <c r="J37" t="s">
        <v>24</v>
      </c>
      <c r="K37" s="3">
        <f t="shared" si="0"/>
        <v>195000</v>
      </c>
      <c r="L37" t="str">
        <f t="shared" si="1"/>
        <v>2025-10</v>
      </c>
    </row>
    <row r="38" spans="1:12" x14ac:dyDescent="0.25">
      <c r="A38">
        <v>1036</v>
      </c>
      <c r="B38">
        <v>50</v>
      </c>
      <c r="C38" t="str">
        <f>IFERROR(_xlfn.XLOOKUP(B38, Customer!A:A, Customer!B:B), "Unknown Customer")</f>
        <v>Mona Naderi</v>
      </c>
      <c r="D38" s="1">
        <v>45712</v>
      </c>
      <c r="E38" t="s">
        <v>16</v>
      </c>
      <c r="F38" t="s">
        <v>17</v>
      </c>
      <c r="G38">
        <v>2</v>
      </c>
      <c r="H38" t="s">
        <v>11</v>
      </c>
      <c r="I38" s="2">
        <v>75000</v>
      </c>
      <c r="J38" t="s">
        <v>32</v>
      </c>
      <c r="K38" s="3">
        <f t="shared" si="0"/>
        <v>150000</v>
      </c>
      <c r="L38" t="str">
        <f t="shared" si="1"/>
        <v>2025-02</v>
      </c>
    </row>
    <row r="39" spans="1:12" x14ac:dyDescent="0.25">
      <c r="A39">
        <v>1037</v>
      </c>
      <c r="B39">
        <v>38</v>
      </c>
      <c r="C39" t="str">
        <f>IFERROR(_xlfn.XLOOKUP(B39, Customer!A:A, Customer!B:B), "Unknown Customer")</f>
        <v>Setareh Naderi</v>
      </c>
      <c r="D39" s="1">
        <v>45759</v>
      </c>
      <c r="E39" t="s">
        <v>29</v>
      </c>
      <c r="F39" t="s">
        <v>14</v>
      </c>
      <c r="G39">
        <v>1</v>
      </c>
      <c r="H39" t="s">
        <v>11</v>
      </c>
      <c r="I39" s="2">
        <v>50000</v>
      </c>
      <c r="J39" t="s">
        <v>28</v>
      </c>
      <c r="K39" s="3">
        <f t="shared" si="0"/>
        <v>50000</v>
      </c>
      <c r="L39" t="str">
        <f t="shared" si="1"/>
        <v>2025-04</v>
      </c>
    </row>
    <row r="40" spans="1:12" x14ac:dyDescent="0.25">
      <c r="A40">
        <v>1038</v>
      </c>
      <c r="B40">
        <v>96</v>
      </c>
      <c r="C40" t="str">
        <f>IFERROR(_xlfn.XLOOKUP(B40, Customer!A:A, Customer!B:B), "Unknown Customer")</f>
        <v>Milad Norouzi</v>
      </c>
      <c r="D40" s="1">
        <v>45804</v>
      </c>
      <c r="E40" t="s">
        <v>16</v>
      </c>
      <c r="F40" t="s">
        <v>17</v>
      </c>
      <c r="G40">
        <v>1</v>
      </c>
      <c r="H40" t="s">
        <v>11</v>
      </c>
      <c r="I40" s="2">
        <v>75000</v>
      </c>
      <c r="J40" t="s">
        <v>12</v>
      </c>
      <c r="K40" s="3">
        <f t="shared" si="0"/>
        <v>75000</v>
      </c>
      <c r="L40" t="str">
        <f t="shared" si="1"/>
        <v>2025-05</v>
      </c>
    </row>
    <row r="41" spans="1:12" x14ac:dyDescent="0.25">
      <c r="A41">
        <v>1039</v>
      </c>
      <c r="B41">
        <v>97</v>
      </c>
      <c r="C41" t="str">
        <f>IFERROR(_xlfn.XLOOKUP(B41, Customer!A:A, Customer!B:B), "Unknown Customer")</f>
        <v>Setareh Sadeghi</v>
      </c>
      <c r="D41" s="1">
        <v>45995</v>
      </c>
      <c r="E41" t="s">
        <v>22</v>
      </c>
      <c r="F41" t="s">
        <v>14</v>
      </c>
      <c r="G41">
        <v>3</v>
      </c>
      <c r="H41" t="s">
        <v>11</v>
      </c>
      <c r="I41" s="2">
        <v>55000</v>
      </c>
      <c r="J41" t="s">
        <v>21</v>
      </c>
      <c r="K41" s="3">
        <f t="shared" si="0"/>
        <v>165000</v>
      </c>
      <c r="L41" t="str">
        <f t="shared" si="1"/>
        <v>2025-12</v>
      </c>
    </row>
    <row r="42" spans="1:12" x14ac:dyDescent="0.25">
      <c r="A42">
        <v>1040</v>
      </c>
      <c r="B42">
        <v>101</v>
      </c>
      <c r="C42" t="str">
        <f>IFERROR(_xlfn.XLOOKUP(B42, Customer!A:A, Customer!B:B), "Unknown Customer")</f>
        <v>Niloofar Ghasemi</v>
      </c>
      <c r="D42" s="1">
        <v>45675</v>
      </c>
      <c r="E42" t="s">
        <v>16</v>
      </c>
      <c r="F42" t="s">
        <v>17</v>
      </c>
      <c r="G42">
        <v>3</v>
      </c>
      <c r="H42" t="s">
        <v>11</v>
      </c>
      <c r="I42" s="2">
        <v>75000</v>
      </c>
      <c r="J42" t="s">
        <v>21</v>
      </c>
      <c r="K42" s="3">
        <f t="shared" si="0"/>
        <v>225000</v>
      </c>
      <c r="L42" t="str">
        <f t="shared" si="1"/>
        <v>2025-01</v>
      </c>
    </row>
    <row r="43" spans="1:12" x14ac:dyDescent="0.25">
      <c r="A43">
        <v>1041</v>
      </c>
      <c r="B43">
        <v>96</v>
      </c>
      <c r="C43" t="str">
        <f>IFERROR(_xlfn.XLOOKUP(B43, Customer!A:A, Customer!B:B), "Unknown Customer")</f>
        <v>Milad Norouzi</v>
      </c>
      <c r="D43" s="1">
        <v>45747</v>
      </c>
      <c r="E43" t="s">
        <v>31</v>
      </c>
      <c r="F43" t="s">
        <v>17</v>
      </c>
      <c r="G43">
        <v>4</v>
      </c>
      <c r="H43" t="s">
        <v>11</v>
      </c>
      <c r="I43" s="2">
        <v>45000</v>
      </c>
      <c r="J43" t="s">
        <v>24</v>
      </c>
      <c r="K43" s="3">
        <f t="shared" si="0"/>
        <v>180000</v>
      </c>
      <c r="L43" t="str">
        <f t="shared" si="1"/>
        <v>2025-03</v>
      </c>
    </row>
    <row r="44" spans="1:12" x14ac:dyDescent="0.25">
      <c r="A44">
        <v>1042</v>
      </c>
      <c r="B44">
        <v>33</v>
      </c>
      <c r="C44" t="str">
        <f>IFERROR(_xlfn.XLOOKUP(B44, Customer!A:A, Customer!B:B), "Unknown Customer")</f>
        <v>Niloofar Zare</v>
      </c>
      <c r="D44" s="1">
        <v>45663</v>
      </c>
      <c r="E44" t="s">
        <v>16</v>
      </c>
      <c r="F44" t="s">
        <v>17</v>
      </c>
      <c r="G44">
        <v>4</v>
      </c>
      <c r="H44" t="s">
        <v>11</v>
      </c>
      <c r="I44" s="2">
        <v>70000</v>
      </c>
      <c r="J44" t="s">
        <v>24</v>
      </c>
      <c r="K44" s="3">
        <f t="shared" si="0"/>
        <v>280000</v>
      </c>
      <c r="L44" t="str">
        <f t="shared" si="1"/>
        <v>2025-01</v>
      </c>
    </row>
    <row r="45" spans="1:12" x14ac:dyDescent="0.25">
      <c r="A45">
        <v>1043</v>
      </c>
      <c r="B45">
        <v>97</v>
      </c>
      <c r="C45" t="str">
        <f>IFERROR(_xlfn.XLOOKUP(B45, Customer!A:A, Customer!B:B), "Unknown Customer")</f>
        <v>Setareh Sadeghi</v>
      </c>
      <c r="D45" s="1">
        <v>46004</v>
      </c>
      <c r="E45" t="s">
        <v>30</v>
      </c>
      <c r="F45" t="s">
        <v>14</v>
      </c>
      <c r="G45">
        <v>4</v>
      </c>
      <c r="H45" t="s">
        <v>11</v>
      </c>
      <c r="I45" s="2">
        <v>53000</v>
      </c>
      <c r="J45" t="s">
        <v>15</v>
      </c>
      <c r="K45" s="3">
        <f t="shared" si="0"/>
        <v>212000</v>
      </c>
      <c r="L45" t="str">
        <f t="shared" si="1"/>
        <v>2025-12</v>
      </c>
    </row>
    <row r="46" spans="1:12" x14ac:dyDescent="0.25">
      <c r="A46">
        <v>1044</v>
      </c>
      <c r="B46">
        <v>2</v>
      </c>
      <c r="C46" t="str">
        <f>IFERROR(_xlfn.XLOOKUP(B46, Customer!A:A, Customer!B:B), "Unknown Customer")</f>
        <v>Reza Naderi</v>
      </c>
      <c r="D46" s="1">
        <v>45698</v>
      </c>
      <c r="E46" t="s">
        <v>9</v>
      </c>
      <c r="F46" t="s">
        <v>10</v>
      </c>
      <c r="G46">
        <v>1</v>
      </c>
      <c r="H46" t="s">
        <v>11</v>
      </c>
      <c r="I46" s="2">
        <v>62000</v>
      </c>
      <c r="J46" t="s">
        <v>12</v>
      </c>
      <c r="K46" s="3">
        <f t="shared" si="0"/>
        <v>62000</v>
      </c>
      <c r="L46" t="str">
        <f t="shared" si="1"/>
        <v>2025-02</v>
      </c>
    </row>
    <row r="47" spans="1:12" x14ac:dyDescent="0.25">
      <c r="A47">
        <v>1045</v>
      </c>
      <c r="B47">
        <v>96</v>
      </c>
      <c r="C47" t="str">
        <f>IFERROR(_xlfn.XLOOKUP(B47, Customer!A:A, Customer!B:B), "Unknown Customer")</f>
        <v>Milad Norouzi</v>
      </c>
      <c r="D47" s="1">
        <v>45713</v>
      </c>
      <c r="E47" t="s">
        <v>25</v>
      </c>
      <c r="F47" t="s">
        <v>10</v>
      </c>
      <c r="G47">
        <v>2</v>
      </c>
      <c r="H47" t="s">
        <v>11</v>
      </c>
      <c r="I47" s="2">
        <v>60000</v>
      </c>
      <c r="J47" t="s">
        <v>28</v>
      </c>
      <c r="K47" s="3">
        <f t="shared" si="0"/>
        <v>120000</v>
      </c>
      <c r="L47" t="str">
        <f t="shared" si="1"/>
        <v>2025-02</v>
      </c>
    </row>
    <row r="48" spans="1:12" x14ac:dyDescent="0.25">
      <c r="A48">
        <v>1046</v>
      </c>
      <c r="B48">
        <v>29</v>
      </c>
      <c r="C48" t="str">
        <f>IFERROR(_xlfn.XLOOKUP(B48, Customer!A:A, Customer!B:B), "Unknown Customer")</f>
        <v>Leila Kazemi</v>
      </c>
      <c r="D48" s="1">
        <v>45690</v>
      </c>
      <c r="E48" t="s">
        <v>27</v>
      </c>
      <c r="F48" t="s">
        <v>14</v>
      </c>
      <c r="G48">
        <v>3</v>
      </c>
      <c r="H48" t="s">
        <v>11</v>
      </c>
      <c r="I48" s="2">
        <v>35000</v>
      </c>
      <c r="J48" t="s">
        <v>19</v>
      </c>
      <c r="K48" s="3">
        <f t="shared" si="0"/>
        <v>105000</v>
      </c>
      <c r="L48" t="str">
        <f t="shared" si="1"/>
        <v>2025-02</v>
      </c>
    </row>
    <row r="49" spans="1:12" x14ac:dyDescent="0.25">
      <c r="A49">
        <v>1047</v>
      </c>
      <c r="B49">
        <v>18</v>
      </c>
      <c r="C49" t="str">
        <f>IFERROR(_xlfn.XLOOKUP(B49, Customer!A:A, Customer!B:B), "Unknown Customer")</f>
        <v>Niloofar Abbasi</v>
      </c>
      <c r="D49" s="1">
        <v>45677</v>
      </c>
      <c r="E49" t="s">
        <v>29</v>
      </c>
      <c r="F49" t="s">
        <v>14</v>
      </c>
      <c r="G49">
        <v>1</v>
      </c>
      <c r="H49" t="s">
        <v>11</v>
      </c>
      <c r="I49" s="2">
        <v>40000</v>
      </c>
      <c r="J49" t="s">
        <v>15</v>
      </c>
      <c r="K49" s="3">
        <f t="shared" si="0"/>
        <v>40000</v>
      </c>
      <c r="L49" t="str">
        <f t="shared" si="1"/>
        <v>2025-01</v>
      </c>
    </row>
    <row r="50" spans="1:12" x14ac:dyDescent="0.25">
      <c r="A50">
        <v>1048</v>
      </c>
      <c r="B50">
        <v>59</v>
      </c>
      <c r="C50" t="str">
        <f>IFERROR(_xlfn.XLOOKUP(B50, Customer!A:A, Customer!B:B), "Unknown Customer")</f>
        <v>Niloofar Hosseini</v>
      </c>
      <c r="D50" s="1">
        <v>45942</v>
      </c>
      <c r="E50" t="s">
        <v>25</v>
      </c>
      <c r="F50" t="s">
        <v>10</v>
      </c>
      <c r="G50">
        <v>2</v>
      </c>
      <c r="H50" t="s">
        <v>11</v>
      </c>
      <c r="I50" s="2">
        <v>65000</v>
      </c>
      <c r="J50" t="s">
        <v>15</v>
      </c>
      <c r="K50" s="3">
        <f t="shared" si="0"/>
        <v>130000</v>
      </c>
      <c r="L50" t="str">
        <f t="shared" si="1"/>
        <v>2025-10</v>
      </c>
    </row>
    <row r="51" spans="1:12" x14ac:dyDescent="0.25">
      <c r="A51">
        <v>1049</v>
      </c>
      <c r="B51">
        <v>79</v>
      </c>
      <c r="C51" t="str">
        <f>IFERROR(_xlfn.XLOOKUP(B51, Customer!A:A, Customer!B:B), "Unknown Customer")</f>
        <v>Niloofar Ahmadi</v>
      </c>
      <c r="D51" s="1">
        <v>45801</v>
      </c>
      <c r="E51" t="s">
        <v>31</v>
      </c>
      <c r="F51" t="s">
        <v>17</v>
      </c>
      <c r="G51">
        <v>1</v>
      </c>
      <c r="H51" t="s">
        <v>11</v>
      </c>
      <c r="I51" s="2">
        <v>40000</v>
      </c>
      <c r="J51" t="s">
        <v>21</v>
      </c>
      <c r="K51" s="3">
        <f t="shared" si="0"/>
        <v>40000</v>
      </c>
      <c r="L51" t="str">
        <f t="shared" si="1"/>
        <v>2025-05</v>
      </c>
    </row>
    <row r="52" spans="1:12" x14ac:dyDescent="0.25">
      <c r="A52">
        <v>1050</v>
      </c>
      <c r="B52">
        <v>13</v>
      </c>
      <c r="C52" t="str">
        <f>IFERROR(_xlfn.XLOOKUP(B52, Customer!A:A, Customer!B:B), "Unknown Customer")</f>
        <v>Milad Naderi</v>
      </c>
      <c r="D52" s="1">
        <v>45876</v>
      </c>
      <c r="E52" t="s">
        <v>27</v>
      </c>
      <c r="F52" t="s">
        <v>14</v>
      </c>
      <c r="G52">
        <v>1</v>
      </c>
      <c r="H52" t="s">
        <v>11</v>
      </c>
      <c r="I52" s="2">
        <v>35000</v>
      </c>
      <c r="J52" t="s">
        <v>19</v>
      </c>
      <c r="K52" s="3">
        <f t="shared" si="0"/>
        <v>35000</v>
      </c>
      <c r="L52" t="str">
        <f t="shared" si="1"/>
        <v>2025-08</v>
      </c>
    </row>
    <row r="53" spans="1:12" x14ac:dyDescent="0.25">
      <c r="A53">
        <v>1051</v>
      </c>
      <c r="B53">
        <v>55</v>
      </c>
      <c r="C53" t="str">
        <f>IFERROR(_xlfn.XLOOKUP(B53, Customer!A:A, Customer!B:B), "Unknown Customer")</f>
        <v>Payam Jafari</v>
      </c>
      <c r="D53" s="1">
        <v>45704</v>
      </c>
      <c r="E53" t="s">
        <v>16</v>
      </c>
      <c r="F53" t="s">
        <v>17</v>
      </c>
      <c r="G53">
        <v>3</v>
      </c>
      <c r="H53" t="s">
        <v>11</v>
      </c>
      <c r="I53" s="2">
        <v>80000</v>
      </c>
      <c r="J53" t="s">
        <v>21</v>
      </c>
      <c r="K53" s="3">
        <f t="shared" si="0"/>
        <v>240000</v>
      </c>
      <c r="L53" t="str">
        <f t="shared" si="1"/>
        <v>2025-02</v>
      </c>
    </row>
    <row r="54" spans="1:12" x14ac:dyDescent="0.25">
      <c r="A54">
        <v>1052</v>
      </c>
      <c r="B54">
        <v>32</v>
      </c>
      <c r="C54" t="str">
        <f>IFERROR(_xlfn.XLOOKUP(B54, Customer!A:A, Customer!B:B), "Unknown Customer")</f>
        <v>Elham Karimi</v>
      </c>
      <c r="D54" s="1">
        <v>45947</v>
      </c>
      <c r="E54" t="s">
        <v>13</v>
      </c>
      <c r="F54" t="s">
        <v>14</v>
      </c>
      <c r="G54">
        <v>4</v>
      </c>
      <c r="H54" t="s">
        <v>11</v>
      </c>
      <c r="I54" s="2">
        <v>63000</v>
      </c>
      <c r="J54" t="s">
        <v>24</v>
      </c>
      <c r="K54" s="3">
        <f t="shared" si="0"/>
        <v>252000</v>
      </c>
      <c r="L54" t="str">
        <f t="shared" si="1"/>
        <v>2025-10</v>
      </c>
    </row>
    <row r="55" spans="1:12" x14ac:dyDescent="0.25">
      <c r="A55">
        <v>1053</v>
      </c>
      <c r="B55">
        <v>43</v>
      </c>
      <c r="C55" t="str">
        <f>IFERROR(_xlfn.XLOOKUP(B55, Customer!A:A, Customer!B:B), "Unknown Customer")</f>
        <v>Ali Mousavi</v>
      </c>
      <c r="D55" s="1">
        <v>45699</v>
      </c>
      <c r="E55" t="s">
        <v>13</v>
      </c>
      <c r="F55" t="s">
        <v>14</v>
      </c>
      <c r="G55">
        <v>4</v>
      </c>
      <c r="H55" t="s">
        <v>11</v>
      </c>
      <c r="I55" s="2">
        <v>58000</v>
      </c>
      <c r="J55" t="s">
        <v>24</v>
      </c>
      <c r="K55" s="3">
        <f t="shared" si="0"/>
        <v>232000</v>
      </c>
      <c r="L55" t="str">
        <f t="shared" si="1"/>
        <v>2025-02</v>
      </c>
    </row>
    <row r="56" spans="1:12" x14ac:dyDescent="0.25">
      <c r="A56">
        <v>1054</v>
      </c>
      <c r="B56">
        <v>15</v>
      </c>
      <c r="C56" t="str">
        <f>IFERROR(_xlfn.XLOOKUP(B56, Customer!A:A, Customer!B:B), "Unknown Customer")</f>
        <v>Milad Zare</v>
      </c>
      <c r="D56" s="1">
        <v>45671</v>
      </c>
      <c r="E56" t="s">
        <v>27</v>
      </c>
      <c r="F56" t="s">
        <v>14</v>
      </c>
      <c r="G56">
        <v>1</v>
      </c>
      <c r="H56" t="s">
        <v>11</v>
      </c>
      <c r="I56" s="2">
        <v>35000</v>
      </c>
      <c r="J56" t="s">
        <v>19</v>
      </c>
      <c r="K56" s="3">
        <f t="shared" si="0"/>
        <v>35000</v>
      </c>
      <c r="L56" t="str">
        <f t="shared" si="1"/>
        <v>2025-01</v>
      </c>
    </row>
    <row r="57" spans="1:12" x14ac:dyDescent="0.25">
      <c r="A57">
        <v>1055</v>
      </c>
      <c r="B57">
        <v>23</v>
      </c>
      <c r="C57" t="str">
        <f>IFERROR(_xlfn.XLOOKUP(B57, Customer!A:A, Customer!B:B), "Unknown Customer")</f>
        <v>Milad Rezaei</v>
      </c>
      <c r="D57" s="1">
        <v>45684</v>
      </c>
      <c r="E57" t="s">
        <v>9</v>
      </c>
      <c r="F57" t="s">
        <v>10</v>
      </c>
      <c r="G57">
        <v>2</v>
      </c>
      <c r="H57" t="s">
        <v>11</v>
      </c>
      <c r="I57" s="2">
        <v>57000</v>
      </c>
      <c r="J57" t="s">
        <v>15</v>
      </c>
      <c r="K57" s="3">
        <f t="shared" si="0"/>
        <v>114000</v>
      </c>
      <c r="L57" t="str">
        <f t="shared" si="1"/>
        <v>2025-01</v>
      </c>
    </row>
    <row r="58" spans="1:12" x14ac:dyDescent="0.25">
      <c r="A58">
        <v>1056</v>
      </c>
      <c r="B58">
        <v>58</v>
      </c>
      <c r="C58" t="str">
        <f>IFERROR(_xlfn.XLOOKUP(B58, Customer!A:A, Customer!B:B), "Unknown Customer")</f>
        <v>Mona Moradi</v>
      </c>
      <c r="D58" s="1">
        <v>45920</v>
      </c>
      <c r="E58" t="s">
        <v>25</v>
      </c>
      <c r="F58" t="s">
        <v>10</v>
      </c>
      <c r="G58">
        <v>2</v>
      </c>
      <c r="H58" t="s">
        <v>11</v>
      </c>
      <c r="I58" s="2">
        <v>70000</v>
      </c>
      <c r="J58" t="s">
        <v>12</v>
      </c>
      <c r="K58" s="3">
        <f t="shared" si="0"/>
        <v>140000</v>
      </c>
      <c r="L58" t="str">
        <f t="shared" si="1"/>
        <v>2025-09</v>
      </c>
    </row>
    <row r="59" spans="1:12" x14ac:dyDescent="0.25">
      <c r="A59">
        <v>1057</v>
      </c>
      <c r="B59">
        <v>101</v>
      </c>
      <c r="C59" t="str">
        <f>IFERROR(_xlfn.XLOOKUP(B59, Customer!A:A, Customer!B:B), "Unknown Customer")</f>
        <v>Niloofar Ghasemi</v>
      </c>
      <c r="D59" s="1">
        <v>45924</v>
      </c>
      <c r="E59" t="s">
        <v>27</v>
      </c>
      <c r="F59" t="s">
        <v>14</v>
      </c>
      <c r="G59">
        <v>3</v>
      </c>
      <c r="H59" t="s">
        <v>11</v>
      </c>
      <c r="I59" s="2">
        <v>30000</v>
      </c>
      <c r="J59" t="s">
        <v>15</v>
      </c>
      <c r="K59" s="3">
        <f t="shared" si="0"/>
        <v>90000</v>
      </c>
      <c r="L59" t="str">
        <f t="shared" si="1"/>
        <v>2025-09</v>
      </c>
    </row>
    <row r="60" spans="1:12" x14ac:dyDescent="0.25">
      <c r="A60">
        <v>1058</v>
      </c>
      <c r="B60">
        <v>55</v>
      </c>
      <c r="C60" t="str">
        <f>IFERROR(_xlfn.XLOOKUP(B60, Customer!A:A, Customer!B:B), "Unknown Customer")</f>
        <v>Payam Jafari</v>
      </c>
      <c r="D60" s="1">
        <v>45713</v>
      </c>
      <c r="E60" t="s">
        <v>27</v>
      </c>
      <c r="F60" t="s">
        <v>14</v>
      </c>
      <c r="G60">
        <v>1</v>
      </c>
      <c r="H60" t="s">
        <v>11</v>
      </c>
      <c r="I60" s="2">
        <v>30000</v>
      </c>
      <c r="J60" t="s">
        <v>19</v>
      </c>
      <c r="K60" s="3">
        <f t="shared" si="0"/>
        <v>30000</v>
      </c>
      <c r="L60" t="str">
        <f t="shared" si="1"/>
        <v>2025-02</v>
      </c>
    </row>
    <row r="61" spans="1:12" x14ac:dyDescent="0.25">
      <c r="A61">
        <v>1059</v>
      </c>
      <c r="B61">
        <v>17</v>
      </c>
      <c r="C61" t="str">
        <f>IFERROR(_xlfn.XLOOKUP(B61, Customer!A:A, Customer!B:B), "Unknown Customer")</f>
        <v>Kaveh Jafari</v>
      </c>
      <c r="D61" s="1">
        <v>45977</v>
      </c>
      <c r="E61" t="s">
        <v>9</v>
      </c>
      <c r="F61" t="s">
        <v>10</v>
      </c>
      <c r="G61">
        <v>2</v>
      </c>
      <c r="H61" t="s">
        <v>11</v>
      </c>
      <c r="I61" s="2">
        <v>67000</v>
      </c>
      <c r="J61" t="s">
        <v>15</v>
      </c>
      <c r="K61" s="3">
        <f t="shared" si="0"/>
        <v>134000</v>
      </c>
      <c r="L61" t="str">
        <f t="shared" si="1"/>
        <v>2025-11</v>
      </c>
    </row>
    <row r="62" spans="1:12" x14ac:dyDescent="0.25">
      <c r="A62">
        <v>1060</v>
      </c>
      <c r="B62">
        <v>65</v>
      </c>
      <c r="C62" t="str">
        <f>IFERROR(_xlfn.XLOOKUP(B62, Customer!A:A, Customer!B:B), "Unknown Customer")</f>
        <v>Yasaman Norouzi</v>
      </c>
      <c r="D62" s="1">
        <v>45878</v>
      </c>
      <c r="E62" t="s">
        <v>20</v>
      </c>
      <c r="F62" t="s">
        <v>17</v>
      </c>
      <c r="G62">
        <v>4</v>
      </c>
      <c r="H62" t="s">
        <v>11</v>
      </c>
      <c r="I62" s="2">
        <v>55000</v>
      </c>
      <c r="J62" t="s">
        <v>15</v>
      </c>
      <c r="K62" s="3">
        <f t="shared" si="0"/>
        <v>220000</v>
      </c>
      <c r="L62" t="str">
        <f t="shared" si="1"/>
        <v>2025-08</v>
      </c>
    </row>
    <row r="63" spans="1:12" x14ac:dyDescent="0.25">
      <c r="A63">
        <v>1061</v>
      </c>
      <c r="B63">
        <v>58</v>
      </c>
      <c r="C63" t="str">
        <f>IFERROR(_xlfn.XLOOKUP(B63, Customer!A:A, Customer!B:B), "Unknown Customer")</f>
        <v>Mona Moradi</v>
      </c>
      <c r="D63" s="1">
        <v>45869</v>
      </c>
      <c r="E63" t="s">
        <v>30</v>
      </c>
      <c r="F63" t="s">
        <v>14</v>
      </c>
      <c r="G63">
        <v>2</v>
      </c>
      <c r="H63" t="s">
        <v>11</v>
      </c>
      <c r="I63" s="2">
        <v>48000</v>
      </c>
      <c r="J63" t="s">
        <v>32</v>
      </c>
      <c r="K63" s="3">
        <f t="shared" si="0"/>
        <v>96000</v>
      </c>
      <c r="L63" t="str">
        <f t="shared" si="1"/>
        <v>2025-07</v>
      </c>
    </row>
    <row r="64" spans="1:12" x14ac:dyDescent="0.25">
      <c r="A64">
        <v>1062</v>
      </c>
      <c r="B64">
        <v>55</v>
      </c>
      <c r="C64" t="str">
        <f>IFERROR(_xlfn.XLOOKUP(B64, Customer!A:A, Customer!B:B), "Unknown Customer")</f>
        <v>Payam Jafari</v>
      </c>
      <c r="D64" s="1">
        <v>45850</v>
      </c>
      <c r="E64" t="s">
        <v>25</v>
      </c>
      <c r="F64" t="s">
        <v>10</v>
      </c>
      <c r="G64">
        <v>1</v>
      </c>
      <c r="H64" t="s">
        <v>11</v>
      </c>
      <c r="I64" s="2">
        <v>65458.715596330272</v>
      </c>
      <c r="J64" t="s">
        <v>19</v>
      </c>
      <c r="K64" s="3">
        <f t="shared" si="0"/>
        <v>65458.715596330272</v>
      </c>
      <c r="L64" t="str">
        <f t="shared" si="1"/>
        <v>2025-07</v>
      </c>
    </row>
    <row r="65" spans="1:12" x14ac:dyDescent="0.25">
      <c r="A65">
        <v>1063</v>
      </c>
      <c r="B65">
        <v>12</v>
      </c>
      <c r="C65" t="str">
        <f>IFERROR(_xlfn.XLOOKUP(B65, Customer!A:A, Customer!B:B), "Unknown Customer")</f>
        <v>Golnaz Karimi</v>
      </c>
      <c r="D65" s="1">
        <v>45707</v>
      </c>
      <c r="E65" t="s">
        <v>31</v>
      </c>
      <c r="F65" t="s">
        <v>17</v>
      </c>
      <c r="G65">
        <v>-1</v>
      </c>
      <c r="H65" t="s">
        <v>26</v>
      </c>
      <c r="I65" s="2">
        <v>40000</v>
      </c>
      <c r="J65" t="s">
        <v>28</v>
      </c>
      <c r="K65" s="3">
        <f t="shared" si="0"/>
        <v>-40000</v>
      </c>
      <c r="L65" t="str">
        <f t="shared" si="1"/>
        <v>2025-02</v>
      </c>
    </row>
    <row r="66" spans="1:12" x14ac:dyDescent="0.25">
      <c r="A66">
        <v>1064</v>
      </c>
      <c r="B66">
        <v>60</v>
      </c>
      <c r="C66" t="str">
        <f>IFERROR(_xlfn.XLOOKUP(B66, Customer!A:A, Customer!B:B), "Unknown Customer")</f>
        <v>Sina Ghasemi</v>
      </c>
      <c r="D66" s="1">
        <v>45945</v>
      </c>
      <c r="E66" t="s">
        <v>23</v>
      </c>
      <c r="F66" t="s">
        <v>17</v>
      </c>
      <c r="G66">
        <v>2</v>
      </c>
      <c r="H66" t="s">
        <v>11</v>
      </c>
      <c r="I66" s="2">
        <v>85000</v>
      </c>
      <c r="J66" t="s">
        <v>12</v>
      </c>
      <c r="K66" s="3">
        <f t="shared" si="0"/>
        <v>170000</v>
      </c>
      <c r="L66" t="str">
        <f t="shared" si="1"/>
        <v>2025-10</v>
      </c>
    </row>
    <row r="67" spans="1:12" x14ac:dyDescent="0.25">
      <c r="A67">
        <v>1065</v>
      </c>
      <c r="B67">
        <v>7</v>
      </c>
      <c r="C67" t="str">
        <f>IFERROR(_xlfn.XLOOKUP(B67, Customer!A:A, Customer!B:B), "Unknown Customer")</f>
        <v>Farhad Vakili</v>
      </c>
      <c r="D67" s="1">
        <v>45758</v>
      </c>
      <c r="E67" t="s">
        <v>9</v>
      </c>
      <c r="F67" t="s">
        <v>10</v>
      </c>
      <c r="G67">
        <v>1</v>
      </c>
      <c r="H67" t="s">
        <v>11</v>
      </c>
      <c r="I67" s="2">
        <v>67000</v>
      </c>
      <c r="J67" t="s">
        <v>24</v>
      </c>
      <c r="K67" s="3">
        <f t="shared" ref="K67:K130" si="2">G67*I67</f>
        <v>67000</v>
      </c>
      <c r="L67" t="str">
        <f t="shared" ref="L67:L130" si="3">TEXT(D67,"YYYY-MM")</f>
        <v>2025-04</v>
      </c>
    </row>
    <row r="68" spans="1:12" x14ac:dyDescent="0.25">
      <c r="A68">
        <v>1066</v>
      </c>
      <c r="B68">
        <v>85</v>
      </c>
      <c r="C68" t="str">
        <f>IFERROR(_xlfn.XLOOKUP(B68, Customer!A:A, Customer!B:B), "Unknown Customer")</f>
        <v>Sepideh Yousefi</v>
      </c>
      <c r="D68" s="1">
        <v>45772</v>
      </c>
      <c r="E68" t="s">
        <v>16</v>
      </c>
      <c r="F68" t="s">
        <v>17</v>
      </c>
      <c r="G68">
        <v>4</v>
      </c>
      <c r="H68" t="s">
        <v>11</v>
      </c>
      <c r="I68" s="2">
        <v>80000</v>
      </c>
      <c r="J68" t="s">
        <v>21</v>
      </c>
      <c r="K68" s="3">
        <f t="shared" si="2"/>
        <v>320000</v>
      </c>
      <c r="L68" t="str">
        <f t="shared" si="3"/>
        <v>2025-04</v>
      </c>
    </row>
    <row r="69" spans="1:12" x14ac:dyDescent="0.25">
      <c r="A69">
        <v>1067</v>
      </c>
      <c r="B69">
        <v>74</v>
      </c>
      <c r="C69" t="str">
        <f>IFERROR(_xlfn.XLOOKUP(B69, Customer!A:A, Customer!B:B), "Unknown Customer")</f>
        <v>Amir Vakili</v>
      </c>
      <c r="D69" s="1">
        <v>45877</v>
      </c>
      <c r="E69" t="s">
        <v>30</v>
      </c>
      <c r="F69" t="s">
        <v>14</v>
      </c>
      <c r="G69">
        <v>2</v>
      </c>
      <c r="H69" t="s">
        <v>11</v>
      </c>
      <c r="I69" s="2">
        <v>48000</v>
      </c>
      <c r="J69" t="s">
        <v>21</v>
      </c>
      <c r="K69" s="3">
        <f t="shared" si="2"/>
        <v>96000</v>
      </c>
      <c r="L69" t="str">
        <f t="shared" si="3"/>
        <v>2025-08</v>
      </c>
    </row>
    <row r="70" spans="1:12" x14ac:dyDescent="0.25">
      <c r="A70">
        <v>1068</v>
      </c>
      <c r="B70">
        <v>90</v>
      </c>
      <c r="C70" t="str">
        <f>IFERROR(_xlfn.XLOOKUP(B70, Customer!A:A, Customer!B:B), "Unknown Customer")</f>
        <v>Yasaman Karimi</v>
      </c>
      <c r="D70" s="1">
        <v>45831</v>
      </c>
      <c r="E70" t="s">
        <v>9</v>
      </c>
      <c r="F70" t="s">
        <v>10</v>
      </c>
      <c r="G70">
        <v>1</v>
      </c>
      <c r="H70" t="s">
        <v>11</v>
      </c>
      <c r="I70" s="2">
        <v>62000</v>
      </c>
      <c r="J70" t="s">
        <v>19</v>
      </c>
      <c r="K70" s="3">
        <f t="shared" si="2"/>
        <v>62000</v>
      </c>
      <c r="L70" t="str">
        <f t="shared" si="3"/>
        <v>2025-06</v>
      </c>
    </row>
    <row r="71" spans="1:12" x14ac:dyDescent="0.25">
      <c r="A71">
        <v>1069</v>
      </c>
      <c r="B71">
        <v>19</v>
      </c>
      <c r="C71" t="str">
        <f>IFERROR(_xlfn.XLOOKUP(B71, Customer!A:A, Customer!B:B), "Unknown Customer")</f>
        <v>Leila Sadeghi</v>
      </c>
      <c r="D71" s="1">
        <v>45982</v>
      </c>
      <c r="E71" t="s">
        <v>22</v>
      </c>
      <c r="F71" t="s">
        <v>14</v>
      </c>
      <c r="G71">
        <v>3</v>
      </c>
      <c r="H71" t="s">
        <v>11</v>
      </c>
      <c r="I71" s="2">
        <v>65000</v>
      </c>
      <c r="J71" t="s">
        <v>15</v>
      </c>
      <c r="K71" s="3">
        <f t="shared" si="2"/>
        <v>195000</v>
      </c>
      <c r="L71" t="str">
        <f t="shared" si="3"/>
        <v>2025-11</v>
      </c>
    </row>
    <row r="72" spans="1:12" x14ac:dyDescent="0.25">
      <c r="A72">
        <v>1070</v>
      </c>
      <c r="B72">
        <v>59</v>
      </c>
      <c r="C72" t="str">
        <f>IFERROR(_xlfn.XLOOKUP(B72, Customer!A:A, Customer!B:B), "Unknown Customer")</f>
        <v>Niloofar Hosseini</v>
      </c>
      <c r="D72" s="1">
        <v>45738</v>
      </c>
      <c r="E72" t="s">
        <v>25</v>
      </c>
      <c r="F72" t="s">
        <v>10</v>
      </c>
      <c r="G72">
        <v>3</v>
      </c>
      <c r="H72" t="s">
        <v>11</v>
      </c>
      <c r="I72" s="2">
        <v>65458.715596330272</v>
      </c>
      <c r="J72" t="s">
        <v>19</v>
      </c>
      <c r="K72" s="3">
        <f t="shared" si="2"/>
        <v>196376.14678899082</v>
      </c>
      <c r="L72" t="str">
        <f t="shared" si="3"/>
        <v>2025-03</v>
      </c>
    </row>
    <row r="73" spans="1:12" x14ac:dyDescent="0.25">
      <c r="A73">
        <v>1071</v>
      </c>
      <c r="B73">
        <v>20</v>
      </c>
      <c r="C73" t="str">
        <f>IFERROR(_xlfn.XLOOKUP(B73, Customer!A:A, Customer!B:B), "Unknown Customer")</f>
        <v>Setareh Abbasi</v>
      </c>
      <c r="D73" s="1">
        <v>45974</v>
      </c>
      <c r="E73" t="s">
        <v>13</v>
      </c>
      <c r="F73" t="s">
        <v>14</v>
      </c>
      <c r="G73">
        <v>1</v>
      </c>
      <c r="H73" t="s">
        <v>11</v>
      </c>
      <c r="I73" s="2">
        <v>58000</v>
      </c>
      <c r="J73" t="s">
        <v>15</v>
      </c>
      <c r="K73" s="3">
        <f t="shared" si="2"/>
        <v>58000</v>
      </c>
      <c r="L73" t="str">
        <f t="shared" si="3"/>
        <v>2025-11</v>
      </c>
    </row>
    <row r="74" spans="1:12" x14ac:dyDescent="0.25">
      <c r="A74">
        <v>1072</v>
      </c>
      <c r="B74">
        <v>78</v>
      </c>
      <c r="C74" t="str">
        <f>IFERROR(_xlfn.XLOOKUP(B74, Customer!A:A, Customer!B:B), "Unknown Customer")</f>
        <v>Elham Karimi</v>
      </c>
      <c r="D74" s="1">
        <v>45870</v>
      </c>
      <c r="E74" t="s">
        <v>16</v>
      </c>
      <c r="F74" t="s">
        <v>17</v>
      </c>
      <c r="G74">
        <v>4</v>
      </c>
      <c r="H74" t="s">
        <v>11</v>
      </c>
      <c r="I74" s="2">
        <v>80000</v>
      </c>
      <c r="J74" t="s">
        <v>15</v>
      </c>
      <c r="K74" s="3">
        <f t="shared" si="2"/>
        <v>320000</v>
      </c>
      <c r="L74" t="str">
        <f t="shared" si="3"/>
        <v>2025-08</v>
      </c>
    </row>
    <row r="75" spans="1:12" x14ac:dyDescent="0.25">
      <c r="A75">
        <v>1073</v>
      </c>
      <c r="B75">
        <v>15</v>
      </c>
      <c r="C75" t="str">
        <f>IFERROR(_xlfn.XLOOKUP(B75, Customer!A:A, Customer!B:B), "Unknown Customer")</f>
        <v>Milad Zare</v>
      </c>
      <c r="D75" s="1">
        <v>46005</v>
      </c>
      <c r="E75" t="s">
        <v>9</v>
      </c>
      <c r="F75" t="s">
        <v>10</v>
      </c>
      <c r="G75">
        <v>2</v>
      </c>
      <c r="H75" t="s">
        <v>11</v>
      </c>
      <c r="I75" s="2">
        <v>62000</v>
      </c>
      <c r="J75" t="s">
        <v>15</v>
      </c>
      <c r="K75" s="3">
        <f t="shared" si="2"/>
        <v>124000</v>
      </c>
      <c r="L75" t="str">
        <f t="shared" si="3"/>
        <v>2025-12</v>
      </c>
    </row>
    <row r="76" spans="1:12" x14ac:dyDescent="0.25">
      <c r="A76">
        <v>1074</v>
      </c>
      <c r="B76">
        <v>77</v>
      </c>
      <c r="C76" t="str">
        <f>IFERROR(_xlfn.XLOOKUP(B76, Customer!A:A, Customer!B:B), "Unknown Customer")</f>
        <v>Iman Sadeghi</v>
      </c>
      <c r="D76" s="1">
        <v>45748</v>
      </c>
      <c r="E76" t="s">
        <v>29</v>
      </c>
      <c r="F76" t="s">
        <v>14</v>
      </c>
      <c r="G76">
        <v>1</v>
      </c>
      <c r="H76" t="s">
        <v>11</v>
      </c>
      <c r="I76" s="2">
        <v>45000</v>
      </c>
      <c r="J76" t="s">
        <v>21</v>
      </c>
      <c r="K76" s="3">
        <f t="shared" si="2"/>
        <v>45000</v>
      </c>
      <c r="L76" t="str">
        <f t="shared" si="3"/>
        <v>2025-04</v>
      </c>
    </row>
    <row r="77" spans="1:12" x14ac:dyDescent="0.25">
      <c r="A77">
        <v>1075</v>
      </c>
      <c r="B77">
        <v>16</v>
      </c>
      <c r="C77" t="str">
        <f>IFERROR(_xlfn.XLOOKUP(B77, Customer!A:A, Customer!B:B), "Unknown Customer")</f>
        <v>Milad Yousefi</v>
      </c>
      <c r="D77" s="1">
        <v>46000</v>
      </c>
      <c r="E77" t="s">
        <v>29</v>
      </c>
      <c r="F77" t="s">
        <v>14</v>
      </c>
      <c r="G77">
        <v>1</v>
      </c>
      <c r="H77" t="s">
        <v>11</v>
      </c>
      <c r="I77" s="2">
        <v>45000</v>
      </c>
      <c r="J77" t="s">
        <v>28</v>
      </c>
      <c r="K77" s="3">
        <f t="shared" si="2"/>
        <v>45000</v>
      </c>
      <c r="L77" t="str">
        <f t="shared" si="3"/>
        <v>2025-12</v>
      </c>
    </row>
    <row r="78" spans="1:12" x14ac:dyDescent="0.25">
      <c r="A78">
        <v>1076</v>
      </c>
      <c r="B78">
        <v>72</v>
      </c>
      <c r="C78" t="str">
        <f>IFERROR(_xlfn.XLOOKUP(B78, Customer!A:A, Customer!B:B), "Unknown Customer")</f>
        <v>Roya Rostami</v>
      </c>
      <c r="D78" s="1">
        <v>45664</v>
      </c>
      <c r="E78" t="s">
        <v>27</v>
      </c>
      <c r="F78" t="s">
        <v>14</v>
      </c>
      <c r="G78">
        <v>4</v>
      </c>
      <c r="H78" t="s">
        <v>11</v>
      </c>
      <c r="I78" s="2">
        <v>30000</v>
      </c>
      <c r="J78" t="s">
        <v>32</v>
      </c>
      <c r="K78" s="3">
        <f t="shared" si="2"/>
        <v>120000</v>
      </c>
      <c r="L78" t="str">
        <f t="shared" si="3"/>
        <v>2025-01</v>
      </c>
    </row>
    <row r="79" spans="1:12" x14ac:dyDescent="0.25">
      <c r="A79">
        <v>1077</v>
      </c>
      <c r="B79">
        <v>118</v>
      </c>
      <c r="C79" t="str">
        <f>IFERROR(_xlfn.XLOOKUP(B79, Customer!A:A, Customer!B:B), "Unknown Customer")</f>
        <v>Hamed Rezaei</v>
      </c>
      <c r="D79" s="1">
        <v>45936</v>
      </c>
      <c r="E79" t="s">
        <v>18</v>
      </c>
      <c r="F79" t="s">
        <v>14</v>
      </c>
      <c r="G79">
        <v>2</v>
      </c>
      <c r="H79" t="s">
        <v>11</v>
      </c>
      <c r="I79" s="2">
        <v>55000</v>
      </c>
      <c r="J79" t="s">
        <v>21</v>
      </c>
      <c r="K79" s="3">
        <f t="shared" si="2"/>
        <v>110000</v>
      </c>
      <c r="L79" t="str">
        <f t="shared" si="3"/>
        <v>2025-10</v>
      </c>
    </row>
    <row r="80" spans="1:12" x14ac:dyDescent="0.25">
      <c r="A80">
        <v>1078</v>
      </c>
      <c r="B80">
        <v>15</v>
      </c>
      <c r="C80" t="str">
        <f>IFERROR(_xlfn.XLOOKUP(B80, Customer!A:A, Customer!B:B), "Unknown Customer")</f>
        <v>Milad Zare</v>
      </c>
      <c r="D80" s="1">
        <v>45668</v>
      </c>
      <c r="E80" t="s">
        <v>31</v>
      </c>
      <c r="F80" t="s">
        <v>17</v>
      </c>
      <c r="G80">
        <v>4</v>
      </c>
      <c r="H80" t="s">
        <v>11</v>
      </c>
      <c r="I80" s="2">
        <v>40428.571428571428</v>
      </c>
      <c r="J80" t="s">
        <v>19</v>
      </c>
      <c r="K80" s="3">
        <f t="shared" si="2"/>
        <v>161714.28571428571</v>
      </c>
      <c r="L80" t="str">
        <f t="shared" si="3"/>
        <v>2025-01</v>
      </c>
    </row>
    <row r="81" spans="1:12" x14ac:dyDescent="0.25">
      <c r="A81">
        <v>1079</v>
      </c>
      <c r="B81">
        <v>56</v>
      </c>
      <c r="C81" t="str">
        <f>IFERROR(_xlfn.XLOOKUP(B81, Customer!A:A, Customer!B:B), "Unknown Customer")</f>
        <v>Tara Jafari</v>
      </c>
      <c r="D81" s="1">
        <v>45782</v>
      </c>
      <c r="E81" t="s">
        <v>18</v>
      </c>
      <c r="F81" t="s">
        <v>14</v>
      </c>
      <c r="G81">
        <v>2</v>
      </c>
      <c r="H81" t="s">
        <v>11</v>
      </c>
      <c r="I81" s="2">
        <v>50000</v>
      </c>
      <c r="J81" t="s">
        <v>12</v>
      </c>
      <c r="K81" s="3">
        <f t="shared" si="2"/>
        <v>100000</v>
      </c>
      <c r="L81" t="str">
        <f t="shared" si="3"/>
        <v>2025-05</v>
      </c>
    </row>
    <row r="82" spans="1:12" x14ac:dyDescent="0.25">
      <c r="A82">
        <v>1080</v>
      </c>
      <c r="B82">
        <v>44</v>
      </c>
      <c r="C82" t="str">
        <f>IFERROR(_xlfn.XLOOKUP(B82, Customer!A:A, Customer!B:B), "Unknown Customer")</f>
        <v>Payam Abbasi</v>
      </c>
      <c r="D82" s="1">
        <v>45828</v>
      </c>
      <c r="E82" t="s">
        <v>30</v>
      </c>
      <c r="F82" t="s">
        <v>14</v>
      </c>
      <c r="G82">
        <v>2</v>
      </c>
      <c r="H82" t="s">
        <v>11</v>
      </c>
      <c r="I82" s="2">
        <v>48053.763440860217</v>
      </c>
      <c r="J82" t="s">
        <v>21</v>
      </c>
      <c r="K82" s="3">
        <f t="shared" si="2"/>
        <v>96107.526881720434</v>
      </c>
      <c r="L82" t="str">
        <f t="shared" si="3"/>
        <v>2025-06</v>
      </c>
    </row>
    <row r="83" spans="1:12" x14ac:dyDescent="0.25">
      <c r="A83">
        <v>1081</v>
      </c>
      <c r="B83">
        <v>45</v>
      </c>
      <c r="C83" t="str">
        <f>IFERROR(_xlfn.XLOOKUP(B83, Customer!A:A, Customer!B:B), "Unknown Customer")</f>
        <v>Mona Vakili</v>
      </c>
      <c r="D83" s="1">
        <v>45988</v>
      </c>
      <c r="E83" t="s">
        <v>22</v>
      </c>
      <c r="F83" t="s">
        <v>14</v>
      </c>
      <c r="G83">
        <v>1</v>
      </c>
      <c r="H83" t="s">
        <v>11</v>
      </c>
      <c r="I83" s="2">
        <v>60000</v>
      </c>
      <c r="J83" t="s">
        <v>24</v>
      </c>
      <c r="K83" s="3">
        <f t="shared" si="2"/>
        <v>60000</v>
      </c>
      <c r="L83" t="str">
        <f t="shared" si="3"/>
        <v>2025-11</v>
      </c>
    </row>
    <row r="84" spans="1:12" x14ac:dyDescent="0.25">
      <c r="A84">
        <v>1082</v>
      </c>
      <c r="B84">
        <v>78</v>
      </c>
      <c r="C84" t="str">
        <f>IFERROR(_xlfn.XLOOKUP(B84, Customer!A:A, Customer!B:B), "Unknown Customer")</f>
        <v>Elham Karimi</v>
      </c>
      <c r="D84" s="1">
        <v>45993</v>
      </c>
      <c r="E84" t="s">
        <v>13</v>
      </c>
      <c r="F84" t="s">
        <v>14</v>
      </c>
      <c r="G84">
        <v>4</v>
      </c>
      <c r="H84" t="s">
        <v>11</v>
      </c>
      <c r="I84" s="2">
        <v>58000</v>
      </c>
      <c r="J84" t="s">
        <v>12</v>
      </c>
      <c r="K84" s="3">
        <f t="shared" si="2"/>
        <v>232000</v>
      </c>
      <c r="L84" t="str">
        <f t="shared" si="3"/>
        <v>2025-12</v>
      </c>
    </row>
    <row r="85" spans="1:12" x14ac:dyDescent="0.25">
      <c r="A85">
        <v>1083</v>
      </c>
      <c r="B85">
        <v>119</v>
      </c>
      <c r="C85" t="str">
        <f>IFERROR(_xlfn.XLOOKUP(B85, Customer!A:A, Customer!B:B), "Unknown Customer")</f>
        <v>Sepideh Sadeghi</v>
      </c>
      <c r="D85" s="1">
        <v>45987</v>
      </c>
      <c r="E85" t="s">
        <v>20</v>
      </c>
      <c r="F85" t="s">
        <v>17</v>
      </c>
      <c r="G85">
        <v>4</v>
      </c>
      <c r="H85" t="s">
        <v>11</v>
      </c>
      <c r="I85" s="2">
        <v>49739.583333333336</v>
      </c>
      <c r="J85" t="s">
        <v>19</v>
      </c>
      <c r="K85" s="3">
        <f t="shared" si="2"/>
        <v>198958.33333333334</v>
      </c>
      <c r="L85" t="str">
        <f t="shared" si="3"/>
        <v>2025-11</v>
      </c>
    </row>
    <row r="86" spans="1:12" x14ac:dyDescent="0.25">
      <c r="A86">
        <v>1084</v>
      </c>
      <c r="B86">
        <v>61</v>
      </c>
      <c r="C86" t="str">
        <f>IFERROR(_xlfn.XLOOKUP(B86, Customer!A:A, Customer!B:B), "Unknown Customer")</f>
        <v>Arman Moradi</v>
      </c>
      <c r="D86" s="1">
        <v>45981</v>
      </c>
      <c r="E86" t="s">
        <v>16</v>
      </c>
      <c r="F86" t="s">
        <v>17</v>
      </c>
      <c r="G86">
        <v>2</v>
      </c>
      <c r="H86" t="s">
        <v>11</v>
      </c>
      <c r="I86" s="2">
        <v>70000</v>
      </c>
      <c r="J86" t="s">
        <v>21</v>
      </c>
      <c r="K86" s="3">
        <f t="shared" si="2"/>
        <v>140000</v>
      </c>
      <c r="L86" t="str">
        <f t="shared" si="3"/>
        <v>2025-11</v>
      </c>
    </row>
    <row r="87" spans="1:12" x14ac:dyDescent="0.25">
      <c r="A87">
        <v>1085</v>
      </c>
      <c r="B87">
        <v>60</v>
      </c>
      <c r="C87" t="str">
        <f>IFERROR(_xlfn.XLOOKUP(B87, Customer!A:A, Customer!B:B), "Unknown Customer")</f>
        <v>Sina Ghasemi</v>
      </c>
      <c r="D87" s="1">
        <v>45677</v>
      </c>
      <c r="E87" t="s">
        <v>16</v>
      </c>
      <c r="F87" t="s">
        <v>17</v>
      </c>
      <c r="G87">
        <v>4</v>
      </c>
      <c r="H87" t="s">
        <v>11</v>
      </c>
      <c r="I87" s="2">
        <v>75000</v>
      </c>
      <c r="J87" t="s">
        <v>28</v>
      </c>
      <c r="K87" s="3">
        <f t="shared" si="2"/>
        <v>300000</v>
      </c>
      <c r="L87" t="str">
        <f t="shared" si="3"/>
        <v>2025-01</v>
      </c>
    </row>
    <row r="88" spans="1:12" x14ac:dyDescent="0.25">
      <c r="A88">
        <v>1086</v>
      </c>
      <c r="B88">
        <v>77</v>
      </c>
      <c r="C88" t="str">
        <f>IFERROR(_xlfn.XLOOKUP(B88, Customer!A:A, Customer!B:B), "Unknown Customer")</f>
        <v>Iman Sadeghi</v>
      </c>
      <c r="D88" s="1">
        <v>45854</v>
      </c>
      <c r="E88" t="s">
        <v>23</v>
      </c>
      <c r="F88" t="s">
        <v>17</v>
      </c>
      <c r="G88">
        <v>1</v>
      </c>
      <c r="H88" t="s">
        <v>11</v>
      </c>
      <c r="I88" s="2">
        <v>90000</v>
      </c>
      <c r="J88" t="s">
        <v>21</v>
      </c>
      <c r="K88" s="3">
        <f t="shared" si="2"/>
        <v>90000</v>
      </c>
      <c r="L88" t="str">
        <f t="shared" si="3"/>
        <v>2025-07</v>
      </c>
    </row>
    <row r="89" spans="1:12" x14ac:dyDescent="0.25">
      <c r="A89">
        <v>1087</v>
      </c>
      <c r="B89">
        <v>78</v>
      </c>
      <c r="C89" t="str">
        <f>IFERROR(_xlfn.XLOOKUP(B89, Customer!A:A, Customer!B:B), "Unknown Customer")</f>
        <v>Elham Karimi</v>
      </c>
      <c r="D89" s="1">
        <v>45914</v>
      </c>
      <c r="E89" t="s">
        <v>16</v>
      </c>
      <c r="F89" t="s">
        <v>17</v>
      </c>
      <c r="G89">
        <v>2</v>
      </c>
      <c r="H89" t="s">
        <v>11</v>
      </c>
      <c r="I89" s="2">
        <v>70000</v>
      </c>
      <c r="J89" t="s">
        <v>28</v>
      </c>
      <c r="K89" s="3">
        <f t="shared" si="2"/>
        <v>140000</v>
      </c>
      <c r="L89" t="str">
        <f t="shared" si="3"/>
        <v>2025-09</v>
      </c>
    </row>
    <row r="90" spans="1:12" x14ac:dyDescent="0.25">
      <c r="A90">
        <v>1088</v>
      </c>
      <c r="B90">
        <v>83</v>
      </c>
      <c r="C90" t="str">
        <f>IFERROR(_xlfn.XLOOKUP(B90, Customer!A:A, Customer!B:B), "Unknown Customer")</f>
        <v>Roya Yousefi</v>
      </c>
      <c r="D90" s="1">
        <v>45678</v>
      </c>
      <c r="E90" t="s">
        <v>13</v>
      </c>
      <c r="F90" t="s">
        <v>14</v>
      </c>
      <c r="G90">
        <v>2</v>
      </c>
      <c r="H90" t="s">
        <v>11</v>
      </c>
      <c r="I90" s="2">
        <v>63000</v>
      </c>
      <c r="J90" t="s">
        <v>21</v>
      </c>
      <c r="K90" s="3">
        <f t="shared" si="2"/>
        <v>126000</v>
      </c>
      <c r="L90" t="str">
        <f t="shared" si="3"/>
        <v>2025-01</v>
      </c>
    </row>
    <row r="91" spans="1:12" x14ac:dyDescent="0.25">
      <c r="A91">
        <v>1089</v>
      </c>
      <c r="B91">
        <v>48</v>
      </c>
      <c r="C91" t="str">
        <f>IFERROR(_xlfn.XLOOKUP(B91, Customer!A:A, Customer!B:B), "Unknown Customer")</f>
        <v>Hamed Jafari</v>
      </c>
      <c r="D91" s="1">
        <v>45856</v>
      </c>
      <c r="E91" t="s">
        <v>9</v>
      </c>
      <c r="F91" t="s">
        <v>10</v>
      </c>
      <c r="G91">
        <v>3</v>
      </c>
      <c r="H91" t="s">
        <v>11</v>
      </c>
      <c r="I91" s="2">
        <v>67000</v>
      </c>
      <c r="J91" t="s">
        <v>19</v>
      </c>
      <c r="K91" s="3">
        <f t="shared" si="2"/>
        <v>201000</v>
      </c>
      <c r="L91" t="str">
        <f t="shared" si="3"/>
        <v>2025-07</v>
      </c>
    </row>
    <row r="92" spans="1:12" x14ac:dyDescent="0.25">
      <c r="A92">
        <v>1090</v>
      </c>
      <c r="B92">
        <v>43</v>
      </c>
      <c r="C92" t="str">
        <f>IFERROR(_xlfn.XLOOKUP(B92, Customer!A:A, Customer!B:B), "Unknown Customer")</f>
        <v>Ali Mousavi</v>
      </c>
      <c r="D92" s="1">
        <v>45943</v>
      </c>
      <c r="E92" t="s">
        <v>18</v>
      </c>
      <c r="F92" t="s">
        <v>14</v>
      </c>
      <c r="G92">
        <v>1</v>
      </c>
      <c r="H92" t="s">
        <v>11</v>
      </c>
      <c r="I92" s="2">
        <v>55000</v>
      </c>
      <c r="J92" t="s">
        <v>21</v>
      </c>
      <c r="K92" s="3">
        <f t="shared" si="2"/>
        <v>55000</v>
      </c>
      <c r="L92" t="str">
        <f t="shared" si="3"/>
        <v>2025-10</v>
      </c>
    </row>
    <row r="93" spans="1:12" x14ac:dyDescent="0.25">
      <c r="A93">
        <v>1091</v>
      </c>
      <c r="B93">
        <v>11</v>
      </c>
      <c r="C93" t="str">
        <f>IFERROR(_xlfn.XLOOKUP(B93, Customer!A:A, Customer!B:B), "Unknown Customer")</f>
        <v>Leila Kazemi</v>
      </c>
      <c r="D93" s="1">
        <v>45820</v>
      </c>
      <c r="E93" t="s">
        <v>20</v>
      </c>
      <c r="F93" t="s">
        <v>17</v>
      </c>
      <c r="G93">
        <v>1</v>
      </c>
      <c r="H93" t="s">
        <v>11</v>
      </c>
      <c r="I93" s="2">
        <v>50000</v>
      </c>
      <c r="J93" t="s">
        <v>21</v>
      </c>
      <c r="K93" s="3">
        <f t="shared" si="2"/>
        <v>50000</v>
      </c>
      <c r="L93" t="str">
        <f t="shared" si="3"/>
        <v>2025-06</v>
      </c>
    </row>
    <row r="94" spans="1:12" x14ac:dyDescent="0.25">
      <c r="A94">
        <v>1092</v>
      </c>
      <c r="B94">
        <v>72</v>
      </c>
      <c r="C94" t="str">
        <f>IFERROR(_xlfn.XLOOKUP(B94, Customer!A:A, Customer!B:B), "Unknown Customer")</f>
        <v>Roya Rostami</v>
      </c>
      <c r="D94" s="1">
        <v>45987</v>
      </c>
      <c r="E94" t="s">
        <v>31</v>
      </c>
      <c r="F94" t="s">
        <v>17</v>
      </c>
      <c r="G94">
        <v>3</v>
      </c>
      <c r="H94" t="s">
        <v>11</v>
      </c>
      <c r="I94" s="2">
        <v>45000</v>
      </c>
      <c r="J94" t="s">
        <v>28</v>
      </c>
      <c r="K94" s="3">
        <f t="shared" si="2"/>
        <v>135000</v>
      </c>
      <c r="L94" t="str">
        <f t="shared" si="3"/>
        <v>2025-11</v>
      </c>
    </row>
    <row r="95" spans="1:12" x14ac:dyDescent="0.25">
      <c r="A95">
        <v>1093</v>
      </c>
      <c r="B95">
        <v>47</v>
      </c>
      <c r="C95" t="str">
        <f>IFERROR(_xlfn.XLOOKUP(B95, Customer!A:A, Customer!B:B), "Unknown Customer")</f>
        <v>Mahsa Abbasi</v>
      </c>
      <c r="D95" s="1">
        <v>45843</v>
      </c>
      <c r="E95" t="s">
        <v>29</v>
      </c>
      <c r="F95" t="s">
        <v>14</v>
      </c>
      <c r="G95">
        <v>1</v>
      </c>
      <c r="H95" t="s">
        <v>11</v>
      </c>
      <c r="I95" s="2">
        <v>45000</v>
      </c>
      <c r="J95" t="s">
        <v>24</v>
      </c>
      <c r="K95" s="3">
        <f t="shared" si="2"/>
        <v>45000</v>
      </c>
      <c r="L95" t="str">
        <f t="shared" si="3"/>
        <v>2025-07</v>
      </c>
    </row>
    <row r="96" spans="1:12" x14ac:dyDescent="0.25">
      <c r="A96">
        <v>1094</v>
      </c>
      <c r="B96">
        <v>18</v>
      </c>
      <c r="C96" t="str">
        <f>IFERROR(_xlfn.XLOOKUP(B96, Customer!A:A, Customer!B:B), "Unknown Customer")</f>
        <v>Niloofar Abbasi</v>
      </c>
      <c r="D96" s="1">
        <v>45697</v>
      </c>
      <c r="E96" t="s">
        <v>13</v>
      </c>
      <c r="F96" t="s">
        <v>14</v>
      </c>
      <c r="G96">
        <v>2</v>
      </c>
      <c r="H96" t="s">
        <v>11</v>
      </c>
      <c r="I96" s="2">
        <v>63000</v>
      </c>
      <c r="J96" t="s">
        <v>12</v>
      </c>
      <c r="K96" s="3">
        <f t="shared" si="2"/>
        <v>126000</v>
      </c>
      <c r="L96" t="str">
        <f t="shared" si="3"/>
        <v>2025-02</v>
      </c>
    </row>
    <row r="97" spans="1:12" x14ac:dyDescent="0.25">
      <c r="A97">
        <v>1095</v>
      </c>
      <c r="B97">
        <v>44</v>
      </c>
      <c r="C97" t="str">
        <f>IFERROR(_xlfn.XLOOKUP(B97, Customer!A:A, Customer!B:B), "Unknown Customer")</f>
        <v>Payam Abbasi</v>
      </c>
      <c r="D97" s="1">
        <v>45903</v>
      </c>
      <c r="E97" t="s">
        <v>20</v>
      </c>
      <c r="F97" t="s">
        <v>17</v>
      </c>
      <c r="G97">
        <v>1</v>
      </c>
      <c r="H97" t="s">
        <v>11</v>
      </c>
      <c r="I97" s="2">
        <v>49739.583333333336</v>
      </c>
      <c r="J97" t="s">
        <v>12</v>
      </c>
      <c r="K97" s="3">
        <f t="shared" si="2"/>
        <v>49739.583333333336</v>
      </c>
      <c r="L97" t="str">
        <f t="shared" si="3"/>
        <v>2025-09</v>
      </c>
    </row>
    <row r="98" spans="1:12" x14ac:dyDescent="0.25">
      <c r="A98">
        <v>1096</v>
      </c>
      <c r="B98">
        <v>57</v>
      </c>
      <c r="C98" t="str">
        <f>IFERROR(_xlfn.XLOOKUP(B98, Customer!A:A, Customer!B:B), "Unknown Customer")</f>
        <v>Parisa Sadeghi</v>
      </c>
      <c r="D98" s="1">
        <v>45868</v>
      </c>
      <c r="E98" t="s">
        <v>29</v>
      </c>
      <c r="F98" t="s">
        <v>14</v>
      </c>
      <c r="G98">
        <v>2</v>
      </c>
      <c r="H98" t="s">
        <v>11</v>
      </c>
      <c r="I98" s="2">
        <v>50000</v>
      </c>
      <c r="J98" t="s">
        <v>24</v>
      </c>
      <c r="K98" s="3">
        <f t="shared" si="2"/>
        <v>100000</v>
      </c>
      <c r="L98" t="str">
        <f t="shared" si="3"/>
        <v>2025-07</v>
      </c>
    </row>
    <row r="99" spans="1:12" x14ac:dyDescent="0.25">
      <c r="A99">
        <v>1097</v>
      </c>
      <c r="B99">
        <v>69</v>
      </c>
      <c r="C99" t="str">
        <f>IFERROR(_xlfn.XLOOKUP(B99, Customer!A:A, Customer!B:B), "Unknown Customer")</f>
        <v>Mahsa Ebrahimi</v>
      </c>
      <c r="D99" s="1">
        <v>45816</v>
      </c>
      <c r="E99" t="s">
        <v>30</v>
      </c>
      <c r="F99" t="s">
        <v>14</v>
      </c>
      <c r="G99">
        <v>1</v>
      </c>
      <c r="H99" t="s">
        <v>11</v>
      </c>
      <c r="I99" s="2">
        <v>53000</v>
      </c>
      <c r="J99" t="s">
        <v>21</v>
      </c>
      <c r="K99" s="3">
        <f t="shared" si="2"/>
        <v>53000</v>
      </c>
      <c r="L99" t="str">
        <f t="shared" si="3"/>
        <v>2025-06</v>
      </c>
    </row>
    <row r="100" spans="1:12" x14ac:dyDescent="0.25">
      <c r="A100">
        <v>1098</v>
      </c>
      <c r="B100">
        <v>100</v>
      </c>
      <c r="C100" t="str">
        <f>IFERROR(_xlfn.XLOOKUP(B100, Customer!A:A, Customer!B:B), "Unknown Customer")</f>
        <v>Leila Hosseini</v>
      </c>
      <c r="D100" s="1">
        <v>45915</v>
      </c>
      <c r="E100" t="s">
        <v>31</v>
      </c>
      <c r="F100" t="s">
        <v>17</v>
      </c>
      <c r="G100">
        <v>-1</v>
      </c>
      <c r="H100" t="s">
        <v>26</v>
      </c>
      <c r="I100" s="2">
        <v>40000</v>
      </c>
      <c r="J100" t="s">
        <v>21</v>
      </c>
      <c r="K100" s="3">
        <f t="shared" si="2"/>
        <v>-40000</v>
      </c>
      <c r="L100" t="str">
        <f t="shared" si="3"/>
        <v>2025-09</v>
      </c>
    </row>
    <row r="101" spans="1:12" x14ac:dyDescent="0.25">
      <c r="A101">
        <v>1100</v>
      </c>
      <c r="B101">
        <v>98</v>
      </c>
      <c r="C101" t="str">
        <f>IFERROR(_xlfn.XLOOKUP(B101, Customer!A:A, Customer!B:B), "Unknown Customer")</f>
        <v>Elham Mousavi</v>
      </c>
      <c r="D101" s="1">
        <v>45797</v>
      </c>
      <c r="E101" t="s">
        <v>13</v>
      </c>
      <c r="F101" t="s">
        <v>14</v>
      </c>
      <c r="G101">
        <v>4</v>
      </c>
      <c r="H101" t="s">
        <v>11</v>
      </c>
      <c r="I101" s="2">
        <v>58142.857142857145</v>
      </c>
      <c r="J101" t="s">
        <v>15</v>
      </c>
      <c r="K101" s="3">
        <f t="shared" si="2"/>
        <v>232571.42857142858</v>
      </c>
      <c r="L101" t="str">
        <f t="shared" si="3"/>
        <v>2025-05</v>
      </c>
    </row>
    <row r="102" spans="1:12" x14ac:dyDescent="0.25">
      <c r="A102">
        <v>1101</v>
      </c>
      <c r="B102">
        <v>114</v>
      </c>
      <c r="C102" t="str">
        <f>IFERROR(_xlfn.XLOOKUP(B102, Customer!A:A, Customer!B:B), "Unknown Customer")</f>
        <v>Omid Fallahi</v>
      </c>
      <c r="D102" s="1">
        <v>45671</v>
      </c>
      <c r="E102" t="s">
        <v>25</v>
      </c>
      <c r="F102" t="s">
        <v>10</v>
      </c>
      <c r="G102">
        <v>-2</v>
      </c>
      <c r="H102" t="s">
        <v>26</v>
      </c>
      <c r="I102" s="2">
        <v>70000</v>
      </c>
      <c r="J102" t="s">
        <v>15</v>
      </c>
      <c r="K102" s="3">
        <f t="shared" si="2"/>
        <v>-140000</v>
      </c>
      <c r="L102" t="str">
        <f t="shared" si="3"/>
        <v>2025-01</v>
      </c>
    </row>
    <row r="103" spans="1:12" x14ac:dyDescent="0.25">
      <c r="A103">
        <v>1102</v>
      </c>
      <c r="B103">
        <v>11</v>
      </c>
      <c r="C103" t="str">
        <f>IFERROR(_xlfn.XLOOKUP(B103, Customer!A:A, Customer!B:B), "Unknown Customer")</f>
        <v>Leila Kazemi</v>
      </c>
      <c r="D103" s="1">
        <v>45772</v>
      </c>
      <c r="E103" t="s">
        <v>25</v>
      </c>
      <c r="F103" t="s">
        <v>10</v>
      </c>
      <c r="G103">
        <v>1</v>
      </c>
      <c r="H103" t="s">
        <v>11</v>
      </c>
      <c r="I103" s="2">
        <v>65000</v>
      </c>
      <c r="J103" t="s">
        <v>19</v>
      </c>
      <c r="K103" s="3">
        <f t="shared" si="2"/>
        <v>65000</v>
      </c>
      <c r="L103" t="str">
        <f t="shared" si="3"/>
        <v>2025-04</v>
      </c>
    </row>
    <row r="104" spans="1:12" x14ac:dyDescent="0.25">
      <c r="A104">
        <v>1103</v>
      </c>
      <c r="B104">
        <v>37</v>
      </c>
      <c r="C104" t="str">
        <f>IFERROR(_xlfn.XLOOKUP(B104, Customer!A:A, Customer!B:B), "Unknown Customer")</f>
        <v>Omid Sadeghi</v>
      </c>
      <c r="D104" s="1">
        <v>46014</v>
      </c>
      <c r="E104" t="s">
        <v>16</v>
      </c>
      <c r="F104" t="s">
        <v>17</v>
      </c>
      <c r="G104">
        <v>2</v>
      </c>
      <c r="H104" t="s">
        <v>11</v>
      </c>
      <c r="I104" s="2">
        <v>80000</v>
      </c>
      <c r="J104" t="s">
        <v>19</v>
      </c>
      <c r="K104" s="3">
        <f t="shared" si="2"/>
        <v>160000</v>
      </c>
      <c r="L104" t="str">
        <f t="shared" si="3"/>
        <v>2025-12</v>
      </c>
    </row>
    <row r="105" spans="1:12" x14ac:dyDescent="0.25">
      <c r="A105">
        <v>1104</v>
      </c>
      <c r="B105">
        <v>33</v>
      </c>
      <c r="C105" t="str">
        <f>IFERROR(_xlfn.XLOOKUP(B105, Customer!A:A, Customer!B:B), "Unknown Customer")</f>
        <v>Niloofar Zare</v>
      </c>
      <c r="D105" s="1">
        <v>45734</v>
      </c>
      <c r="E105" t="s">
        <v>30</v>
      </c>
      <c r="F105" t="s">
        <v>14</v>
      </c>
      <c r="G105">
        <v>1</v>
      </c>
      <c r="H105" t="s">
        <v>11</v>
      </c>
      <c r="I105" s="2">
        <v>48000</v>
      </c>
      <c r="J105" t="s">
        <v>19</v>
      </c>
      <c r="K105" s="3">
        <f t="shared" si="2"/>
        <v>48000</v>
      </c>
      <c r="L105" t="str">
        <f t="shared" si="3"/>
        <v>2025-03</v>
      </c>
    </row>
    <row r="106" spans="1:12" x14ac:dyDescent="0.25">
      <c r="A106">
        <v>1105</v>
      </c>
      <c r="B106">
        <v>7</v>
      </c>
      <c r="C106" t="str">
        <f>IFERROR(_xlfn.XLOOKUP(B106, Customer!A:A, Customer!B:B), "Unknown Customer")</f>
        <v>Farhad Vakili</v>
      </c>
      <c r="D106" s="1">
        <v>45724</v>
      </c>
      <c r="E106" t="s">
        <v>30</v>
      </c>
      <c r="F106" t="s">
        <v>14</v>
      </c>
      <c r="G106">
        <v>1</v>
      </c>
      <c r="H106" t="s">
        <v>11</v>
      </c>
      <c r="I106" s="2">
        <v>43000</v>
      </c>
      <c r="J106" t="s">
        <v>12</v>
      </c>
      <c r="K106" s="3">
        <f t="shared" si="2"/>
        <v>43000</v>
      </c>
      <c r="L106" t="str">
        <f t="shared" si="3"/>
        <v>2025-03</v>
      </c>
    </row>
    <row r="107" spans="1:12" x14ac:dyDescent="0.25">
      <c r="A107">
        <v>1106</v>
      </c>
      <c r="B107">
        <v>66</v>
      </c>
      <c r="C107" t="str">
        <f>IFERROR(_xlfn.XLOOKUP(B107, Customer!A:A, Customer!B:B), "Unknown Customer")</f>
        <v>Farhad Abbasi</v>
      </c>
      <c r="D107" s="1">
        <v>45781</v>
      </c>
      <c r="E107" t="s">
        <v>20</v>
      </c>
      <c r="F107" t="s">
        <v>17</v>
      </c>
      <c r="G107">
        <v>1</v>
      </c>
      <c r="H107" t="s">
        <v>11</v>
      </c>
      <c r="I107" s="2">
        <v>50000</v>
      </c>
      <c r="J107" t="s">
        <v>24</v>
      </c>
      <c r="K107" s="3">
        <f t="shared" si="2"/>
        <v>50000</v>
      </c>
      <c r="L107" t="str">
        <f t="shared" si="3"/>
        <v>2025-05</v>
      </c>
    </row>
    <row r="108" spans="1:12" x14ac:dyDescent="0.25">
      <c r="A108">
        <v>1107</v>
      </c>
      <c r="B108">
        <v>74</v>
      </c>
      <c r="C108" t="str">
        <f>IFERROR(_xlfn.XLOOKUP(B108, Customer!A:A, Customer!B:B), "Unknown Customer")</f>
        <v>Amir Vakili</v>
      </c>
      <c r="D108" s="1">
        <v>45753</v>
      </c>
      <c r="E108" t="s">
        <v>31</v>
      </c>
      <c r="F108" t="s">
        <v>17</v>
      </c>
      <c r="G108">
        <v>2</v>
      </c>
      <c r="H108" t="s">
        <v>11</v>
      </c>
      <c r="I108" s="2">
        <v>40000</v>
      </c>
      <c r="J108" t="s">
        <v>15</v>
      </c>
      <c r="K108" s="3">
        <f t="shared" si="2"/>
        <v>80000</v>
      </c>
      <c r="L108" t="str">
        <f t="shared" si="3"/>
        <v>2025-04</v>
      </c>
    </row>
    <row r="109" spans="1:12" x14ac:dyDescent="0.25">
      <c r="A109">
        <v>1108</v>
      </c>
      <c r="B109">
        <v>112</v>
      </c>
      <c r="C109" t="str">
        <f>IFERROR(_xlfn.XLOOKUP(B109, Customer!A:A, Customer!B:B), "Unknown Customer")</f>
        <v>Amir Fallahi</v>
      </c>
      <c r="D109" s="1">
        <v>45680</v>
      </c>
      <c r="E109" t="s">
        <v>16</v>
      </c>
      <c r="F109" t="s">
        <v>17</v>
      </c>
      <c r="G109">
        <v>1</v>
      </c>
      <c r="H109" t="s">
        <v>11</v>
      </c>
      <c r="I109" s="2">
        <v>75000</v>
      </c>
      <c r="J109" t="s">
        <v>21</v>
      </c>
      <c r="K109" s="3">
        <f t="shared" si="2"/>
        <v>75000</v>
      </c>
      <c r="L109" t="str">
        <f t="shared" si="3"/>
        <v>2025-01</v>
      </c>
    </row>
    <row r="110" spans="1:12" x14ac:dyDescent="0.25">
      <c r="A110">
        <v>1109</v>
      </c>
      <c r="B110">
        <v>101</v>
      </c>
      <c r="C110" t="str">
        <f>IFERROR(_xlfn.XLOOKUP(B110, Customer!A:A, Customer!B:B), "Unknown Customer")</f>
        <v>Niloofar Ghasemi</v>
      </c>
      <c r="D110" s="1">
        <v>45834</v>
      </c>
      <c r="E110" t="s">
        <v>18</v>
      </c>
      <c r="F110" t="s">
        <v>14</v>
      </c>
      <c r="G110">
        <v>4</v>
      </c>
      <c r="H110" t="s">
        <v>11</v>
      </c>
      <c r="I110" s="2">
        <v>60000</v>
      </c>
      <c r="J110" t="s">
        <v>24</v>
      </c>
      <c r="K110" s="3">
        <f t="shared" si="2"/>
        <v>240000</v>
      </c>
      <c r="L110" t="str">
        <f t="shared" si="3"/>
        <v>2025-06</v>
      </c>
    </row>
    <row r="111" spans="1:12" x14ac:dyDescent="0.25">
      <c r="A111">
        <v>1110</v>
      </c>
      <c r="B111">
        <v>6</v>
      </c>
      <c r="C111" t="str">
        <f>IFERROR(_xlfn.XLOOKUP(B111, Customer!A:A, Customer!B:B), "Unknown Customer")</f>
        <v>Sepideh Mousavi</v>
      </c>
      <c r="D111" s="1">
        <v>45937</v>
      </c>
      <c r="E111" t="s">
        <v>25</v>
      </c>
      <c r="F111" t="s">
        <v>10</v>
      </c>
      <c r="G111">
        <v>4</v>
      </c>
      <c r="H111" t="s">
        <v>11</v>
      </c>
      <c r="I111" s="2">
        <v>65000</v>
      </c>
      <c r="J111" t="s">
        <v>12</v>
      </c>
      <c r="K111" s="3">
        <f t="shared" si="2"/>
        <v>260000</v>
      </c>
      <c r="L111" t="str">
        <f t="shared" si="3"/>
        <v>2025-10</v>
      </c>
    </row>
    <row r="112" spans="1:12" x14ac:dyDescent="0.25">
      <c r="A112">
        <v>1111</v>
      </c>
      <c r="B112">
        <v>24</v>
      </c>
      <c r="C112" t="str">
        <f>IFERROR(_xlfn.XLOOKUP(B112, Customer!A:A, Customer!B:B), "Unknown Customer")</f>
        <v>Farhad Sadeghi</v>
      </c>
      <c r="D112" s="1">
        <v>45690</v>
      </c>
      <c r="E112" t="s">
        <v>13</v>
      </c>
      <c r="F112" t="s">
        <v>14</v>
      </c>
      <c r="G112">
        <v>-1</v>
      </c>
      <c r="H112" t="s">
        <v>26</v>
      </c>
      <c r="I112" s="2">
        <v>58000</v>
      </c>
      <c r="J112" t="s">
        <v>24</v>
      </c>
      <c r="K112" s="3">
        <f t="shared" si="2"/>
        <v>-58000</v>
      </c>
      <c r="L112" t="str">
        <f t="shared" si="3"/>
        <v>2025-02</v>
      </c>
    </row>
    <row r="113" spans="1:12" x14ac:dyDescent="0.25">
      <c r="A113">
        <v>1112</v>
      </c>
      <c r="B113">
        <v>114</v>
      </c>
      <c r="C113" t="str">
        <f>IFERROR(_xlfn.XLOOKUP(B113, Customer!A:A, Customer!B:B), "Unknown Customer")</f>
        <v>Omid Fallahi</v>
      </c>
      <c r="D113" s="1">
        <v>45967</v>
      </c>
      <c r="E113" t="s">
        <v>29</v>
      </c>
      <c r="F113" t="s">
        <v>14</v>
      </c>
      <c r="G113">
        <v>4</v>
      </c>
      <c r="H113" t="s">
        <v>11</v>
      </c>
      <c r="I113" s="2">
        <v>50000</v>
      </c>
      <c r="J113" t="s">
        <v>19</v>
      </c>
      <c r="K113" s="3">
        <f t="shared" si="2"/>
        <v>200000</v>
      </c>
      <c r="L113" t="str">
        <f t="shared" si="3"/>
        <v>2025-11</v>
      </c>
    </row>
    <row r="114" spans="1:12" x14ac:dyDescent="0.25">
      <c r="A114">
        <v>1113</v>
      </c>
      <c r="B114">
        <v>97</v>
      </c>
      <c r="C114" t="str">
        <f>IFERROR(_xlfn.XLOOKUP(B114, Customer!A:A, Customer!B:B), "Unknown Customer")</f>
        <v>Setareh Sadeghi</v>
      </c>
      <c r="D114" s="1">
        <v>45873</v>
      </c>
      <c r="E114" t="s">
        <v>27</v>
      </c>
      <c r="F114" t="s">
        <v>14</v>
      </c>
      <c r="G114">
        <v>-4</v>
      </c>
      <c r="H114" t="s">
        <v>26</v>
      </c>
      <c r="I114" s="2">
        <v>30000</v>
      </c>
      <c r="J114" t="s">
        <v>21</v>
      </c>
      <c r="K114" s="3">
        <f t="shared" si="2"/>
        <v>-120000</v>
      </c>
      <c r="L114" t="str">
        <f t="shared" si="3"/>
        <v>2025-08</v>
      </c>
    </row>
    <row r="115" spans="1:12" x14ac:dyDescent="0.25">
      <c r="A115">
        <v>1114</v>
      </c>
      <c r="B115">
        <v>16</v>
      </c>
      <c r="C115" t="str">
        <f>IFERROR(_xlfn.XLOOKUP(B115, Customer!A:A, Customer!B:B), "Unknown Customer")</f>
        <v>Milad Yousefi</v>
      </c>
      <c r="D115" s="1">
        <v>45999</v>
      </c>
      <c r="E115" t="s">
        <v>25</v>
      </c>
      <c r="F115" t="s">
        <v>10</v>
      </c>
      <c r="G115">
        <v>2</v>
      </c>
      <c r="H115" t="s">
        <v>11</v>
      </c>
      <c r="I115" s="2">
        <v>65000</v>
      </c>
      <c r="J115" t="s">
        <v>12</v>
      </c>
      <c r="K115" s="3">
        <f t="shared" si="2"/>
        <v>130000</v>
      </c>
      <c r="L115" t="str">
        <f t="shared" si="3"/>
        <v>2025-12</v>
      </c>
    </row>
    <row r="116" spans="1:12" x14ac:dyDescent="0.25">
      <c r="A116">
        <v>1115</v>
      </c>
      <c r="B116">
        <v>64</v>
      </c>
      <c r="C116" t="str">
        <f>IFERROR(_xlfn.XLOOKUP(B116, Customer!A:A, Customer!B:B), "Unknown Customer")</f>
        <v>Milad Yousefi</v>
      </c>
      <c r="D116" s="1">
        <v>45923</v>
      </c>
      <c r="E116" t="s">
        <v>25</v>
      </c>
      <c r="F116" t="s">
        <v>10</v>
      </c>
      <c r="G116">
        <v>3</v>
      </c>
      <c r="H116" t="s">
        <v>11</v>
      </c>
      <c r="I116" s="2">
        <v>65000</v>
      </c>
      <c r="J116" t="s">
        <v>28</v>
      </c>
      <c r="K116" s="3">
        <f t="shared" si="2"/>
        <v>195000</v>
      </c>
      <c r="L116" t="str">
        <f t="shared" si="3"/>
        <v>2025-09</v>
      </c>
    </row>
    <row r="117" spans="1:12" x14ac:dyDescent="0.25">
      <c r="A117">
        <v>1116</v>
      </c>
      <c r="B117">
        <v>106</v>
      </c>
      <c r="C117" t="str">
        <f>IFERROR(_xlfn.XLOOKUP(B117, Customer!A:A, Customer!B:B), "Unknown Customer")</f>
        <v>Iman Zare</v>
      </c>
      <c r="D117" s="1">
        <v>45848</v>
      </c>
      <c r="E117" t="s">
        <v>13</v>
      </c>
      <c r="F117" t="s">
        <v>14</v>
      </c>
      <c r="G117">
        <v>1</v>
      </c>
      <c r="H117" t="s">
        <v>11</v>
      </c>
      <c r="I117" s="2">
        <v>53000</v>
      </c>
      <c r="J117" t="s">
        <v>21</v>
      </c>
      <c r="K117" s="3">
        <f t="shared" si="2"/>
        <v>53000</v>
      </c>
      <c r="L117" t="str">
        <f t="shared" si="3"/>
        <v>2025-07</v>
      </c>
    </row>
    <row r="118" spans="1:12" x14ac:dyDescent="0.25">
      <c r="A118">
        <v>1117</v>
      </c>
      <c r="B118">
        <v>58</v>
      </c>
      <c r="C118" t="str">
        <f>IFERROR(_xlfn.XLOOKUP(B118, Customer!A:A, Customer!B:B), "Unknown Customer")</f>
        <v>Mona Moradi</v>
      </c>
      <c r="D118" s="1">
        <v>45846</v>
      </c>
      <c r="E118" t="s">
        <v>20</v>
      </c>
      <c r="F118" t="s">
        <v>17</v>
      </c>
      <c r="G118">
        <v>1</v>
      </c>
      <c r="H118" t="s">
        <v>11</v>
      </c>
      <c r="I118" s="2">
        <v>50000</v>
      </c>
      <c r="J118" t="s">
        <v>28</v>
      </c>
      <c r="K118" s="3">
        <f t="shared" si="2"/>
        <v>50000</v>
      </c>
      <c r="L118" t="str">
        <f t="shared" si="3"/>
        <v>2025-07</v>
      </c>
    </row>
    <row r="119" spans="1:12" x14ac:dyDescent="0.25">
      <c r="A119">
        <v>1118</v>
      </c>
      <c r="B119">
        <v>56</v>
      </c>
      <c r="C119" t="str">
        <f>IFERROR(_xlfn.XLOOKUP(B119, Customer!A:A, Customer!B:B), "Unknown Customer")</f>
        <v>Tara Jafari</v>
      </c>
      <c r="D119" s="1">
        <v>45985</v>
      </c>
      <c r="E119" t="s">
        <v>9</v>
      </c>
      <c r="F119" t="s">
        <v>10</v>
      </c>
      <c r="G119">
        <v>3</v>
      </c>
      <c r="H119" t="s">
        <v>11</v>
      </c>
      <c r="I119" s="2">
        <v>62000</v>
      </c>
      <c r="J119" t="s">
        <v>19</v>
      </c>
      <c r="K119" s="3">
        <f t="shared" si="2"/>
        <v>186000</v>
      </c>
      <c r="L119" t="str">
        <f t="shared" si="3"/>
        <v>2025-11</v>
      </c>
    </row>
    <row r="120" spans="1:12" x14ac:dyDescent="0.25">
      <c r="A120">
        <v>1119</v>
      </c>
      <c r="B120">
        <v>19</v>
      </c>
      <c r="C120" t="str">
        <f>IFERROR(_xlfn.XLOOKUP(B120, Customer!A:A, Customer!B:B), "Unknown Customer")</f>
        <v>Leila Sadeghi</v>
      </c>
      <c r="D120" s="1">
        <v>46005</v>
      </c>
      <c r="E120" t="s">
        <v>20</v>
      </c>
      <c r="F120" t="s">
        <v>17</v>
      </c>
      <c r="G120">
        <v>1</v>
      </c>
      <c r="H120" t="s">
        <v>11</v>
      </c>
      <c r="I120" s="2">
        <v>45000</v>
      </c>
      <c r="J120" t="s">
        <v>21</v>
      </c>
      <c r="K120" s="3">
        <f t="shared" si="2"/>
        <v>45000</v>
      </c>
      <c r="L120" t="str">
        <f t="shared" si="3"/>
        <v>2025-12</v>
      </c>
    </row>
    <row r="121" spans="1:12" x14ac:dyDescent="0.25">
      <c r="A121">
        <v>1120</v>
      </c>
      <c r="B121">
        <v>50</v>
      </c>
      <c r="C121" t="str">
        <f>IFERROR(_xlfn.XLOOKUP(B121, Customer!A:A, Customer!B:B), "Unknown Customer")</f>
        <v>Mona Naderi</v>
      </c>
      <c r="D121" s="1">
        <v>45674</v>
      </c>
      <c r="E121" t="s">
        <v>20</v>
      </c>
      <c r="F121" t="s">
        <v>17</v>
      </c>
      <c r="G121">
        <v>3</v>
      </c>
      <c r="H121" t="s">
        <v>11</v>
      </c>
      <c r="I121" s="2">
        <v>50000</v>
      </c>
      <c r="J121" t="s">
        <v>15</v>
      </c>
      <c r="K121" s="3">
        <f t="shared" si="2"/>
        <v>150000</v>
      </c>
      <c r="L121" t="str">
        <f t="shared" si="3"/>
        <v>2025-01</v>
      </c>
    </row>
    <row r="122" spans="1:12" x14ac:dyDescent="0.25">
      <c r="A122">
        <v>1121</v>
      </c>
      <c r="B122">
        <v>98</v>
      </c>
      <c r="C122" t="str">
        <f>IFERROR(_xlfn.XLOOKUP(B122, Customer!A:A, Customer!B:B), "Unknown Customer")</f>
        <v>Elham Mousavi</v>
      </c>
      <c r="D122" s="1">
        <v>45951</v>
      </c>
      <c r="E122" t="s">
        <v>18</v>
      </c>
      <c r="F122" t="s">
        <v>14</v>
      </c>
      <c r="G122">
        <v>2</v>
      </c>
      <c r="H122" t="s">
        <v>11</v>
      </c>
      <c r="I122" s="2">
        <v>55000</v>
      </c>
      <c r="J122" t="s">
        <v>24</v>
      </c>
      <c r="K122" s="3">
        <f t="shared" si="2"/>
        <v>110000</v>
      </c>
      <c r="L122" t="str">
        <f t="shared" si="3"/>
        <v>2025-10</v>
      </c>
    </row>
    <row r="123" spans="1:12" x14ac:dyDescent="0.25">
      <c r="A123">
        <v>1122</v>
      </c>
      <c r="B123">
        <v>60</v>
      </c>
      <c r="C123" t="str">
        <f>IFERROR(_xlfn.XLOOKUP(B123, Customer!A:A, Customer!B:B), "Unknown Customer")</f>
        <v>Sina Ghasemi</v>
      </c>
      <c r="D123" s="1">
        <v>45671</v>
      </c>
      <c r="E123" t="s">
        <v>18</v>
      </c>
      <c r="F123" t="s">
        <v>14</v>
      </c>
      <c r="G123">
        <v>2</v>
      </c>
      <c r="H123" t="s">
        <v>11</v>
      </c>
      <c r="I123" s="2">
        <v>60000</v>
      </c>
      <c r="J123" t="s">
        <v>21</v>
      </c>
      <c r="K123" s="3">
        <f t="shared" si="2"/>
        <v>120000</v>
      </c>
      <c r="L123" t="str">
        <f t="shared" si="3"/>
        <v>2025-01</v>
      </c>
    </row>
    <row r="124" spans="1:12" x14ac:dyDescent="0.25">
      <c r="A124">
        <v>1123</v>
      </c>
      <c r="B124">
        <v>100</v>
      </c>
      <c r="C124" t="str">
        <f>IFERROR(_xlfn.XLOOKUP(B124, Customer!A:A, Customer!B:B), "Unknown Customer")</f>
        <v>Leila Hosseini</v>
      </c>
      <c r="D124" s="1">
        <v>46018</v>
      </c>
      <c r="E124" t="s">
        <v>9</v>
      </c>
      <c r="F124" t="s">
        <v>10</v>
      </c>
      <c r="G124">
        <v>2</v>
      </c>
      <c r="H124" t="s">
        <v>11</v>
      </c>
      <c r="I124" s="2">
        <v>62000</v>
      </c>
      <c r="J124" t="s">
        <v>24</v>
      </c>
      <c r="K124" s="3">
        <f t="shared" si="2"/>
        <v>124000</v>
      </c>
      <c r="L124" t="str">
        <f t="shared" si="3"/>
        <v>2025-12</v>
      </c>
    </row>
    <row r="125" spans="1:12" x14ac:dyDescent="0.25">
      <c r="A125">
        <v>1124</v>
      </c>
      <c r="B125">
        <v>16</v>
      </c>
      <c r="C125" t="str">
        <f>IFERROR(_xlfn.XLOOKUP(B125, Customer!A:A, Customer!B:B), "Unknown Customer")</f>
        <v>Milad Yousefi</v>
      </c>
      <c r="D125" s="1">
        <v>45695</v>
      </c>
      <c r="E125" t="s">
        <v>13</v>
      </c>
      <c r="F125" t="s">
        <v>14</v>
      </c>
      <c r="G125">
        <v>3</v>
      </c>
      <c r="H125" t="s">
        <v>11</v>
      </c>
      <c r="I125" s="2">
        <v>58000</v>
      </c>
      <c r="J125" t="s">
        <v>12</v>
      </c>
      <c r="K125" s="3">
        <f t="shared" si="2"/>
        <v>174000</v>
      </c>
      <c r="L125" t="str">
        <f t="shared" si="3"/>
        <v>2025-02</v>
      </c>
    </row>
    <row r="126" spans="1:12" x14ac:dyDescent="0.25">
      <c r="A126">
        <v>1125</v>
      </c>
      <c r="B126">
        <v>45</v>
      </c>
      <c r="C126" t="str">
        <f>IFERROR(_xlfn.XLOOKUP(B126, Customer!A:A, Customer!B:B), "Unknown Customer")</f>
        <v>Mona Vakili</v>
      </c>
      <c r="D126" s="1">
        <v>45718</v>
      </c>
      <c r="E126" t="s">
        <v>22</v>
      </c>
      <c r="F126" t="s">
        <v>14</v>
      </c>
      <c r="G126">
        <v>1</v>
      </c>
      <c r="H126" t="s">
        <v>11</v>
      </c>
      <c r="I126" s="2">
        <v>60000</v>
      </c>
      <c r="J126" t="s">
        <v>21</v>
      </c>
      <c r="K126" s="3">
        <f t="shared" si="2"/>
        <v>60000</v>
      </c>
      <c r="L126" t="str">
        <f t="shared" si="3"/>
        <v>2025-03</v>
      </c>
    </row>
    <row r="127" spans="1:12" x14ac:dyDescent="0.25">
      <c r="A127">
        <v>1126</v>
      </c>
      <c r="B127">
        <v>66</v>
      </c>
      <c r="C127" t="str">
        <f>IFERROR(_xlfn.XLOOKUP(B127, Customer!A:A, Customer!B:B), "Unknown Customer")</f>
        <v>Farhad Abbasi</v>
      </c>
      <c r="D127" s="1">
        <v>45720</v>
      </c>
      <c r="E127" t="s">
        <v>30</v>
      </c>
      <c r="F127" t="s">
        <v>14</v>
      </c>
      <c r="G127">
        <v>1</v>
      </c>
      <c r="H127" t="s">
        <v>11</v>
      </c>
      <c r="I127" s="2">
        <v>48000</v>
      </c>
      <c r="J127" t="s">
        <v>28</v>
      </c>
      <c r="K127" s="3">
        <f t="shared" si="2"/>
        <v>48000</v>
      </c>
      <c r="L127" t="str">
        <f t="shared" si="3"/>
        <v>2025-03</v>
      </c>
    </row>
    <row r="128" spans="1:12" x14ac:dyDescent="0.25">
      <c r="A128">
        <v>1127</v>
      </c>
      <c r="B128">
        <v>74</v>
      </c>
      <c r="C128" t="str">
        <f>IFERROR(_xlfn.XLOOKUP(B128, Customer!A:A, Customer!B:B), "Unknown Customer")</f>
        <v>Amir Vakili</v>
      </c>
      <c r="D128" s="1">
        <v>45897</v>
      </c>
      <c r="E128" t="s">
        <v>25</v>
      </c>
      <c r="F128" t="s">
        <v>10</v>
      </c>
      <c r="G128">
        <v>2</v>
      </c>
      <c r="H128" t="s">
        <v>11</v>
      </c>
      <c r="I128" s="2">
        <v>60000</v>
      </c>
      <c r="J128" t="s">
        <v>15</v>
      </c>
      <c r="K128" s="3">
        <f t="shared" si="2"/>
        <v>120000</v>
      </c>
      <c r="L128" t="str">
        <f t="shared" si="3"/>
        <v>2025-08</v>
      </c>
    </row>
    <row r="129" spans="1:12" x14ac:dyDescent="0.25">
      <c r="A129">
        <v>1128</v>
      </c>
      <c r="B129">
        <v>92</v>
      </c>
      <c r="C129" t="str">
        <f>IFERROR(_xlfn.XLOOKUP(B129, Customer!A:A, Customer!B:B), "Unknown Customer")</f>
        <v>Payam Zare</v>
      </c>
      <c r="D129" s="1">
        <v>45725</v>
      </c>
      <c r="E129" t="s">
        <v>22</v>
      </c>
      <c r="F129" t="s">
        <v>14</v>
      </c>
      <c r="G129">
        <v>4</v>
      </c>
      <c r="H129" t="s">
        <v>11</v>
      </c>
      <c r="I129" s="2">
        <v>60000</v>
      </c>
      <c r="J129" t="s">
        <v>24</v>
      </c>
      <c r="K129" s="3">
        <f t="shared" si="2"/>
        <v>240000</v>
      </c>
      <c r="L129" t="str">
        <f t="shared" si="3"/>
        <v>2025-03</v>
      </c>
    </row>
    <row r="130" spans="1:12" x14ac:dyDescent="0.25">
      <c r="A130">
        <v>1129</v>
      </c>
      <c r="B130">
        <v>78</v>
      </c>
      <c r="C130" t="str">
        <f>IFERROR(_xlfn.XLOOKUP(B130, Customer!A:A, Customer!B:B), "Unknown Customer")</f>
        <v>Elham Karimi</v>
      </c>
      <c r="D130" s="1">
        <v>45986</v>
      </c>
      <c r="E130" t="s">
        <v>25</v>
      </c>
      <c r="F130" t="s">
        <v>10</v>
      </c>
      <c r="G130">
        <v>2</v>
      </c>
      <c r="H130" t="s">
        <v>11</v>
      </c>
      <c r="I130" s="2">
        <v>70000</v>
      </c>
      <c r="J130" t="s">
        <v>28</v>
      </c>
      <c r="K130" s="3">
        <f t="shared" si="2"/>
        <v>140000</v>
      </c>
      <c r="L130" t="str">
        <f t="shared" si="3"/>
        <v>2025-11</v>
      </c>
    </row>
    <row r="131" spans="1:12" x14ac:dyDescent="0.25">
      <c r="A131">
        <v>1130</v>
      </c>
      <c r="B131">
        <v>82</v>
      </c>
      <c r="C131" t="str">
        <f>IFERROR(_xlfn.XLOOKUP(B131, Customer!A:A, Customer!B:B), "Unknown Customer")</f>
        <v>Azadeh Rezaei</v>
      </c>
      <c r="D131" s="1">
        <v>45751</v>
      </c>
      <c r="E131" t="s">
        <v>20</v>
      </c>
      <c r="F131" t="s">
        <v>17</v>
      </c>
      <c r="G131">
        <v>2</v>
      </c>
      <c r="H131" t="s">
        <v>11</v>
      </c>
      <c r="I131" s="2">
        <v>45000</v>
      </c>
      <c r="J131" t="s">
        <v>21</v>
      </c>
      <c r="K131" s="3">
        <f t="shared" ref="K131:K194" si="4">G131*I131</f>
        <v>90000</v>
      </c>
      <c r="L131" t="str">
        <f t="shared" ref="L131:L194" si="5">TEXT(D131,"YYYY-MM")</f>
        <v>2025-04</v>
      </c>
    </row>
    <row r="132" spans="1:12" x14ac:dyDescent="0.25">
      <c r="A132">
        <v>1131</v>
      </c>
      <c r="B132">
        <v>22</v>
      </c>
      <c r="C132" t="str">
        <f>IFERROR(_xlfn.XLOOKUP(B132, Customer!A:A, Customer!B:B), "Unknown Customer")</f>
        <v>Amir Yousefi</v>
      </c>
      <c r="D132" s="1">
        <v>45823</v>
      </c>
      <c r="E132" t="s">
        <v>13</v>
      </c>
      <c r="F132" t="s">
        <v>14</v>
      </c>
      <c r="G132">
        <v>1</v>
      </c>
      <c r="H132" t="s">
        <v>11</v>
      </c>
      <c r="I132" s="2">
        <v>63000</v>
      </c>
      <c r="J132" t="s">
        <v>21</v>
      </c>
      <c r="K132" s="3">
        <f t="shared" si="4"/>
        <v>63000</v>
      </c>
      <c r="L132" t="str">
        <f t="shared" si="5"/>
        <v>2025-06</v>
      </c>
    </row>
    <row r="133" spans="1:12" x14ac:dyDescent="0.25">
      <c r="A133">
        <v>1132</v>
      </c>
      <c r="B133">
        <v>26</v>
      </c>
      <c r="C133" t="str">
        <f>IFERROR(_xlfn.XLOOKUP(B133, Customer!A:A, Customer!B:B), "Unknown Customer")</f>
        <v>Mona Karimi</v>
      </c>
      <c r="D133" s="1">
        <v>45940</v>
      </c>
      <c r="E133" t="s">
        <v>27</v>
      </c>
      <c r="F133" t="s">
        <v>14</v>
      </c>
      <c r="G133">
        <v>3</v>
      </c>
      <c r="H133" t="s">
        <v>11</v>
      </c>
      <c r="I133" s="2">
        <v>35000</v>
      </c>
      <c r="J133" t="s">
        <v>28</v>
      </c>
      <c r="K133" s="3">
        <f t="shared" si="4"/>
        <v>105000</v>
      </c>
      <c r="L133" t="str">
        <f t="shared" si="5"/>
        <v>2025-10</v>
      </c>
    </row>
    <row r="134" spans="1:12" x14ac:dyDescent="0.25">
      <c r="A134">
        <v>1133</v>
      </c>
      <c r="B134">
        <v>83</v>
      </c>
      <c r="C134" t="str">
        <f>IFERROR(_xlfn.XLOOKUP(B134, Customer!A:A, Customer!B:B), "Unknown Customer")</f>
        <v>Roya Yousefi</v>
      </c>
      <c r="D134" s="1">
        <v>45961</v>
      </c>
      <c r="E134" t="s">
        <v>13</v>
      </c>
      <c r="F134" t="s">
        <v>14</v>
      </c>
      <c r="G134">
        <v>1</v>
      </c>
      <c r="H134" t="s">
        <v>11</v>
      </c>
      <c r="I134" s="2">
        <v>63000</v>
      </c>
      <c r="J134" t="s">
        <v>28</v>
      </c>
      <c r="K134" s="3">
        <f t="shared" si="4"/>
        <v>63000</v>
      </c>
      <c r="L134" t="str">
        <f t="shared" si="5"/>
        <v>2025-10</v>
      </c>
    </row>
    <row r="135" spans="1:12" x14ac:dyDescent="0.25">
      <c r="A135">
        <v>1134</v>
      </c>
      <c r="B135">
        <v>6</v>
      </c>
      <c r="C135" t="str">
        <f>IFERROR(_xlfn.XLOOKUP(B135, Customer!A:A, Customer!B:B), "Unknown Customer")</f>
        <v>Sepideh Mousavi</v>
      </c>
      <c r="D135" s="1">
        <v>45963</v>
      </c>
      <c r="E135" t="s">
        <v>29</v>
      </c>
      <c r="F135" t="s">
        <v>14</v>
      </c>
      <c r="G135">
        <v>3</v>
      </c>
      <c r="H135" t="s">
        <v>11</v>
      </c>
      <c r="I135" s="2">
        <v>45000</v>
      </c>
      <c r="J135" t="s">
        <v>28</v>
      </c>
      <c r="K135" s="3">
        <f t="shared" si="4"/>
        <v>135000</v>
      </c>
      <c r="L135" t="str">
        <f t="shared" si="5"/>
        <v>2025-11</v>
      </c>
    </row>
    <row r="136" spans="1:12" x14ac:dyDescent="0.25">
      <c r="A136">
        <v>1135</v>
      </c>
      <c r="B136">
        <v>82</v>
      </c>
      <c r="C136" t="str">
        <f>IFERROR(_xlfn.XLOOKUP(B136, Customer!A:A, Customer!B:B), "Unknown Customer")</f>
        <v>Azadeh Rezaei</v>
      </c>
      <c r="D136" s="1">
        <v>46000</v>
      </c>
      <c r="E136" t="s">
        <v>29</v>
      </c>
      <c r="F136" t="s">
        <v>14</v>
      </c>
      <c r="G136">
        <v>3</v>
      </c>
      <c r="H136" t="s">
        <v>11</v>
      </c>
      <c r="I136" s="2">
        <v>45000</v>
      </c>
      <c r="J136" t="s">
        <v>12</v>
      </c>
      <c r="K136" s="3">
        <f t="shared" si="4"/>
        <v>135000</v>
      </c>
      <c r="L136" t="str">
        <f t="shared" si="5"/>
        <v>2025-12</v>
      </c>
    </row>
    <row r="137" spans="1:12" x14ac:dyDescent="0.25">
      <c r="A137">
        <v>1136</v>
      </c>
      <c r="B137">
        <v>52</v>
      </c>
      <c r="C137" t="str">
        <f>IFERROR(_xlfn.XLOOKUP(B137, Customer!A:A, Customer!B:B), "Unknown Customer")</f>
        <v>Kaveh Rostami</v>
      </c>
      <c r="D137" s="1">
        <v>45890</v>
      </c>
      <c r="E137" t="s">
        <v>9</v>
      </c>
      <c r="F137" t="s">
        <v>10</v>
      </c>
      <c r="G137">
        <v>1</v>
      </c>
      <c r="H137" t="s">
        <v>11</v>
      </c>
      <c r="I137" s="2">
        <v>62000</v>
      </c>
      <c r="J137" t="s">
        <v>15</v>
      </c>
      <c r="K137" s="3">
        <f t="shared" si="4"/>
        <v>62000</v>
      </c>
      <c r="L137" t="str">
        <f t="shared" si="5"/>
        <v>2025-08</v>
      </c>
    </row>
    <row r="138" spans="1:12" x14ac:dyDescent="0.25">
      <c r="A138">
        <v>1137</v>
      </c>
      <c r="B138">
        <v>27</v>
      </c>
      <c r="C138" t="str">
        <f>IFERROR(_xlfn.XLOOKUP(B138, Customer!A:A, Customer!B:B), "Unknown Customer")</f>
        <v>Sina Fallahi</v>
      </c>
      <c r="D138" s="1">
        <v>45849</v>
      </c>
      <c r="E138" t="s">
        <v>25</v>
      </c>
      <c r="F138" t="s">
        <v>10</v>
      </c>
      <c r="G138">
        <v>4</v>
      </c>
      <c r="H138" t="s">
        <v>11</v>
      </c>
      <c r="I138" s="2">
        <v>65000</v>
      </c>
      <c r="J138" t="s">
        <v>15</v>
      </c>
      <c r="K138" s="3">
        <f t="shared" si="4"/>
        <v>260000</v>
      </c>
      <c r="L138" t="str">
        <f t="shared" si="5"/>
        <v>2025-07</v>
      </c>
    </row>
    <row r="139" spans="1:12" x14ac:dyDescent="0.25">
      <c r="A139">
        <v>1138</v>
      </c>
      <c r="B139">
        <v>17</v>
      </c>
      <c r="C139" t="str">
        <f>IFERROR(_xlfn.XLOOKUP(B139, Customer!A:A, Customer!B:B), "Unknown Customer")</f>
        <v>Kaveh Jafari</v>
      </c>
      <c r="D139" s="1">
        <v>45921</v>
      </c>
      <c r="E139" t="s">
        <v>25</v>
      </c>
      <c r="F139" t="s">
        <v>10</v>
      </c>
      <c r="G139">
        <v>1</v>
      </c>
      <c r="H139" t="s">
        <v>11</v>
      </c>
      <c r="I139" s="2">
        <v>65000</v>
      </c>
      <c r="J139" t="s">
        <v>21</v>
      </c>
      <c r="K139" s="3">
        <f t="shared" si="4"/>
        <v>65000</v>
      </c>
      <c r="L139" t="str">
        <f t="shared" si="5"/>
        <v>2025-09</v>
      </c>
    </row>
    <row r="140" spans="1:12" x14ac:dyDescent="0.25">
      <c r="A140">
        <v>1139</v>
      </c>
      <c r="B140">
        <v>58</v>
      </c>
      <c r="C140" t="str">
        <f>IFERROR(_xlfn.XLOOKUP(B140, Customer!A:A, Customer!B:B), "Unknown Customer")</f>
        <v>Mona Moradi</v>
      </c>
      <c r="D140" s="1">
        <v>45730</v>
      </c>
      <c r="E140" t="s">
        <v>30</v>
      </c>
      <c r="F140" t="s">
        <v>14</v>
      </c>
      <c r="G140">
        <v>1</v>
      </c>
      <c r="H140" t="s">
        <v>11</v>
      </c>
      <c r="I140" s="2">
        <v>48000</v>
      </c>
      <c r="J140" t="s">
        <v>24</v>
      </c>
      <c r="K140" s="3">
        <f t="shared" si="4"/>
        <v>48000</v>
      </c>
      <c r="L140" t="str">
        <f t="shared" si="5"/>
        <v>2025-03</v>
      </c>
    </row>
    <row r="141" spans="1:12" x14ac:dyDescent="0.25">
      <c r="A141">
        <v>1140</v>
      </c>
      <c r="B141">
        <v>118</v>
      </c>
      <c r="C141" t="str">
        <f>IFERROR(_xlfn.XLOOKUP(B141, Customer!A:A, Customer!B:B), "Unknown Customer")</f>
        <v>Hamed Rezaei</v>
      </c>
      <c r="D141" s="1">
        <v>45825</v>
      </c>
      <c r="E141" t="s">
        <v>13</v>
      </c>
      <c r="F141" t="s">
        <v>14</v>
      </c>
      <c r="G141">
        <v>1</v>
      </c>
      <c r="H141" t="s">
        <v>11</v>
      </c>
      <c r="I141" s="2">
        <v>58000</v>
      </c>
      <c r="J141" t="s">
        <v>15</v>
      </c>
      <c r="K141" s="3">
        <f t="shared" si="4"/>
        <v>58000</v>
      </c>
      <c r="L141" t="str">
        <f t="shared" si="5"/>
        <v>2025-06</v>
      </c>
    </row>
    <row r="142" spans="1:12" x14ac:dyDescent="0.25">
      <c r="A142">
        <v>1141</v>
      </c>
      <c r="B142">
        <v>113</v>
      </c>
      <c r="C142" t="str">
        <f>IFERROR(_xlfn.XLOOKUP(B142, Customer!A:A, Customer!B:B), "Unknown Customer")</f>
        <v>Arman Jafari</v>
      </c>
      <c r="D142" s="1">
        <v>45912</v>
      </c>
      <c r="E142" t="s">
        <v>9</v>
      </c>
      <c r="F142" t="s">
        <v>10</v>
      </c>
      <c r="G142">
        <v>2</v>
      </c>
      <c r="H142" t="s">
        <v>11</v>
      </c>
      <c r="I142" s="2">
        <v>67000</v>
      </c>
      <c r="J142" t="s">
        <v>24</v>
      </c>
      <c r="K142" s="3">
        <f t="shared" si="4"/>
        <v>134000</v>
      </c>
      <c r="L142" t="str">
        <f t="shared" si="5"/>
        <v>2025-09</v>
      </c>
    </row>
    <row r="143" spans="1:12" x14ac:dyDescent="0.25">
      <c r="A143">
        <v>1142</v>
      </c>
      <c r="B143">
        <v>75</v>
      </c>
      <c r="C143" t="str">
        <f>IFERROR(_xlfn.XLOOKUP(B143, Customer!A:A, Customer!B:B), "Unknown Customer")</f>
        <v>Kian Ebrahimi</v>
      </c>
      <c r="D143" s="1">
        <v>45682</v>
      </c>
      <c r="E143" t="s">
        <v>25</v>
      </c>
      <c r="F143" t="s">
        <v>10</v>
      </c>
      <c r="G143">
        <v>2</v>
      </c>
      <c r="H143" t="s">
        <v>11</v>
      </c>
      <c r="I143" s="2">
        <v>70000</v>
      </c>
      <c r="J143" t="s">
        <v>21</v>
      </c>
      <c r="K143" s="3">
        <f t="shared" si="4"/>
        <v>140000</v>
      </c>
      <c r="L143" t="str">
        <f t="shared" si="5"/>
        <v>2025-01</v>
      </c>
    </row>
    <row r="144" spans="1:12" x14ac:dyDescent="0.25">
      <c r="A144">
        <v>1143</v>
      </c>
      <c r="B144">
        <v>69</v>
      </c>
      <c r="C144" t="str">
        <f>IFERROR(_xlfn.XLOOKUP(B144, Customer!A:A, Customer!B:B), "Unknown Customer")</f>
        <v>Mahsa Ebrahimi</v>
      </c>
      <c r="D144" s="1">
        <v>45713</v>
      </c>
      <c r="E144" t="s">
        <v>29</v>
      </c>
      <c r="F144" t="s">
        <v>14</v>
      </c>
      <c r="G144">
        <v>1</v>
      </c>
      <c r="H144" t="s">
        <v>11</v>
      </c>
      <c r="I144" s="2">
        <v>45000</v>
      </c>
      <c r="J144" t="s">
        <v>19</v>
      </c>
      <c r="K144" s="3">
        <f t="shared" si="4"/>
        <v>45000</v>
      </c>
      <c r="L144" t="str">
        <f t="shared" si="5"/>
        <v>2025-02</v>
      </c>
    </row>
    <row r="145" spans="1:12" x14ac:dyDescent="0.25">
      <c r="A145">
        <v>1144</v>
      </c>
      <c r="B145">
        <v>52</v>
      </c>
      <c r="C145" t="str">
        <f>IFERROR(_xlfn.XLOOKUP(B145, Customer!A:A, Customer!B:B), "Unknown Customer")</f>
        <v>Kaveh Rostami</v>
      </c>
      <c r="D145" s="1">
        <v>45949</v>
      </c>
      <c r="E145" t="s">
        <v>29</v>
      </c>
      <c r="F145" t="s">
        <v>14</v>
      </c>
      <c r="G145">
        <v>1</v>
      </c>
      <c r="H145" t="s">
        <v>11</v>
      </c>
      <c r="I145" s="2">
        <v>50000</v>
      </c>
      <c r="J145" t="s">
        <v>15</v>
      </c>
      <c r="K145" s="3">
        <f t="shared" si="4"/>
        <v>50000</v>
      </c>
      <c r="L145" t="str">
        <f t="shared" si="5"/>
        <v>2025-10</v>
      </c>
    </row>
    <row r="146" spans="1:12" x14ac:dyDescent="0.25">
      <c r="A146">
        <v>1145</v>
      </c>
      <c r="B146">
        <v>65</v>
      </c>
      <c r="C146" t="str">
        <f>IFERROR(_xlfn.XLOOKUP(B146, Customer!A:A, Customer!B:B), "Unknown Customer")</f>
        <v>Yasaman Norouzi</v>
      </c>
      <c r="D146" s="1">
        <v>45939</v>
      </c>
      <c r="E146" t="s">
        <v>16</v>
      </c>
      <c r="F146" t="s">
        <v>17</v>
      </c>
      <c r="G146">
        <v>1</v>
      </c>
      <c r="H146" t="s">
        <v>11</v>
      </c>
      <c r="I146" s="2">
        <v>70000</v>
      </c>
      <c r="J146" t="s">
        <v>21</v>
      </c>
      <c r="K146" s="3">
        <f t="shared" si="4"/>
        <v>70000</v>
      </c>
      <c r="L146" t="str">
        <f t="shared" si="5"/>
        <v>2025-10</v>
      </c>
    </row>
    <row r="147" spans="1:12" x14ac:dyDescent="0.25">
      <c r="A147">
        <v>1146</v>
      </c>
      <c r="B147">
        <v>72</v>
      </c>
      <c r="C147" t="str">
        <f>IFERROR(_xlfn.XLOOKUP(B147, Customer!A:A, Customer!B:B), "Unknown Customer")</f>
        <v>Roya Rostami</v>
      </c>
      <c r="D147" s="1">
        <v>45731</v>
      </c>
      <c r="E147" t="s">
        <v>25</v>
      </c>
      <c r="F147" t="s">
        <v>10</v>
      </c>
      <c r="G147">
        <v>2</v>
      </c>
      <c r="H147" t="s">
        <v>11</v>
      </c>
      <c r="I147" s="2">
        <v>60000</v>
      </c>
      <c r="J147" t="s">
        <v>24</v>
      </c>
      <c r="K147" s="3">
        <f t="shared" si="4"/>
        <v>120000</v>
      </c>
      <c r="L147" t="str">
        <f t="shared" si="5"/>
        <v>2025-03</v>
      </c>
    </row>
    <row r="148" spans="1:12" x14ac:dyDescent="0.25">
      <c r="A148">
        <v>1147</v>
      </c>
      <c r="B148">
        <v>92</v>
      </c>
      <c r="C148" t="str">
        <f>IFERROR(_xlfn.XLOOKUP(B148, Customer!A:A, Customer!B:B), "Unknown Customer")</f>
        <v>Payam Zare</v>
      </c>
      <c r="D148" s="1">
        <v>45900</v>
      </c>
      <c r="E148" t="s">
        <v>25</v>
      </c>
      <c r="F148" t="s">
        <v>10</v>
      </c>
      <c r="G148">
        <v>1</v>
      </c>
      <c r="H148" t="s">
        <v>11</v>
      </c>
      <c r="I148" s="2">
        <v>70000</v>
      </c>
      <c r="J148" t="s">
        <v>21</v>
      </c>
      <c r="K148" s="3">
        <f t="shared" si="4"/>
        <v>70000</v>
      </c>
      <c r="L148" t="str">
        <f t="shared" si="5"/>
        <v>2025-08</v>
      </c>
    </row>
    <row r="149" spans="1:12" x14ac:dyDescent="0.25">
      <c r="A149">
        <v>1148</v>
      </c>
      <c r="B149">
        <v>120</v>
      </c>
      <c r="C149" t="str">
        <f>IFERROR(_xlfn.XLOOKUP(B149, Customer!A:A, Customer!B:B), "Unknown Customer")</f>
        <v>Sepideh Abbasi</v>
      </c>
      <c r="D149" s="1">
        <v>45821</v>
      </c>
      <c r="E149" t="s">
        <v>20</v>
      </c>
      <c r="F149" t="s">
        <v>17</v>
      </c>
      <c r="G149">
        <v>2</v>
      </c>
      <c r="H149" t="s">
        <v>11</v>
      </c>
      <c r="I149" s="2">
        <v>50000</v>
      </c>
      <c r="J149" t="s">
        <v>28</v>
      </c>
      <c r="K149" s="3">
        <f t="shared" si="4"/>
        <v>100000</v>
      </c>
      <c r="L149" t="str">
        <f t="shared" si="5"/>
        <v>2025-06</v>
      </c>
    </row>
    <row r="150" spans="1:12" x14ac:dyDescent="0.25">
      <c r="A150">
        <v>1149</v>
      </c>
      <c r="B150">
        <v>107</v>
      </c>
      <c r="C150" t="str">
        <f>IFERROR(_xlfn.XLOOKUP(B150, Customer!A:A, Customer!B:B), "Unknown Customer")</f>
        <v>Mona Abbasi</v>
      </c>
      <c r="D150" s="1">
        <v>45930</v>
      </c>
      <c r="E150" t="s">
        <v>23</v>
      </c>
      <c r="F150" t="s">
        <v>17</v>
      </c>
      <c r="G150">
        <v>2</v>
      </c>
      <c r="H150" t="s">
        <v>11</v>
      </c>
      <c r="I150" s="2">
        <v>80000</v>
      </c>
      <c r="J150" t="s">
        <v>12</v>
      </c>
      <c r="K150" s="3">
        <f t="shared" si="4"/>
        <v>160000</v>
      </c>
      <c r="L150" t="str">
        <f t="shared" si="5"/>
        <v>2025-09</v>
      </c>
    </row>
    <row r="151" spans="1:12" x14ac:dyDescent="0.25">
      <c r="A151">
        <v>1150</v>
      </c>
      <c r="B151">
        <v>15</v>
      </c>
      <c r="C151" t="str">
        <f>IFERROR(_xlfn.XLOOKUP(B151, Customer!A:A, Customer!B:B), "Unknown Customer")</f>
        <v>Milad Zare</v>
      </c>
      <c r="D151" s="1">
        <v>45956</v>
      </c>
      <c r="E151" t="s">
        <v>31</v>
      </c>
      <c r="F151" t="s">
        <v>17</v>
      </c>
      <c r="G151">
        <v>2</v>
      </c>
      <c r="H151" t="s">
        <v>11</v>
      </c>
      <c r="I151" s="2">
        <v>40000</v>
      </c>
      <c r="J151" t="s">
        <v>12</v>
      </c>
      <c r="K151" s="3">
        <f t="shared" si="4"/>
        <v>80000</v>
      </c>
      <c r="L151" t="str">
        <f t="shared" si="5"/>
        <v>2025-10</v>
      </c>
    </row>
    <row r="152" spans="1:12" x14ac:dyDescent="0.25">
      <c r="A152">
        <v>1151</v>
      </c>
      <c r="B152">
        <v>7</v>
      </c>
      <c r="C152" t="str">
        <f>IFERROR(_xlfn.XLOOKUP(B152, Customer!A:A, Customer!B:B), "Unknown Customer")</f>
        <v>Farhad Vakili</v>
      </c>
      <c r="D152" s="1">
        <v>45725</v>
      </c>
      <c r="E152" t="s">
        <v>20</v>
      </c>
      <c r="F152" t="s">
        <v>17</v>
      </c>
      <c r="G152">
        <v>1</v>
      </c>
      <c r="H152" t="s">
        <v>11</v>
      </c>
      <c r="I152" s="2">
        <v>50000</v>
      </c>
      <c r="J152" t="s">
        <v>24</v>
      </c>
      <c r="K152" s="3">
        <f t="shared" si="4"/>
        <v>50000</v>
      </c>
      <c r="L152" t="str">
        <f t="shared" si="5"/>
        <v>2025-03</v>
      </c>
    </row>
    <row r="153" spans="1:12" x14ac:dyDescent="0.25">
      <c r="A153">
        <v>1152</v>
      </c>
      <c r="B153">
        <v>3</v>
      </c>
      <c r="C153" t="str">
        <f>IFERROR(_xlfn.XLOOKUP(B153, Customer!A:A, Customer!B:B), "Unknown Customer")</f>
        <v>Hamed Abbasi</v>
      </c>
      <c r="D153" s="1">
        <v>45818</v>
      </c>
      <c r="E153" t="s">
        <v>16</v>
      </c>
      <c r="F153" t="s">
        <v>17</v>
      </c>
      <c r="G153">
        <v>1</v>
      </c>
      <c r="H153" t="s">
        <v>11</v>
      </c>
      <c r="I153" s="2">
        <v>75000</v>
      </c>
      <c r="J153" t="s">
        <v>12</v>
      </c>
      <c r="K153" s="3">
        <f t="shared" si="4"/>
        <v>75000</v>
      </c>
      <c r="L153" t="str">
        <f t="shared" si="5"/>
        <v>2025-06</v>
      </c>
    </row>
    <row r="154" spans="1:12" x14ac:dyDescent="0.25">
      <c r="A154">
        <v>1153</v>
      </c>
      <c r="B154">
        <v>94</v>
      </c>
      <c r="C154" t="str">
        <f>IFERROR(_xlfn.XLOOKUP(B154, Customer!A:A, Customer!B:B), "Unknown Customer")</f>
        <v>Hamed Fallahi</v>
      </c>
      <c r="D154" s="1">
        <v>46019</v>
      </c>
      <c r="E154" t="s">
        <v>29</v>
      </c>
      <c r="F154" t="s">
        <v>14</v>
      </c>
      <c r="G154">
        <v>2</v>
      </c>
      <c r="H154" t="s">
        <v>11</v>
      </c>
      <c r="I154" s="2">
        <v>45000</v>
      </c>
      <c r="J154" t="s">
        <v>28</v>
      </c>
      <c r="K154" s="3">
        <f t="shared" si="4"/>
        <v>90000</v>
      </c>
      <c r="L154" t="str">
        <f t="shared" si="5"/>
        <v>2025-12</v>
      </c>
    </row>
    <row r="155" spans="1:12" x14ac:dyDescent="0.25">
      <c r="A155">
        <v>1154</v>
      </c>
      <c r="B155">
        <v>49</v>
      </c>
      <c r="C155" t="str">
        <f>IFERROR(_xlfn.XLOOKUP(B155, Customer!A:A, Customer!B:B), "Unknown Customer")</f>
        <v>Elham Karimi</v>
      </c>
      <c r="D155" s="1">
        <v>45746</v>
      </c>
      <c r="E155" t="s">
        <v>25</v>
      </c>
      <c r="F155" t="s">
        <v>10</v>
      </c>
      <c r="G155">
        <v>2</v>
      </c>
      <c r="H155" t="s">
        <v>11</v>
      </c>
      <c r="I155" s="2">
        <v>65000</v>
      </c>
      <c r="J155" t="s">
        <v>28</v>
      </c>
      <c r="K155" s="3">
        <f t="shared" si="4"/>
        <v>130000</v>
      </c>
      <c r="L155" t="str">
        <f t="shared" si="5"/>
        <v>2025-03</v>
      </c>
    </row>
    <row r="156" spans="1:12" x14ac:dyDescent="0.25">
      <c r="A156">
        <v>1155</v>
      </c>
      <c r="B156">
        <v>62</v>
      </c>
      <c r="C156" t="str">
        <f>IFERROR(_xlfn.XLOOKUP(B156, Customer!A:A, Customer!B:B), "Unknown Customer")</f>
        <v>Amir Mousavi</v>
      </c>
      <c r="D156" s="1">
        <v>45843</v>
      </c>
      <c r="E156" t="s">
        <v>30</v>
      </c>
      <c r="F156" t="s">
        <v>14</v>
      </c>
      <c r="G156">
        <v>1</v>
      </c>
      <c r="H156" t="s">
        <v>11</v>
      </c>
      <c r="I156" s="2">
        <v>48000</v>
      </c>
      <c r="J156" t="s">
        <v>12</v>
      </c>
      <c r="K156" s="3">
        <f t="shared" si="4"/>
        <v>48000</v>
      </c>
      <c r="L156" t="str">
        <f t="shared" si="5"/>
        <v>2025-07</v>
      </c>
    </row>
    <row r="157" spans="1:12" x14ac:dyDescent="0.25">
      <c r="A157">
        <v>1156</v>
      </c>
      <c r="B157">
        <v>91</v>
      </c>
      <c r="C157" t="str">
        <f>IFERROR(_xlfn.XLOOKUP(B157, Customer!A:A, Customer!B:B), "Unknown Customer")</f>
        <v>Ali Ebrahimi</v>
      </c>
      <c r="D157" s="1">
        <v>45997</v>
      </c>
      <c r="E157" t="s">
        <v>16</v>
      </c>
      <c r="F157" t="s">
        <v>17</v>
      </c>
      <c r="G157">
        <v>2</v>
      </c>
      <c r="H157" t="s">
        <v>11</v>
      </c>
      <c r="I157" s="2">
        <v>75000</v>
      </c>
      <c r="J157" t="s">
        <v>28</v>
      </c>
      <c r="K157" s="3">
        <f t="shared" si="4"/>
        <v>150000</v>
      </c>
      <c r="L157" t="str">
        <f t="shared" si="5"/>
        <v>2025-12</v>
      </c>
    </row>
    <row r="158" spans="1:12" x14ac:dyDescent="0.25">
      <c r="A158">
        <v>1157</v>
      </c>
      <c r="B158">
        <v>87</v>
      </c>
      <c r="C158" t="str">
        <f>IFERROR(_xlfn.XLOOKUP(B158, Customer!A:A, Customer!B:B), "Unknown Customer")</f>
        <v>Sepideh Abbasi</v>
      </c>
      <c r="D158" s="1">
        <v>45852</v>
      </c>
      <c r="E158" t="s">
        <v>23</v>
      </c>
      <c r="F158" t="s">
        <v>17</v>
      </c>
      <c r="G158">
        <v>4</v>
      </c>
      <c r="H158" t="s">
        <v>11</v>
      </c>
      <c r="I158" s="2">
        <v>84857.142857142855</v>
      </c>
      <c r="J158" t="s">
        <v>21</v>
      </c>
      <c r="K158" s="3">
        <f t="shared" si="4"/>
        <v>339428.57142857142</v>
      </c>
      <c r="L158" t="str">
        <f t="shared" si="5"/>
        <v>2025-07</v>
      </c>
    </row>
    <row r="159" spans="1:12" x14ac:dyDescent="0.25">
      <c r="A159">
        <v>1158</v>
      </c>
      <c r="B159">
        <v>60</v>
      </c>
      <c r="C159" t="str">
        <f>IFERROR(_xlfn.XLOOKUP(B159, Customer!A:A, Customer!B:B), "Unknown Customer")</f>
        <v>Sina Ghasemi</v>
      </c>
      <c r="D159" s="1">
        <v>45932</v>
      </c>
      <c r="E159" t="s">
        <v>22</v>
      </c>
      <c r="F159" t="s">
        <v>14</v>
      </c>
      <c r="G159">
        <v>3</v>
      </c>
      <c r="H159" t="s">
        <v>11</v>
      </c>
      <c r="I159" s="2">
        <v>60000</v>
      </c>
      <c r="J159" t="s">
        <v>24</v>
      </c>
      <c r="K159" s="3">
        <f t="shared" si="4"/>
        <v>180000</v>
      </c>
      <c r="L159" t="str">
        <f t="shared" si="5"/>
        <v>2025-10</v>
      </c>
    </row>
    <row r="160" spans="1:12" x14ac:dyDescent="0.25">
      <c r="A160">
        <v>1159</v>
      </c>
      <c r="B160">
        <v>26</v>
      </c>
      <c r="C160" t="str">
        <f>IFERROR(_xlfn.XLOOKUP(B160, Customer!A:A, Customer!B:B), "Unknown Customer")</f>
        <v>Mona Karimi</v>
      </c>
      <c r="D160" s="1">
        <v>45796</v>
      </c>
      <c r="E160" t="s">
        <v>23</v>
      </c>
      <c r="F160" t="s">
        <v>17</v>
      </c>
      <c r="G160">
        <v>1</v>
      </c>
      <c r="H160" t="s">
        <v>11</v>
      </c>
      <c r="I160" s="2">
        <v>80000</v>
      </c>
      <c r="J160" t="s">
        <v>24</v>
      </c>
      <c r="K160" s="3">
        <f t="shared" si="4"/>
        <v>80000</v>
      </c>
      <c r="L160" t="str">
        <f t="shared" si="5"/>
        <v>2025-05</v>
      </c>
    </row>
    <row r="161" spans="1:12" x14ac:dyDescent="0.25">
      <c r="A161">
        <v>1160</v>
      </c>
      <c r="B161">
        <v>7</v>
      </c>
      <c r="C161" t="str">
        <f>IFERROR(_xlfn.XLOOKUP(B161, Customer!A:A, Customer!B:B), "Unknown Customer")</f>
        <v>Farhad Vakili</v>
      </c>
      <c r="D161" s="1">
        <v>45929</v>
      </c>
      <c r="E161" t="s">
        <v>27</v>
      </c>
      <c r="F161" t="s">
        <v>14</v>
      </c>
      <c r="G161">
        <v>1</v>
      </c>
      <c r="H161" t="s">
        <v>11</v>
      </c>
      <c r="I161" s="2">
        <v>30000</v>
      </c>
      <c r="J161" t="s">
        <v>12</v>
      </c>
      <c r="K161" s="3">
        <f t="shared" si="4"/>
        <v>30000</v>
      </c>
      <c r="L161" t="str">
        <f t="shared" si="5"/>
        <v>2025-09</v>
      </c>
    </row>
    <row r="162" spans="1:12" x14ac:dyDescent="0.25">
      <c r="A162">
        <v>1161</v>
      </c>
      <c r="B162">
        <v>61</v>
      </c>
      <c r="C162" t="str">
        <f>IFERROR(_xlfn.XLOOKUP(B162, Customer!A:A, Customer!B:B), "Unknown Customer")</f>
        <v>Arman Moradi</v>
      </c>
      <c r="D162" s="1">
        <v>46006</v>
      </c>
      <c r="E162" t="s">
        <v>18</v>
      </c>
      <c r="F162" t="s">
        <v>14</v>
      </c>
      <c r="G162">
        <v>2</v>
      </c>
      <c r="H162" t="s">
        <v>11</v>
      </c>
      <c r="I162" s="2">
        <v>55000</v>
      </c>
      <c r="J162" t="s">
        <v>15</v>
      </c>
      <c r="K162" s="3">
        <f t="shared" si="4"/>
        <v>110000</v>
      </c>
      <c r="L162" t="str">
        <f t="shared" si="5"/>
        <v>2025-12</v>
      </c>
    </row>
    <row r="163" spans="1:12" x14ac:dyDescent="0.25">
      <c r="A163">
        <v>1162</v>
      </c>
      <c r="B163">
        <v>84</v>
      </c>
      <c r="C163" t="str">
        <f>IFERROR(_xlfn.XLOOKUP(B163, Customer!A:A, Customer!B:B), "Unknown Customer")</f>
        <v>Setareh Moradi</v>
      </c>
      <c r="D163" s="1">
        <v>45805</v>
      </c>
      <c r="E163" t="s">
        <v>30</v>
      </c>
      <c r="F163" t="s">
        <v>14</v>
      </c>
      <c r="G163">
        <v>3</v>
      </c>
      <c r="H163" t="s">
        <v>11</v>
      </c>
      <c r="I163" s="2">
        <v>43000</v>
      </c>
      <c r="J163" t="s">
        <v>28</v>
      </c>
      <c r="K163" s="3">
        <f t="shared" si="4"/>
        <v>129000</v>
      </c>
      <c r="L163" t="str">
        <f t="shared" si="5"/>
        <v>2025-05</v>
      </c>
    </row>
    <row r="164" spans="1:12" x14ac:dyDescent="0.25">
      <c r="A164">
        <v>1163</v>
      </c>
      <c r="B164">
        <v>95</v>
      </c>
      <c r="C164" t="str">
        <f>IFERROR(_xlfn.XLOOKUP(B164, Customer!A:A, Customer!B:B), "Unknown Customer")</f>
        <v>Elham Norouzi</v>
      </c>
      <c r="D164" s="1">
        <v>45677</v>
      </c>
      <c r="E164" t="s">
        <v>22</v>
      </c>
      <c r="F164" t="s">
        <v>14</v>
      </c>
      <c r="G164">
        <v>4</v>
      </c>
      <c r="H164" t="s">
        <v>11</v>
      </c>
      <c r="I164" s="2">
        <v>60000</v>
      </c>
      <c r="J164" t="s">
        <v>15</v>
      </c>
      <c r="K164" s="3">
        <f t="shared" si="4"/>
        <v>240000</v>
      </c>
      <c r="L164" t="str">
        <f t="shared" si="5"/>
        <v>2025-01</v>
      </c>
    </row>
    <row r="165" spans="1:12" x14ac:dyDescent="0.25">
      <c r="A165">
        <v>1164</v>
      </c>
      <c r="B165">
        <v>24</v>
      </c>
      <c r="C165" t="str">
        <f>IFERROR(_xlfn.XLOOKUP(B165, Customer!A:A, Customer!B:B), "Unknown Customer")</f>
        <v>Farhad Sadeghi</v>
      </c>
      <c r="D165" s="1">
        <v>45806</v>
      </c>
      <c r="E165" t="s">
        <v>22</v>
      </c>
      <c r="F165" t="s">
        <v>14</v>
      </c>
      <c r="G165">
        <v>1</v>
      </c>
      <c r="H165" t="s">
        <v>11</v>
      </c>
      <c r="I165" s="2">
        <v>65000</v>
      </c>
      <c r="J165" t="s">
        <v>21</v>
      </c>
      <c r="K165" s="3">
        <f t="shared" si="4"/>
        <v>65000</v>
      </c>
      <c r="L165" t="str">
        <f t="shared" si="5"/>
        <v>2025-05</v>
      </c>
    </row>
    <row r="166" spans="1:12" x14ac:dyDescent="0.25">
      <c r="A166">
        <v>1165</v>
      </c>
      <c r="B166">
        <v>37</v>
      </c>
      <c r="C166" t="str">
        <f>IFERROR(_xlfn.XLOOKUP(B166, Customer!A:A, Customer!B:B), "Unknown Customer")</f>
        <v>Omid Sadeghi</v>
      </c>
      <c r="D166" s="1">
        <v>45986</v>
      </c>
      <c r="E166" t="s">
        <v>16</v>
      </c>
      <c r="F166" t="s">
        <v>17</v>
      </c>
      <c r="G166">
        <v>1</v>
      </c>
      <c r="H166" t="s">
        <v>11</v>
      </c>
      <c r="I166" s="2">
        <v>80000</v>
      </c>
      <c r="J166" t="s">
        <v>24</v>
      </c>
      <c r="K166" s="3">
        <f t="shared" si="4"/>
        <v>80000</v>
      </c>
      <c r="L166" t="str">
        <f t="shared" si="5"/>
        <v>2025-11</v>
      </c>
    </row>
    <row r="167" spans="1:12" x14ac:dyDescent="0.25">
      <c r="A167">
        <v>1166</v>
      </c>
      <c r="B167">
        <v>104</v>
      </c>
      <c r="C167" t="str">
        <f>IFERROR(_xlfn.XLOOKUP(B167, Customer!A:A, Customer!B:B), "Unknown Customer")</f>
        <v>Kian Zare</v>
      </c>
      <c r="D167" s="1">
        <v>45827</v>
      </c>
      <c r="E167" t="s">
        <v>18</v>
      </c>
      <c r="F167" t="s">
        <v>14</v>
      </c>
      <c r="G167">
        <v>1</v>
      </c>
      <c r="H167" t="s">
        <v>11</v>
      </c>
      <c r="I167" s="2">
        <v>55000</v>
      </c>
      <c r="J167" t="s">
        <v>19</v>
      </c>
      <c r="K167" s="3">
        <f t="shared" si="4"/>
        <v>55000</v>
      </c>
      <c r="L167" t="str">
        <f t="shared" si="5"/>
        <v>2025-06</v>
      </c>
    </row>
    <row r="168" spans="1:12" x14ac:dyDescent="0.25">
      <c r="A168">
        <v>1167</v>
      </c>
      <c r="B168">
        <v>95</v>
      </c>
      <c r="C168" t="str">
        <f>IFERROR(_xlfn.XLOOKUP(B168, Customer!A:A, Customer!B:B), "Unknown Customer")</f>
        <v>Elham Norouzi</v>
      </c>
      <c r="D168" s="1">
        <v>45809</v>
      </c>
      <c r="E168" t="s">
        <v>25</v>
      </c>
      <c r="F168" t="s">
        <v>10</v>
      </c>
      <c r="G168">
        <v>1</v>
      </c>
      <c r="H168" t="s">
        <v>11</v>
      </c>
      <c r="I168" s="2">
        <v>70000</v>
      </c>
      <c r="J168" t="s">
        <v>32</v>
      </c>
      <c r="K168" s="3">
        <f t="shared" si="4"/>
        <v>70000</v>
      </c>
      <c r="L168" t="str">
        <f t="shared" si="5"/>
        <v>2025-06</v>
      </c>
    </row>
    <row r="169" spans="1:12" x14ac:dyDescent="0.25">
      <c r="A169">
        <v>1168</v>
      </c>
      <c r="B169">
        <v>66</v>
      </c>
      <c r="C169" t="str">
        <f>IFERROR(_xlfn.XLOOKUP(B169, Customer!A:A, Customer!B:B), "Unknown Customer")</f>
        <v>Farhad Abbasi</v>
      </c>
      <c r="D169" s="1">
        <v>45702</v>
      </c>
      <c r="E169" t="s">
        <v>25</v>
      </c>
      <c r="F169" t="s">
        <v>10</v>
      </c>
      <c r="G169">
        <v>1</v>
      </c>
      <c r="H169" t="s">
        <v>11</v>
      </c>
      <c r="I169" s="2">
        <v>65000</v>
      </c>
      <c r="J169" t="s">
        <v>24</v>
      </c>
      <c r="K169" s="3">
        <f t="shared" si="4"/>
        <v>65000</v>
      </c>
      <c r="L169" t="str">
        <f t="shared" si="5"/>
        <v>2025-02</v>
      </c>
    </row>
    <row r="170" spans="1:12" x14ac:dyDescent="0.25">
      <c r="A170">
        <v>1169</v>
      </c>
      <c r="B170">
        <v>1</v>
      </c>
      <c r="C170" t="str">
        <f>IFERROR(_xlfn.XLOOKUP(B170, Customer!A:A, Customer!B:B), "Unknown Customer")</f>
        <v>Leila Rezaei</v>
      </c>
      <c r="D170" s="1">
        <v>45854</v>
      </c>
      <c r="E170" t="s">
        <v>9</v>
      </c>
      <c r="F170" t="s">
        <v>10</v>
      </c>
      <c r="G170">
        <v>4</v>
      </c>
      <c r="H170" t="s">
        <v>11</v>
      </c>
      <c r="I170" s="2">
        <v>62000</v>
      </c>
      <c r="J170" t="s">
        <v>28</v>
      </c>
      <c r="K170" s="3">
        <f t="shared" si="4"/>
        <v>248000</v>
      </c>
      <c r="L170" t="str">
        <f t="shared" si="5"/>
        <v>2025-07</v>
      </c>
    </row>
    <row r="171" spans="1:12" x14ac:dyDescent="0.25">
      <c r="A171">
        <v>1170</v>
      </c>
      <c r="B171">
        <v>93</v>
      </c>
      <c r="C171" t="str">
        <f>IFERROR(_xlfn.XLOOKUP(B171, Customer!A:A, Customer!B:B), "Unknown Customer")</f>
        <v>Sepideh Norouzi</v>
      </c>
      <c r="D171" s="1">
        <v>45809</v>
      </c>
      <c r="E171" t="s">
        <v>20</v>
      </c>
      <c r="F171" t="s">
        <v>17</v>
      </c>
      <c r="G171">
        <v>3</v>
      </c>
      <c r="H171" t="s">
        <v>11</v>
      </c>
      <c r="I171" s="2">
        <v>50000</v>
      </c>
      <c r="J171" t="s">
        <v>15</v>
      </c>
      <c r="K171" s="3">
        <f t="shared" si="4"/>
        <v>150000</v>
      </c>
      <c r="L171" t="str">
        <f t="shared" si="5"/>
        <v>2025-06</v>
      </c>
    </row>
    <row r="172" spans="1:12" x14ac:dyDescent="0.25">
      <c r="A172">
        <v>1171</v>
      </c>
      <c r="B172">
        <v>40</v>
      </c>
      <c r="C172" t="str">
        <f>IFERROR(_xlfn.XLOOKUP(B172, Customer!A:A, Customer!B:B), "Unknown Customer")</f>
        <v>Nazanin Hosseini</v>
      </c>
      <c r="D172" s="1">
        <v>45865</v>
      </c>
      <c r="E172" t="s">
        <v>13</v>
      </c>
      <c r="F172" t="s">
        <v>14</v>
      </c>
      <c r="G172">
        <v>3</v>
      </c>
      <c r="H172" t="s">
        <v>11</v>
      </c>
      <c r="I172" s="2">
        <v>53000</v>
      </c>
      <c r="J172" t="s">
        <v>21</v>
      </c>
      <c r="K172" s="3">
        <f t="shared" si="4"/>
        <v>159000</v>
      </c>
      <c r="L172" t="str">
        <f t="shared" si="5"/>
        <v>2025-07</v>
      </c>
    </row>
    <row r="173" spans="1:12" x14ac:dyDescent="0.25">
      <c r="A173">
        <v>1172</v>
      </c>
      <c r="B173">
        <v>79</v>
      </c>
      <c r="C173" t="str">
        <f>IFERROR(_xlfn.XLOOKUP(B173, Customer!A:A, Customer!B:B), "Unknown Customer")</f>
        <v>Niloofar Ahmadi</v>
      </c>
      <c r="D173" s="1">
        <v>45770</v>
      </c>
      <c r="E173" t="s">
        <v>30</v>
      </c>
      <c r="F173" t="s">
        <v>14</v>
      </c>
      <c r="G173">
        <v>-1</v>
      </c>
      <c r="H173" t="s">
        <v>26</v>
      </c>
      <c r="I173" s="2">
        <v>48000</v>
      </c>
      <c r="J173" t="s">
        <v>15</v>
      </c>
      <c r="K173" s="3">
        <f t="shared" si="4"/>
        <v>-48000</v>
      </c>
      <c r="L173" t="str">
        <f t="shared" si="5"/>
        <v>2025-04</v>
      </c>
    </row>
    <row r="174" spans="1:12" x14ac:dyDescent="0.25">
      <c r="A174">
        <v>1173</v>
      </c>
      <c r="B174">
        <v>90</v>
      </c>
      <c r="C174" t="str">
        <f>IFERROR(_xlfn.XLOOKUP(B174, Customer!A:A, Customer!B:B), "Unknown Customer")</f>
        <v>Yasaman Karimi</v>
      </c>
      <c r="D174" s="1">
        <v>45899</v>
      </c>
      <c r="E174" t="s">
        <v>23</v>
      </c>
      <c r="F174" t="s">
        <v>17</v>
      </c>
      <c r="G174">
        <v>4</v>
      </c>
      <c r="H174" t="s">
        <v>11</v>
      </c>
      <c r="I174" s="2">
        <v>85000</v>
      </c>
      <c r="J174" t="s">
        <v>28</v>
      </c>
      <c r="K174" s="3">
        <f t="shared" si="4"/>
        <v>340000</v>
      </c>
      <c r="L174" t="str">
        <f t="shared" si="5"/>
        <v>2025-08</v>
      </c>
    </row>
    <row r="175" spans="1:12" x14ac:dyDescent="0.25">
      <c r="A175">
        <v>1174</v>
      </c>
      <c r="B175">
        <v>58</v>
      </c>
      <c r="C175" t="str">
        <f>IFERROR(_xlfn.XLOOKUP(B175, Customer!A:A, Customer!B:B), "Unknown Customer")</f>
        <v>Mona Moradi</v>
      </c>
      <c r="D175" s="1">
        <v>46018</v>
      </c>
      <c r="E175" t="s">
        <v>23</v>
      </c>
      <c r="F175" t="s">
        <v>17</v>
      </c>
      <c r="G175">
        <v>2</v>
      </c>
      <c r="H175" t="s">
        <v>11</v>
      </c>
      <c r="I175" s="2">
        <v>80000</v>
      </c>
      <c r="J175" t="s">
        <v>28</v>
      </c>
      <c r="K175" s="3">
        <f t="shared" si="4"/>
        <v>160000</v>
      </c>
      <c r="L175" t="str">
        <f t="shared" si="5"/>
        <v>2025-12</v>
      </c>
    </row>
    <row r="176" spans="1:12" x14ac:dyDescent="0.25">
      <c r="A176">
        <v>1175</v>
      </c>
      <c r="B176">
        <v>69</v>
      </c>
      <c r="C176" t="str">
        <f>IFERROR(_xlfn.XLOOKUP(B176, Customer!A:A, Customer!B:B), "Unknown Customer")</f>
        <v>Mahsa Ebrahimi</v>
      </c>
      <c r="D176" s="1">
        <v>45742</v>
      </c>
      <c r="E176" t="s">
        <v>13</v>
      </c>
      <c r="F176" t="s">
        <v>14</v>
      </c>
      <c r="G176">
        <v>1</v>
      </c>
      <c r="H176" t="s">
        <v>11</v>
      </c>
      <c r="I176" s="2">
        <v>58000</v>
      </c>
      <c r="J176" t="s">
        <v>19</v>
      </c>
      <c r="K176" s="3">
        <f t="shared" si="4"/>
        <v>58000</v>
      </c>
      <c r="L176" t="str">
        <f t="shared" si="5"/>
        <v>2025-03</v>
      </c>
    </row>
    <row r="177" spans="1:12" x14ac:dyDescent="0.25">
      <c r="A177">
        <v>1176</v>
      </c>
      <c r="B177">
        <v>116</v>
      </c>
      <c r="C177" t="str">
        <f>IFERROR(_xlfn.XLOOKUP(B177, Customer!A:A, Customer!B:B), "Unknown Customer")</f>
        <v>Kian Zare</v>
      </c>
      <c r="D177" s="1">
        <v>45886</v>
      </c>
      <c r="E177" t="s">
        <v>23</v>
      </c>
      <c r="F177" t="s">
        <v>17</v>
      </c>
      <c r="G177">
        <v>1</v>
      </c>
      <c r="H177" t="s">
        <v>11</v>
      </c>
      <c r="I177" s="2">
        <v>90000</v>
      </c>
      <c r="J177" t="s">
        <v>28</v>
      </c>
      <c r="K177" s="3">
        <f t="shared" si="4"/>
        <v>90000</v>
      </c>
      <c r="L177" t="str">
        <f t="shared" si="5"/>
        <v>2025-08</v>
      </c>
    </row>
    <row r="178" spans="1:12" x14ac:dyDescent="0.25">
      <c r="A178">
        <v>1177</v>
      </c>
      <c r="B178">
        <v>8</v>
      </c>
      <c r="C178" t="str">
        <f>IFERROR(_xlfn.XLOOKUP(B178, Customer!A:A, Customer!B:B), "Unknown Customer")</f>
        <v>Milad Norouzi</v>
      </c>
      <c r="D178" s="1">
        <v>45894</v>
      </c>
      <c r="E178" t="s">
        <v>23</v>
      </c>
      <c r="F178" t="s">
        <v>17</v>
      </c>
      <c r="G178">
        <v>3</v>
      </c>
      <c r="H178" t="s">
        <v>11</v>
      </c>
      <c r="I178" s="2">
        <v>80000</v>
      </c>
      <c r="J178" t="s">
        <v>19</v>
      </c>
      <c r="K178" s="3">
        <f t="shared" si="4"/>
        <v>240000</v>
      </c>
      <c r="L178" t="str">
        <f t="shared" si="5"/>
        <v>2025-08</v>
      </c>
    </row>
    <row r="179" spans="1:12" x14ac:dyDescent="0.25">
      <c r="A179">
        <v>1178</v>
      </c>
      <c r="B179">
        <v>96</v>
      </c>
      <c r="C179" t="str">
        <f>IFERROR(_xlfn.XLOOKUP(B179, Customer!A:A, Customer!B:B), "Unknown Customer")</f>
        <v>Milad Norouzi</v>
      </c>
      <c r="D179" s="1">
        <v>45954</v>
      </c>
      <c r="E179" t="s">
        <v>30</v>
      </c>
      <c r="F179" t="s">
        <v>14</v>
      </c>
      <c r="G179">
        <v>2</v>
      </c>
      <c r="H179" t="s">
        <v>11</v>
      </c>
      <c r="I179" s="2">
        <v>48000</v>
      </c>
      <c r="J179" t="s">
        <v>28</v>
      </c>
      <c r="K179" s="3">
        <f t="shared" si="4"/>
        <v>96000</v>
      </c>
      <c r="L179" t="str">
        <f t="shared" si="5"/>
        <v>2025-10</v>
      </c>
    </row>
    <row r="180" spans="1:12" x14ac:dyDescent="0.25">
      <c r="A180">
        <v>1179</v>
      </c>
      <c r="B180">
        <v>8</v>
      </c>
      <c r="C180" t="str">
        <f>IFERROR(_xlfn.XLOOKUP(B180, Customer!A:A, Customer!B:B), "Unknown Customer")</f>
        <v>Milad Norouzi</v>
      </c>
      <c r="D180" s="1">
        <v>45899</v>
      </c>
      <c r="E180" t="s">
        <v>18</v>
      </c>
      <c r="F180" t="s">
        <v>14</v>
      </c>
      <c r="G180">
        <v>2</v>
      </c>
      <c r="H180" t="s">
        <v>11</v>
      </c>
      <c r="I180" s="2">
        <v>55000</v>
      </c>
      <c r="J180" t="s">
        <v>21</v>
      </c>
      <c r="K180" s="3">
        <f t="shared" si="4"/>
        <v>110000</v>
      </c>
      <c r="L180" t="str">
        <f t="shared" si="5"/>
        <v>2025-08</v>
      </c>
    </row>
    <row r="181" spans="1:12" x14ac:dyDescent="0.25">
      <c r="A181">
        <v>1180</v>
      </c>
      <c r="B181">
        <v>115</v>
      </c>
      <c r="C181" t="str">
        <f>IFERROR(_xlfn.XLOOKUP(B181, Customer!A:A, Customer!B:B), "Unknown Customer")</f>
        <v>Setareh Ahmadi</v>
      </c>
      <c r="D181" s="1">
        <v>45887</v>
      </c>
      <c r="E181" t="s">
        <v>31</v>
      </c>
      <c r="F181" t="s">
        <v>17</v>
      </c>
      <c r="G181">
        <v>1</v>
      </c>
      <c r="H181" t="s">
        <v>11</v>
      </c>
      <c r="I181" s="2">
        <v>45000</v>
      </c>
      <c r="J181" t="s">
        <v>19</v>
      </c>
      <c r="K181" s="3">
        <f t="shared" si="4"/>
        <v>45000</v>
      </c>
      <c r="L181" t="str">
        <f t="shared" si="5"/>
        <v>2025-08</v>
      </c>
    </row>
    <row r="182" spans="1:12" x14ac:dyDescent="0.25">
      <c r="A182">
        <v>1181</v>
      </c>
      <c r="B182">
        <v>23</v>
      </c>
      <c r="C182" t="str">
        <f>IFERROR(_xlfn.XLOOKUP(B182, Customer!A:A, Customer!B:B), "Unknown Customer")</f>
        <v>Milad Rezaei</v>
      </c>
      <c r="D182" s="1">
        <v>45859</v>
      </c>
      <c r="E182" t="s">
        <v>23</v>
      </c>
      <c r="F182" t="s">
        <v>17</v>
      </c>
      <c r="G182">
        <v>3</v>
      </c>
      <c r="H182" t="s">
        <v>11</v>
      </c>
      <c r="I182" s="2">
        <v>85000</v>
      </c>
      <c r="J182" t="s">
        <v>21</v>
      </c>
      <c r="K182" s="3">
        <f t="shared" si="4"/>
        <v>255000</v>
      </c>
      <c r="L182" t="str">
        <f t="shared" si="5"/>
        <v>2025-07</v>
      </c>
    </row>
    <row r="183" spans="1:12" x14ac:dyDescent="0.25">
      <c r="A183">
        <v>1182</v>
      </c>
      <c r="B183">
        <v>60</v>
      </c>
      <c r="C183" t="str">
        <f>IFERROR(_xlfn.XLOOKUP(B183, Customer!A:A, Customer!B:B), "Unknown Customer")</f>
        <v>Sina Ghasemi</v>
      </c>
      <c r="D183" s="1">
        <v>45818</v>
      </c>
      <c r="E183" t="s">
        <v>27</v>
      </c>
      <c r="F183" t="s">
        <v>14</v>
      </c>
      <c r="G183">
        <v>4</v>
      </c>
      <c r="H183" t="s">
        <v>11</v>
      </c>
      <c r="I183" s="2">
        <v>35000</v>
      </c>
      <c r="J183" t="s">
        <v>21</v>
      </c>
      <c r="K183" s="3">
        <f t="shared" si="4"/>
        <v>140000</v>
      </c>
      <c r="L183" t="str">
        <f t="shared" si="5"/>
        <v>2025-06</v>
      </c>
    </row>
    <row r="184" spans="1:12" x14ac:dyDescent="0.25">
      <c r="A184">
        <v>1183</v>
      </c>
      <c r="B184">
        <v>20</v>
      </c>
      <c r="C184" t="str">
        <f>IFERROR(_xlfn.XLOOKUP(B184, Customer!A:A, Customer!B:B), "Unknown Customer")</f>
        <v>Setareh Abbasi</v>
      </c>
      <c r="D184" s="1">
        <v>45754</v>
      </c>
      <c r="E184" t="s">
        <v>9</v>
      </c>
      <c r="F184" t="s">
        <v>10</v>
      </c>
      <c r="G184">
        <v>1</v>
      </c>
      <c r="H184" t="s">
        <v>11</v>
      </c>
      <c r="I184" s="2">
        <v>62000</v>
      </c>
      <c r="J184" t="s">
        <v>24</v>
      </c>
      <c r="K184" s="3">
        <f t="shared" si="4"/>
        <v>62000</v>
      </c>
      <c r="L184" t="str">
        <f t="shared" si="5"/>
        <v>2025-04</v>
      </c>
    </row>
    <row r="185" spans="1:12" x14ac:dyDescent="0.25">
      <c r="A185">
        <v>1184</v>
      </c>
      <c r="B185">
        <v>27</v>
      </c>
      <c r="C185" t="str">
        <f>IFERROR(_xlfn.XLOOKUP(B185, Customer!A:A, Customer!B:B), "Unknown Customer")</f>
        <v>Sina Fallahi</v>
      </c>
      <c r="D185" s="1">
        <v>45709</v>
      </c>
      <c r="E185" t="s">
        <v>18</v>
      </c>
      <c r="F185" t="s">
        <v>14</v>
      </c>
      <c r="G185">
        <v>2</v>
      </c>
      <c r="H185" t="s">
        <v>11</v>
      </c>
      <c r="I185" s="2">
        <v>60000</v>
      </c>
      <c r="J185" t="s">
        <v>24</v>
      </c>
      <c r="K185" s="3">
        <f t="shared" si="4"/>
        <v>120000</v>
      </c>
      <c r="L185" t="str">
        <f t="shared" si="5"/>
        <v>2025-02</v>
      </c>
    </row>
    <row r="186" spans="1:12" x14ac:dyDescent="0.25">
      <c r="A186">
        <v>1185</v>
      </c>
      <c r="B186">
        <v>95</v>
      </c>
      <c r="C186" t="str">
        <f>IFERROR(_xlfn.XLOOKUP(B186, Customer!A:A, Customer!B:B), "Unknown Customer")</f>
        <v>Elham Norouzi</v>
      </c>
      <c r="D186" s="1">
        <v>45863</v>
      </c>
      <c r="E186" t="s">
        <v>29</v>
      </c>
      <c r="F186" t="s">
        <v>14</v>
      </c>
      <c r="G186">
        <v>2</v>
      </c>
      <c r="H186" t="s">
        <v>11</v>
      </c>
      <c r="I186" s="2">
        <v>45000</v>
      </c>
      <c r="J186" t="s">
        <v>28</v>
      </c>
      <c r="K186" s="3">
        <f t="shared" si="4"/>
        <v>90000</v>
      </c>
      <c r="L186" t="str">
        <f t="shared" si="5"/>
        <v>2025-07</v>
      </c>
    </row>
    <row r="187" spans="1:12" x14ac:dyDescent="0.25">
      <c r="A187">
        <v>1186</v>
      </c>
      <c r="B187">
        <v>38</v>
      </c>
      <c r="C187" t="str">
        <f>IFERROR(_xlfn.XLOOKUP(B187, Customer!A:A, Customer!B:B), "Unknown Customer")</f>
        <v>Setareh Naderi</v>
      </c>
      <c r="D187" s="1">
        <v>45952</v>
      </c>
      <c r="E187" t="s">
        <v>30</v>
      </c>
      <c r="F187" t="s">
        <v>14</v>
      </c>
      <c r="G187">
        <v>1</v>
      </c>
      <c r="H187" t="s">
        <v>11</v>
      </c>
      <c r="I187" s="2">
        <v>48000</v>
      </c>
      <c r="J187" t="s">
        <v>15</v>
      </c>
      <c r="K187" s="3">
        <f t="shared" si="4"/>
        <v>48000</v>
      </c>
      <c r="L187" t="str">
        <f t="shared" si="5"/>
        <v>2025-10</v>
      </c>
    </row>
    <row r="188" spans="1:12" x14ac:dyDescent="0.25">
      <c r="A188">
        <v>1187</v>
      </c>
      <c r="B188">
        <v>39</v>
      </c>
      <c r="C188" t="str">
        <f>IFERROR(_xlfn.XLOOKUP(B188, Customer!A:A, Customer!B:B), "Unknown Customer")</f>
        <v>Mona Ghasemi</v>
      </c>
      <c r="D188" s="1">
        <v>45689</v>
      </c>
      <c r="E188" t="s">
        <v>9</v>
      </c>
      <c r="F188" t="s">
        <v>10</v>
      </c>
      <c r="G188">
        <v>3</v>
      </c>
      <c r="H188" t="s">
        <v>11</v>
      </c>
      <c r="I188" s="2">
        <v>62000</v>
      </c>
      <c r="J188" t="s">
        <v>19</v>
      </c>
      <c r="K188" s="3">
        <f t="shared" si="4"/>
        <v>186000</v>
      </c>
      <c r="L188" t="str">
        <f t="shared" si="5"/>
        <v>2025-02</v>
      </c>
    </row>
    <row r="189" spans="1:12" x14ac:dyDescent="0.25">
      <c r="A189">
        <v>1188</v>
      </c>
      <c r="B189">
        <v>78</v>
      </c>
      <c r="C189" t="str">
        <f>IFERROR(_xlfn.XLOOKUP(B189, Customer!A:A, Customer!B:B), "Unknown Customer")</f>
        <v>Elham Karimi</v>
      </c>
      <c r="D189" s="1">
        <v>45987</v>
      </c>
      <c r="E189" t="s">
        <v>25</v>
      </c>
      <c r="F189" t="s">
        <v>10</v>
      </c>
      <c r="G189">
        <v>4</v>
      </c>
      <c r="H189" t="s">
        <v>11</v>
      </c>
      <c r="I189" s="2">
        <v>70000</v>
      </c>
      <c r="J189" t="s">
        <v>32</v>
      </c>
      <c r="K189" s="3">
        <f t="shared" si="4"/>
        <v>280000</v>
      </c>
      <c r="L189" t="str">
        <f t="shared" si="5"/>
        <v>2025-11</v>
      </c>
    </row>
    <row r="190" spans="1:12" x14ac:dyDescent="0.25">
      <c r="A190">
        <v>1189</v>
      </c>
      <c r="B190">
        <v>20</v>
      </c>
      <c r="C190" t="str">
        <f>IFERROR(_xlfn.XLOOKUP(B190, Customer!A:A, Customer!B:B), "Unknown Customer")</f>
        <v>Setareh Abbasi</v>
      </c>
      <c r="D190" s="1">
        <v>45998</v>
      </c>
      <c r="E190" t="s">
        <v>9</v>
      </c>
      <c r="F190" t="s">
        <v>10</v>
      </c>
      <c r="G190">
        <v>1</v>
      </c>
      <c r="H190" t="s">
        <v>11</v>
      </c>
      <c r="I190" s="2">
        <v>62000</v>
      </c>
      <c r="J190" t="s">
        <v>32</v>
      </c>
      <c r="K190" s="3">
        <f t="shared" si="4"/>
        <v>62000</v>
      </c>
      <c r="L190" t="str">
        <f t="shared" si="5"/>
        <v>2025-12</v>
      </c>
    </row>
    <row r="191" spans="1:12" x14ac:dyDescent="0.25">
      <c r="A191">
        <v>1190</v>
      </c>
      <c r="B191">
        <v>118</v>
      </c>
      <c r="C191" t="str">
        <f>IFERROR(_xlfn.XLOOKUP(B191, Customer!A:A, Customer!B:B), "Unknown Customer")</f>
        <v>Hamed Rezaei</v>
      </c>
      <c r="D191" s="1">
        <v>45945</v>
      </c>
      <c r="E191" t="s">
        <v>29</v>
      </c>
      <c r="F191" t="s">
        <v>14</v>
      </c>
      <c r="G191">
        <v>2</v>
      </c>
      <c r="H191" t="s">
        <v>11</v>
      </c>
      <c r="I191" s="2">
        <v>50000</v>
      </c>
      <c r="J191" t="s">
        <v>24</v>
      </c>
      <c r="K191" s="3">
        <f t="shared" si="4"/>
        <v>100000</v>
      </c>
      <c r="L191" t="str">
        <f t="shared" si="5"/>
        <v>2025-10</v>
      </c>
    </row>
    <row r="192" spans="1:12" x14ac:dyDescent="0.25">
      <c r="A192">
        <v>1191</v>
      </c>
      <c r="B192">
        <v>33</v>
      </c>
      <c r="C192" t="str">
        <f>IFERROR(_xlfn.XLOOKUP(B192, Customer!A:A, Customer!B:B), "Unknown Customer")</f>
        <v>Niloofar Zare</v>
      </c>
      <c r="D192" s="1">
        <v>45827</v>
      </c>
      <c r="E192" t="s">
        <v>30</v>
      </c>
      <c r="F192" t="s">
        <v>14</v>
      </c>
      <c r="G192">
        <v>2</v>
      </c>
      <c r="H192" t="s">
        <v>11</v>
      </c>
      <c r="I192" s="2">
        <v>48000</v>
      </c>
      <c r="J192" t="s">
        <v>19</v>
      </c>
      <c r="K192" s="3">
        <f t="shared" si="4"/>
        <v>96000</v>
      </c>
      <c r="L192" t="str">
        <f t="shared" si="5"/>
        <v>2025-06</v>
      </c>
    </row>
    <row r="193" spans="1:12" x14ac:dyDescent="0.25">
      <c r="A193">
        <v>1192</v>
      </c>
      <c r="B193">
        <v>35</v>
      </c>
      <c r="C193" t="str">
        <f>IFERROR(_xlfn.XLOOKUP(B193, Customer!A:A, Customer!B:B), "Unknown Customer")</f>
        <v>Babak Hosseini</v>
      </c>
      <c r="D193" s="1">
        <v>46002</v>
      </c>
      <c r="E193" t="s">
        <v>31</v>
      </c>
      <c r="F193" t="s">
        <v>17</v>
      </c>
      <c r="G193">
        <v>4</v>
      </c>
      <c r="H193" t="s">
        <v>11</v>
      </c>
      <c r="I193" s="2">
        <v>35000</v>
      </c>
      <c r="J193" t="s">
        <v>15</v>
      </c>
      <c r="K193" s="3">
        <f t="shared" si="4"/>
        <v>140000</v>
      </c>
      <c r="L193" t="str">
        <f t="shared" si="5"/>
        <v>2025-12</v>
      </c>
    </row>
    <row r="194" spans="1:12" x14ac:dyDescent="0.25">
      <c r="A194">
        <v>1193</v>
      </c>
      <c r="B194">
        <v>27</v>
      </c>
      <c r="C194" t="str">
        <f>IFERROR(_xlfn.XLOOKUP(B194, Customer!A:A, Customer!B:B), "Unknown Customer")</f>
        <v>Sina Fallahi</v>
      </c>
      <c r="D194" s="1">
        <v>45813</v>
      </c>
      <c r="E194" t="s">
        <v>25</v>
      </c>
      <c r="F194" t="s">
        <v>10</v>
      </c>
      <c r="G194">
        <v>1</v>
      </c>
      <c r="H194" t="s">
        <v>11</v>
      </c>
      <c r="I194" s="2">
        <v>60000</v>
      </c>
      <c r="J194" t="s">
        <v>24</v>
      </c>
      <c r="K194" s="3">
        <f t="shared" si="4"/>
        <v>60000</v>
      </c>
      <c r="L194" t="str">
        <f t="shared" si="5"/>
        <v>2025-06</v>
      </c>
    </row>
    <row r="195" spans="1:12" x14ac:dyDescent="0.25">
      <c r="A195">
        <v>1194</v>
      </c>
      <c r="B195">
        <v>90</v>
      </c>
      <c r="C195" t="str">
        <f>IFERROR(_xlfn.XLOOKUP(B195, Customer!A:A, Customer!B:B), "Unknown Customer")</f>
        <v>Yasaman Karimi</v>
      </c>
      <c r="D195" s="1">
        <v>46018</v>
      </c>
      <c r="E195" t="s">
        <v>20</v>
      </c>
      <c r="F195" t="s">
        <v>17</v>
      </c>
      <c r="G195">
        <v>1</v>
      </c>
      <c r="H195" t="s">
        <v>11</v>
      </c>
      <c r="I195" s="2">
        <v>55000</v>
      </c>
      <c r="J195" t="s">
        <v>15</v>
      </c>
      <c r="K195" s="3">
        <f t="shared" ref="K195:K258" si="6">G195*I195</f>
        <v>55000</v>
      </c>
      <c r="L195" t="str">
        <f t="shared" ref="L195:L258" si="7">TEXT(D195,"YYYY-MM")</f>
        <v>2025-12</v>
      </c>
    </row>
    <row r="196" spans="1:12" x14ac:dyDescent="0.25">
      <c r="A196">
        <v>1195</v>
      </c>
      <c r="B196">
        <v>60</v>
      </c>
      <c r="C196" t="str">
        <f>IFERROR(_xlfn.XLOOKUP(B196, Customer!A:A, Customer!B:B), "Unknown Customer")</f>
        <v>Sina Ghasemi</v>
      </c>
      <c r="D196" s="1">
        <v>45990</v>
      </c>
      <c r="E196" t="s">
        <v>23</v>
      </c>
      <c r="F196" t="s">
        <v>17</v>
      </c>
      <c r="G196">
        <v>1</v>
      </c>
      <c r="H196" t="s">
        <v>11</v>
      </c>
      <c r="I196" s="2">
        <v>84857.142857142855</v>
      </c>
      <c r="J196" t="s">
        <v>15</v>
      </c>
      <c r="K196" s="3">
        <f t="shared" si="6"/>
        <v>84857.142857142855</v>
      </c>
      <c r="L196" t="str">
        <f t="shared" si="7"/>
        <v>2025-11</v>
      </c>
    </row>
    <row r="197" spans="1:12" x14ac:dyDescent="0.25">
      <c r="A197">
        <v>1196</v>
      </c>
      <c r="B197">
        <v>13</v>
      </c>
      <c r="C197" t="str">
        <f>IFERROR(_xlfn.XLOOKUP(B197, Customer!A:A, Customer!B:B), "Unknown Customer")</f>
        <v>Milad Naderi</v>
      </c>
      <c r="D197" s="1">
        <v>45898</v>
      </c>
      <c r="E197" t="s">
        <v>22</v>
      </c>
      <c r="F197" t="s">
        <v>14</v>
      </c>
      <c r="G197">
        <v>1</v>
      </c>
      <c r="H197" t="s">
        <v>11</v>
      </c>
      <c r="I197" s="2">
        <v>60000</v>
      </c>
      <c r="J197" t="s">
        <v>28</v>
      </c>
      <c r="K197" s="3">
        <f t="shared" si="6"/>
        <v>60000</v>
      </c>
      <c r="L197" t="str">
        <f t="shared" si="7"/>
        <v>2025-08</v>
      </c>
    </row>
    <row r="198" spans="1:12" x14ac:dyDescent="0.25">
      <c r="A198">
        <v>1197</v>
      </c>
      <c r="B198">
        <v>111</v>
      </c>
      <c r="C198" t="str">
        <f>IFERROR(_xlfn.XLOOKUP(B198, Customer!A:A, Customer!B:B), "Unknown Customer")</f>
        <v>Sepideh Yousefi</v>
      </c>
      <c r="D198" s="1">
        <v>45732</v>
      </c>
      <c r="E198" t="s">
        <v>30</v>
      </c>
      <c r="F198" t="s">
        <v>14</v>
      </c>
      <c r="G198">
        <v>2</v>
      </c>
      <c r="H198" t="s">
        <v>11</v>
      </c>
      <c r="I198" s="2">
        <v>53000</v>
      </c>
      <c r="J198" t="s">
        <v>21</v>
      </c>
      <c r="K198" s="3">
        <f t="shared" si="6"/>
        <v>106000</v>
      </c>
      <c r="L198" t="str">
        <f t="shared" si="7"/>
        <v>2025-03</v>
      </c>
    </row>
    <row r="199" spans="1:12" x14ac:dyDescent="0.25">
      <c r="A199">
        <v>1198</v>
      </c>
      <c r="B199">
        <v>20</v>
      </c>
      <c r="C199" t="str">
        <f>IFERROR(_xlfn.XLOOKUP(B199, Customer!A:A, Customer!B:B), "Unknown Customer")</f>
        <v>Setareh Abbasi</v>
      </c>
      <c r="D199" s="1">
        <v>45826</v>
      </c>
      <c r="E199" t="s">
        <v>30</v>
      </c>
      <c r="F199" t="s">
        <v>14</v>
      </c>
      <c r="G199">
        <v>2</v>
      </c>
      <c r="H199" t="s">
        <v>11</v>
      </c>
      <c r="I199" s="2">
        <v>48000</v>
      </c>
      <c r="J199" t="s">
        <v>21</v>
      </c>
      <c r="K199" s="3">
        <f t="shared" si="6"/>
        <v>96000</v>
      </c>
      <c r="L199" t="str">
        <f t="shared" si="7"/>
        <v>2025-06</v>
      </c>
    </row>
    <row r="200" spans="1:12" x14ac:dyDescent="0.25">
      <c r="A200">
        <v>1199</v>
      </c>
      <c r="B200">
        <v>98</v>
      </c>
      <c r="C200" t="str">
        <f>IFERROR(_xlfn.XLOOKUP(B200, Customer!A:A, Customer!B:B), "Unknown Customer")</f>
        <v>Elham Mousavi</v>
      </c>
      <c r="D200" s="1">
        <v>45986</v>
      </c>
      <c r="E200" t="s">
        <v>16</v>
      </c>
      <c r="F200" t="s">
        <v>17</v>
      </c>
      <c r="G200">
        <v>2</v>
      </c>
      <c r="H200" t="s">
        <v>11</v>
      </c>
      <c r="I200" s="2">
        <v>75000</v>
      </c>
      <c r="J200" t="s">
        <v>24</v>
      </c>
      <c r="K200" s="3">
        <f t="shared" si="6"/>
        <v>150000</v>
      </c>
      <c r="L200" t="str">
        <f t="shared" si="7"/>
        <v>2025-11</v>
      </c>
    </row>
    <row r="201" spans="1:12" x14ac:dyDescent="0.25">
      <c r="A201">
        <v>1200</v>
      </c>
      <c r="B201">
        <v>18</v>
      </c>
      <c r="C201" t="str">
        <f>IFERROR(_xlfn.XLOOKUP(B201, Customer!A:A, Customer!B:B), "Unknown Customer")</f>
        <v>Niloofar Abbasi</v>
      </c>
      <c r="D201" s="1">
        <v>45937</v>
      </c>
      <c r="E201" t="s">
        <v>22</v>
      </c>
      <c r="F201" t="s">
        <v>14</v>
      </c>
      <c r="G201">
        <v>2</v>
      </c>
      <c r="H201" t="s">
        <v>11</v>
      </c>
      <c r="I201" s="2">
        <v>55000</v>
      </c>
      <c r="J201" t="s">
        <v>19</v>
      </c>
      <c r="K201" s="3">
        <f t="shared" si="6"/>
        <v>110000</v>
      </c>
      <c r="L201" t="str">
        <f t="shared" si="7"/>
        <v>2025-10</v>
      </c>
    </row>
    <row r="202" spans="1:12" x14ac:dyDescent="0.25">
      <c r="A202">
        <v>1201</v>
      </c>
      <c r="B202">
        <v>96</v>
      </c>
      <c r="C202" t="str">
        <f>IFERROR(_xlfn.XLOOKUP(B202, Customer!A:A, Customer!B:B), "Unknown Customer")</f>
        <v>Milad Norouzi</v>
      </c>
      <c r="D202" s="1">
        <v>45682</v>
      </c>
      <c r="E202" t="s">
        <v>27</v>
      </c>
      <c r="F202" t="s">
        <v>14</v>
      </c>
      <c r="G202">
        <v>1</v>
      </c>
      <c r="H202" t="s">
        <v>11</v>
      </c>
      <c r="I202" s="2">
        <v>35000</v>
      </c>
      <c r="J202" t="s">
        <v>19</v>
      </c>
      <c r="K202" s="3">
        <f t="shared" si="6"/>
        <v>35000</v>
      </c>
      <c r="L202" t="str">
        <f t="shared" si="7"/>
        <v>2025-01</v>
      </c>
    </row>
    <row r="203" spans="1:12" x14ac:dyDescent="0.25">
      <c r="A203">
        <v>1202</v>
      </c>
      <c r="B203">
        <v>28</v>
      </c>
      <c r="C203" t="str">
        <f>IFERROR(_xlfn.XLOOKUP(B203, Customer!A:A, Customer!B:B), "Unknown Customer")</f>
        <v>Yasaman Naderi</v>
      </c>
      <c r="D203" s="1">
        <v>45891</v>
      </c>
      <c r="E203" t="s">
        <v>23</v>
      </c>
      <c r="F203" t="s">
        <v>17</v>
      </c>
      <c r="G203">
        <v>2</v>
      </c>
      <c r="H203" t="s">
        <v>11</v>
      </c>
      <c r="I203" s="2">
        <v>90000</v>
      </c>
      <c r="J203" t="s">
        <v>19</v>
      </c>
      <c r="K203" s="3">
        <f t="shared" si="6"/>
        <v>180000</v>
      </c>
      <c r="L203" t="str">
        <f t="shared" si="7"/>
        <v>2025-08</v>
      </c>
    </row>
    <row r="204" spans="1:12" x14ac:dyDescent="0.25">
      <c r="A204">
        <v>1203</v>
      </c>
      <c r="B204">
        <v>1</v>
      </c>
      <c r="C204" t="str">
        <f>IFERROR(_xlfn.XLOOKUP(B204, Customer!A:A, Customer!B:B), "Unknown Customer")</f>
        <v>Leila Rezaei</v>
      </c>
      <c r="D204" s="1">
        <v>45940</v>
      </c>
      <c r="E204" t="s">
        <v>23</v>
      </c>
      <c r="F204" t="s">
        <v>17</v>
      </c>
      <c r="G204">
        <v>1</v>
      </c>
      <c r="H204" t="s">
        <v>11</v>
      </c>
      <c r="I204" s="2">
        <v>90000</v>
      </c>
      <c r="J204" t="s">
        <v>28</v>
      </c>
      <c r="K204" s="3">
        <f t="shared" si="6"/>
        <v>90000</v>
      </c>
      <c r="L204" t="str">
        <f t="shared" si="7"/>
        <v>2025-10</v>
      </c>
    </row>
    <row r="205" spans="1:12" x14ac:dyDescent="0.25">
      <c r="A205">
        <v>1204</v>
      </c>
      <c r="B205">
        <v>37</v>
      </c>
      <c r="C205" t="str">
        <f>IFERROR(_xlfn.XLOOKUP(B205, Customer!A:A, Customer!B:B), "Unknown Customer")</f>
        <v>Omid Sadeghi</v>
      </c>
      <c r="D205" s="1">
        <v>45915</v>
      </c>
      <c r="E205" t="s">
        <v>29</v>
      </c>
      <c r="F205" t="s">
        <v>14</v>
      </c>
      <c r="G205">
        <v>4</v>
      </c>
      <c r="H205" t="s">
        <v>11</v>
      </c>
      <c r="I205" s="2">
        <v>45000</v>
      </c>
      <c r="J205" t="s">
        <v>28</v>
      </c>
      <c r="K205" s="3">
        <f t="shared" si="6"/>
        <v>180000</v>
      </c>
      <c r="L205" t="str">
        <f t="shared" si="7"/>
        <v>2025-09</v>
      </c>
    </row>
    <row r="206" spans="1:12" x14ac:dyDescent="0.25">
      <c r="A206">
        <v>1205</v>
      </c>
      <c r="B206">
        <v>20</v>
      </c>
      <c r="C206" t="str">
        <f>IFERROR(_xlfn.XLOOKUP(B206, Customer!A:A, Customer!B:B), "Unknown Customer")</f>
        <v>Setareh Abbasi</v>
      </c>
      <c r="D206" s="1">
        <v>45904</v>
      </c>
      <c r="E206" t="s">
        <v>30</v>
      </c>
      <c r="F206" t="s">
        <v>14</v>
      </c>
      <c r="G206">
        <v>4</v>
      </c>
      <c r="H206" t="s">
        <v>11</v>
      </c>
      <c r="I206" s="2">
        <v>48000</v>
      </c>
      <c r="J206" t="s">
        <v>19</v>
      </c>
      <c r="K206" s="3">
        <f t="shared" si="6"/>
        <v>192000</v>
      </c>
      <c r="L206" t="str">
        <f t="shared" si="7"/>
        <v>2025-09</v>
      </c>
    </row>
    <row r="207" spans="1:12" x14ac:dyDescent="0.25">
      <c r="A207">
        <v>1206</v>
      </c>
      <c r="B207">
        <v>48</v>
      </c>
      <c r="C207" t="str">
        <f>IFERROR(_xlfn.XLOOKUP(B207, Customer!A:A, Customer!B:B), "Unknown Customer")</f>
        <v>Hamed Jafari</v>
      </c>
      <c r="D207" s="1">
        <v>45893</v>
      </c>
      <c r="E207" t="s">
        <v>31</v>
      </c>
      <c r="F207" t="s">
        <v>17</v>
      </c>
      <c r="G207">
        <v>3</v>
      </c>
      <c r="H207" t="s">
        <v>11</v>
      </c>
      <c r="I207" s="2">
        <v>40000</v>
      </c>
      <c r="J207" t="s">
        <v>12</v>
      </c>
      <c r="K207" s="3">
        <f t="shared" si="6"/>
        <v>120000</v>
      </c>
      <c r="L207" t="str">
        <f t="shared" si="7"/>
        <v>2025-08</v>
      </c>
    </row>
    <row r="208" spans="1:12" x14ac:dyDescent="0.25">
      <c r="A208">
        <v>1207</v>
      </c>
      <c r="B208">
        <v>110</v>
      </c>
      <c r="C208" t="str">
        <f>IFERROR(_xlfn.XLOOKUP(B208, Customer!A:A, Customer!B:B), "Unknown Customer")</f>
        <v>Parisa Mousavi</v>
      </c>
      <c r="D208" s="1">
        <v>45674</v>
      </c>
      <c r="E208" t="s">
        <v>27</v>
      </c>
      <c r="F208" t="s">
        <v>14</v>
      </c>
      <c r="G208">
        <v>2</v>
      </c>
      <c r="H208" t="s">
        <v>11</v>
      </c>
      <c r="I208" s="2">
        <v>35000</v>
      </c>
      <c r="J208" t="s">
        <v>19</v>
      </c>
      <c r="K208" s="3">
        <f t="shared" si="6"/>
        <v>70000</v>
      </c>
      <c r="L208" t="str">
        <f t="shared" si="7"/>
        <v>2025-01</v>
      </c>
    </row>
    <row r="209" spans="1:12" x14ac:dyDescent="0.25">
      <c r="A209">
        <v>1208</v>
      </c>
      <c r="B209">
        <v>82</v>
      </c>
      <c r="C209" t="str">
        <f>IFERROR(_xlfn.XLOOKUP(B209, Customer!A:A, Customer!B:B), "Unknown Customer")</f>
        <v>Azadeh Rezaei</v>
      </c>
      <c r="D209" s="1">
        <v>46017</v>
      </c>
      <c r="E209" t="s">
        <v>29</v>
      </c>
      <c r="F209" t="s">
        <v>14</v>
      </c>
      <c r="G209">
        <v>2</v>
      </c>
      <c r="H209" t="s">
        <v>11</v>
      </c>
      <c r="I209" s="2">
        <v>45000</v>
      </c>
      <c r="J209" t="s">
        <v>28</v>
      </c>
      <c r="K209" s="3">
        <f t="shared" si="6"/>
        <v>90000</v>
      </c>
      <c r="L209" t="str">
        <f t="shared" si="7"/>
        <v>2025-12</v>
      </c>
    </row>
    <row r="210" spans="1:12" x14ac:dyDescent="0.25">
      <c r="A210">
        <v>1209</v>
      </c>
      <c r="B210">
        <v>110</v>
      </c>
      <c r="C210" t="str">
        <f>IFERROR(_xlfn.XLOOKUP(B210, Customer!A:A, Customer!B:B), "Unknown Customer")</f>
        <v>Parisa Mousavi</v>
      </c>
      <c r="D210" s="1">
        <v>45928</v>
      </c>
      <c r="E210" t="s">
        <v>18</v>
      </c>
      <c r="F210" t="s">
        <v>14</v>
      </c>
      <c r="G210">
        <v>1</v>
      </c>
      <c r="H210" t="s">
        <v>11</v>
      </c>
      <c r="I210" s="2">
        <v>60000</v>
      </c>
      <c r="J210" t="s">
        <v>19</v>
      </c>
      <c r="K210" s="3">
        <f t="shared" si="6"/>
        <v>60000</v>
      </c>
      <c r="L210" t="str">
        <f t="shared" si="7"/>
        <v>2025-09</v>
      </c>
    </row>
    <row r="211" spans="1:12" x14ac:dyDescent="0.25">
      <c r="A211">
        <v>1210</v>
      </c>
      <c r="B211">
        <v>119</v>
      </c>
      <c r="C211" t="str">
        <f>IFERROR(_xlfn.XLOOKUP(B211, Customer!A:A, Customer!B:B), "Unknown Customer")</f>
        <v>Sepideh Sadeghi</v>
      </c>
      <c r="D211" s="1">
        <v>46008</v>
      </c>
      <c r="E211" t="s">
        <v>18</v>
      </c>
      <c r="F211" t="s">
        <v>14</v>
      </c>
      <c r="G211">
        <v>1</v>
      </c>
      <c r="H211" t="s">
        <v>11</v>
      </c>
      <c r="I211" s="2">
        <v>55000</v>
      </c>
      <c r="J211" t="s">
        <v>28</v>
      </c>
      <c r="K211" s="3">
        <f t="shared" si="6"/>
        <v>55000</v>
      </c>
      <c r="L211" t="str">
        <f t="shared" si="7"/>
        <v>2025-12</v>
      </c>
    </row>
    <row r="212" spans="1:12" x14ac:dyDescent="0.25">
      <c r="A212">
        <v>1211</v>
      </c>
      <c r="B212">
        <v>19</v>
      </c>
      <c r="C212" t="str">
        <f>IFERROR(_xlfn.XLOOKUP(B212, Customer!A:A, Customer!B:B), "Unknown Customer")</f>
        <v>Leila Sadeghi</v>
      </c>
      <c r="D212" s="1">
        <v>45861</v>
      </c>
      <c r="E212" t="s">
        <v>22</v>
      </c>
      <c r="F212" t="s">
        <v>14</v>
      </c>
      <c r="G212">
        <v>1</v>
      </c>
      <c r="H212" t="s">
        <v>11</v>
      </c>
      <c r="I212" s="2">
        <v>65000</v>
      </c>
      <c r="J212" t="s">
        <v>12</v>
      </c>
      <c r="K212" s="3">
        <f t="shared" si="6"/>
        <v>65000</v>
      </c>
      <c r="L212" t="str">
        <f t="shared" si="7"/>
        <v>2025-07</v>
      </c>
    </row>
    <row r="213" spans="1:12" x14ac:dyDescent="0.25">
      <c r="A213">
        <v>1212</v>
      </c>
      <c r="B213">
        <v>115</v>
      </c>
      <c r="C213" t="str">
        <f>IFERROR(_xlfn.XLOOKUP(B213, Customer!A:A, Customer!B:B), "Unknown Customer")</f>
        <v>Setareh Ahmadi</v>
      </c>
      <c r="D213" s="1">
        <v>45827</v>
      </c>
      <c r="E213" t="s">
        <v>23</v>
      </c>
      <c r="F213" t="s">
        <v>17</v>
      </c>
      <c r="G213">
        <v>4</v>
      </c>
      <c r="H213" t="s">
        <v>11</v>
      </c>
      <c r="I213" s="2">
        <v>80000</v>
      </c>
      <c r="J213" t="s">
        <v>19</v>
      </c>
      <c r="K213" s="3">
        <f t="shared" si="6"/>
        <v>320000</v>
      </c>
      <c r="L213" t="str">
        <f t="shared" si="7"/>
        <v>2025-06</v>
      </c>
    </row>
    <row r="214" spans="1:12" x14ac:dyDescent="0.25">
      <c r="A214">
        <v>1213</v>
      </c>
      <c r="B214">
        <v>13</v>
      </c>
      <c r="C214" t="str">
        <f>IFERROR(_xlfn.XLOOKUP(B214, Customer!A:A, Customer!B:B), "Unknown Customer")</f>
        <v>Milad Naderi</v>
      </c>
      <c r="D214" s="1">
        <v>45776</v>
      </c>
      <c r="E214" t="s">
        <v>31</v>
      </c>
      <c r="F214" t="s">
        <v>17</v>
      </c>
      <c r="G214">
        <v>2</v>
      </c>
      <c r="H214" t="s">
        <v>11</v>
      </c>
      <c r="I214" s="2">
        <v>45000</v>
      </c>
      <c r="J214" t="s">
        <v>21</v>
      </c>
      <c r="K214" s="3">
        <f t="shared" si="6"/>
        <v>90000</v>
      </c>
      <c r="L214" t="str">
        <f t="shared" si="7"/>
        <v>2025-04</v>
      </c>
    </row>
    <row r="215" spans="1:12" x14ac:dyDescent="0.25">
      <c r="A215">
        <v>1214</v>
      </c>
      <c r="B215">
        <v>4</v>
      </c>
      <c r="C215" t="str">
        <f>IFERROR(_xlfn.XLOOKUP(B215, Customer!A:A, Customer!B:B), "Unknown Customer")</f>
        <v>Kaveh Salehi</v>
      </c>
      <c r="D215" s="1">
        <v>45797</v>
      </c>
      <c r="E215" t="s">
        <v>27</v>
      </c>
      <c r="F215" t="s">
        <v>14</v>
      </c>
      <c r="G215">
        <v>1</v>
      </c>
      <c r="H215" t="s">
        <v>11</v>
      </c>
      <c r="I215" s="2">
        <v>35000</v>
      </c>
      <c r="J215" t="s">
        <v>15</v>
      </c>
      <c r="K215" s="3">
        <f t="shared" si="6"/>
        <v>35000</v>
      </c>
      <c r="L215" t="str">
        <f t="shared" si="7"/>
        <v>2025-05</v>
      </c>
    </row>
    <row r="216" spans="1:12" x14ac:dyDescent="0.25">
      <c r="A216">
        <v>1215</v>
      </c>
      <c r="B216">
        <v>24</v>
      </c>
      <c r="C216" t="str">
        <f>IFERROR(_xlfn.XLOOKUP(B216, Customer!A:A, Customer!B:B), "Unknown Customer")</f>
        <v>Farhad Sadeghi</v>
      </c>
      <c r="D216" s="1">
        <v>45957</v>
      </c>
      <c r="E216" t="s">
        <v>27</v>
      </c>
      <c r="F216" t="s">
        <v>14</v>
      </c>
      <c r="G216">
        <v>1</v>
      </c>
      <c r="H216" t="s">
        <v>11</v>
      </c>
      <c r="I216" s="2">
        <v>35000</v>
      </c>
      <c r="J216" t="s">
        <v>12</v>
      </c>
      <c r="K216" s="3">
        <f t="shared" si="6"/>
        <v>35000</v>
      </c>
      <c r="L216" t="str">
        <f t="shared" si="7"/>
        <v>2025-10</v>
      </c>
    </row>
    <row r="217" spans="1:12" x14ac:dyDescent="0.25">
      <c r="A217">
        <v>1216</v>
      </c>
      <c r="B217">
        <v>10</v>
      </c>
      <c r="C217" t="str">
        <f>IFERROR(_xlfn.XLOOKUP(B217, Customer!A:A, Customer!B:B), "Unknown Customer")</f>
        <v>Sepideh Rostami</v>
      </c>
      <c r="D217" s="1">
        <v>45795</v>
      </c>
      <c r="E217" t="s">
        <v>18</v>
      </c>
      <c r="F217" t="s">
        <v>14</v>
      </c>
      <c r="G217">
        <v>3</v>
      </c>
      <c r="H217" t="s">
        <v>11</v>
      </c>
      <c r="I217" s="2">
        <v>55000</v>
      </c>
      <c r="J217" t="s">
        <v>21</v>
      </c>
      <c r="K217" s="3">
        <f t="shared" si="6"/>
        <v>165000</v>
      </c>
      <c r="L217" t="str">
        <f t="shared" si="7"/>
        <v>2025-05</v>
      </c>
    </row>
    <row r="218" spans="1:12" x14ac:dyDescent="0.25">
      <c r="A218">
        <v>1217</v>
      </c>
      <c r="B218">
        <v>47</v>
      </c>
      <c r="C218" t="str">
        <f>IFERROR(_xlfn.XLOOKUP(B218, Customer!A:A, Customer!B:B), "Unknown Customer")</f>
        <v>Mahsa Abbasi</v>
      </c>
      <c r="D218" s="1">
        <v>45704</v>
      </c>
      <c r="E218" t="s">
        <v>18</v>
      </c>
      <c r="F218" t="s">
        <v>14</v>
      </c>
      <c r="G218">
        <v>2</v>
      </c>
      <c r="H218" t="s">
        <v>11</v>
      </c>
      <c r="I218" s="2">
        <v>55000</v>
      </c>
      <c r="J218" t="s">
        <v>24</v>
      </c>
      <c r="K218" s="3">
        <f t="shared" si="6"/>
        <v>110000</v>
      </c>
      <c r="L218" t="str">
        <f t="shared" si="7"/>
        <v>2025-02</v>
      </c>
    </row>
    <row r="219" spans="1:12" x14ac:dyDescent="0.25">
      <c r="A219">
        <v>1218</v>
      </c>
      <c r="B219">
        <v>12</v>
      </c>
      <c r="C219" t="str">
        <f>IFERROR(_xlfn.XLOOKUP(B219, Customer!A:A, Customer!B:B), "Unknown Customer")</f>
        <v>Golnaz Karimi</v>
      </c>
      <c r="D219" s="1">
        <v>45908</v>
      </c>
      <c r="E219" t="s">
        <v>13</v>
      </c>
      <c r="F219" t="s">
        <v>14</v>
      </c>
      <c r="G219">
        <v>1</v>
      </c>
      <c r="H219" t="s">
        <v>11</v>
      </c>
      <c r="I219" s="2">
        <v>53000</v>
      </c>
      <c r="J219" t="s">
        <v>32</v>
      </c>
      <c r="K219" s="3">
        <f t="shared" si="6"/>
        <v>53000</v>
      </c>
      <c r="L219" t="str">
        <f t="shared" si="7"/>
        <v>2025-09</v>
      </c>
    </row>
    <row r="220" spans="1:12" x14ac:dyDescent="0.25">
      <c r="A220">
        <v>1219</v>
      </c>
      <c r="B220">
        <v>12</v>
      </c>
      <c r="C220" t="str">
        <f>IFERROR(_xlfn.XLOOKUP(B220, Customer!A:A, Customer!B:B), "Unknown Customer")</f>
        <v>Golnaz Karimi</v>
      </c>
      <c r="D220" s="1">
        <v>45727</v>
      </c>
      <c r="E220" t="s">
        <v>20</v>
      </c>
      <c r="F220" t="s">
        <v>17</v>
      </c>
      <c r="G220">
        <v>1</v>
      </c>
      <c r="H220" t="s">
        <v>11</v>
      </c>
      <c r="I220" s="2">
        <v>50000</v>
      </c>
      <c r="J220" t="s">
        <v>19</v>
      </c>
      <c r="K220" s="3">
        <f t="shared" si="6"/>
        <v>50000</v>
      </c>
      <c r="L220" t="str">
        <f t="shared" si="7"/>
        <v>2025-03</v>
      </c>
    </row>
    <row r="221" spans="1:12" x14ac:dyDescent="0.25">
      <c r="A221">
        <v>1220</v>
      </c>
      <c r="B221">
        <v>93</v>
      </c>
      <c r="C221" t="str">
        <f>IFERROR(_xlfn.XLOOKUP(B221, Customer!A:A, Customer!B:B), "Unknown Customer")</f>
        <v>Sepideh Norouzi</v>
      </c>
      <c r="D221" s="1">
        <v>45782</v>
      </c>
      <c r="E221" t="s">
        <v>23</v>
      </c>
      <c r="F221" t="s">
        <v>17</v>
      </c>
      <c r="G221">
        <v>3</v>
      </c>
      <c r="H221" t="s">
        <v>11</v>
      </c>
      <c r="I221" s="2">
        <v>85000</v>
      </c>
      <c r="J221" t="s">
        <v>21</v>
      </c>
      <c r="K221" s="3">
        <f t="shared" si="6"/>
        <v>255000</v>
      </c>
      <c r="L221" t="str">
        <f t="shared" si="7"/>
        <v>2025-05</v>
      </c>
    </row>
    <row r="222" spans="1:12" x14ac:dyDescent="0.25">
      <c r="A222">
        <v>1221</v>
      </c>
      <c r="B222">
        <v>39</v>
      </c>
      <c r="C222" t="str">
        <f>IFERROR(_xlfn.XLOOKUP(B222, Customer!A:A, Customer!B:B), "Unknown Customer")</f>
        <v>Mona Ghasemi</v>
      </c>
      <c r="D222" s="1">
        <v>45910</v>
      </c>
      <c r="E222" t="s">
        <v>9</v>
      </c>
      <c r="F222" t="s">
        <v>10</v>
      </c>
      <c r="G222">
        <v>1</v>
      </c>
      <c r="H222" t="s">
        <v>11</v>
      </c>
      <c r="I222" s="2">
        <v>62000</v>
      </c>
      <c r="J222" t="s">
        <v>32</v>
      </c>
      <c r="K222" s="3">
        <f t="shared" si="6"/>
        <v>62000</v>
      </c>
      <c r="L222" t="str">
        <f t="shared" si="7"/>
        <v>2025-09</v>
      </c>
    </row>
    <row r="223" spans="1:12" x14ac:dyDescent="0.25">
      <c r="A223">
        <v>1222</v>
      </c>
      <c r="B223">
        <v>62</v>
      </c>
      <c r="C223" t="str">
        <f>IFERROR(_xlfn.XLOOKUP(B223, Customer!A:A, Customer!B:B), "Unknown Customer")</f>
        <v>Amir Mousavi</v>
      </c>
      <c r="D223" s="1">
        <v>45842</v>
      </c>
      <c r="E223" t="s">
        <v>18</v>
      </c>
      <c r="F223" t="s">
        <v>14</v>
      </c>
      <c r="G223">
        <v>3</v>
      </c>
      <c r="H223" t="s">
        <v>11</v>
      </c>
      <c r="I223" s="2">
        <v>55000</v>
      </c>
      <c r="J223" t="s">
        <v>15</v>
      </c>
      <c r="K223" s="3">
        <f t="shared" si="6"/>
        <v>165000</v>
      </c>
      <c r="L223" t="str">
        <f t="shared" si="7"/>
        <v>2025-07</v>
      </c>
    </row>
    <row r="224" spans="1:12" x14ac:dyDescent="0.25">
      <c r="A224">
        <v>1223</v>
      </c>
      <c r="B224">
        <v>14</v>
      </c>
      <c r="C224" t="str">
        <f>IFERROR(_xlfn.XLOOKUP(B224, Customer!A:A, Customer!B:B), "Unknown Customer")</f>
        <v>Ali Ghasemi</v>
      </c>
      <c r="D224" s="1">
        <v>45783</v>
      </c>
      <c r="E224" t="s">
        <v>13</v>
      </c>
      <c r="F224" t="s">
        <v>14</v>
      </c>
      <c r="G224">
        <v>1</v>
      </c>
      <c r="H224" t="s">
        <v>11</v>
      </c>
      <c r="I224" s="2">
        <v>63000</v>
      </c>
      <c r="J224" t="s">
        <v>15</v>
      </c>
      <c r="K224" s="3">
        <f t="shared" si="6"/>
        <v>63000</v>
      </c>
      <c r="L224" t="str">
        <f t="shared" si="7"/>
        <v>2025-05</v>
      </c>
    </row>
    <row r="225" spans="1:12" x14ac:dyDescent="0.25">
      <c r="A225">
        <v>1224</v>
      </c>
      <c r="B225">
        <v>43</v>
      </c>
      <c r="C225" t="str">
        <f>IFERROR(_xlfn.XLOOKUP(B225, Customer!A:A, Customer!B:B), "Unknown Customer")</f>
        <v>Ali Mousavi</v>
      </c>
      <c r="D225" s="1">
        <v>45991</v>
      </c>
      <c r="E225" t="s">
        <v>31</v>
      </c>
      <c r="F225" t="s">
        <v>17</v>
      </c>
      <c r="G225">
        <v>1</v>
      </c>
      <c r="H225" t="s">
        <v>11</v>
      </c>
      <c r="I225" s="2">
        <v>40428.571428571428</v>
      </c>
      <c r="J225" t="s">
        <v>15</v>
      </c>
      <c r="K225" s="3">
        <f t="shared" si="6"/>
        <v>40428.571428571428</v>
      </c>
      <c r="L225" t="str">
        <f t="shared" si="7"/>
        <v>2025-11</v>
      </c>
    </row>
    <row r="226" spans="1:12" x14ac:dyDescent="0.25">
      <c r="A226">
        <v>1225</v>
      </c>
      <c r="B226">
        <v>41</v>
      </c>
      <c r="C226" t="str">
        <f>IFERROR(_xlfn.XLOOKUP(B226, Customer!A:A, Customer!B:B), "Unknown Customer")</f>
        <v>Iman Yousefi</v>
      </c>
      <c r="D226" s="1">
        <v>45861</v>
      </c>
      <c r="E226" t="s">
        <v>13</v>
      </c>
      <c r="F226" t="s">
        <v>14</v>
      </c>
      <c r="G226">
        <v>3</v>
      </c>
      <c r="H226" t="s">
        <v>11</v>
      </c>
      <c r="I226" s="2">
        <v>58000</v>
      </c>
      <c r="J226" t="s">
        <v>21</v>
      </c>
      <c r="K226" s="3">
        <f t="shared" si="6"/>
        <v>174000</v>
      </c>
      <c r="L226" t="str">
        <f t="shared" si="7"/>
        <v>2025-07</v>
      </c>
    </row>
    <row r="227" spans="1:12" x14ac:dyDescent="0.25">
      <c r="A227">
        <v>1226</v>
      </c>
      <c r="B227">
        <v>49</v>
      </c>
      <c r="C227" t="str">
        <f>IFERROR(_xlfn.XLOOKUP(B227, Customer!A:A, Customer!B:B), "Unknown Customer")</f>
        <v>Elham Karimi</v>
      </c>
      <c r="D227" s="1">
        <v>45859</v>
      </c>
      <c r="E227" t="s">
        <v>9</v>
      </c>
      <c r="F227" t="s">
        <v>10</v>
      </c>
      <c r="G227">
        <v>2</v>
      </c>
      <c r="H227" t="s">
        <v>11</v>
      </c>
      <c r="I227" s="2">
        <v>62000</v>
      </c>
      <c r="J227" t="s">
        <v>12</v>
      </c>
      <c r="K227" s="3">
        <f t="shared" si="6"/>
        <v>124000</v>
      </c>
      <c r="L227" t="str">
        <f t="shared" si="7"/>
        <v>2025-07</v>
      </c>
    </row>
    <row r="228" spans="1:12" x14ac:dyDescent="0.25">
      <c r="A228">
        <v>1227</v>
      </c>
      <c r="B228">
        <v>99</v>
      </c>
      <c r="C228" t="str">
        <f>IFERROR(_xlfn.XLOOKUP(B228, Customer!A:A, Customer!B:B), "Unknown Customer")</f>
        <v>Behnam Ahmadi</v>
      </c>
      <c r="D228" s="1">
        <v>45671</v>
      </c>
      <c r="E228" t="s">
        <v>23</v>
      </c>
      <c r="F228" t="s">
        <v>17</v>
      </c>
      <c r="G228">
        <v>3</v>
      </c>
      <c r="H228" t="s">
        <v>11</v>
      </c>
      <c r="I228" s="2">
        <v>85000</v>
      </c>
      <c r="J228" t="s">
        <v>12</v>
      </c>
      <c r="K228" s="3">
        <f t="shared" si="6"/>
        <v>255000</v>
      </c>
      <c r="L228" t="str">
        <f t="shared" si="7"/>
        <v>2025-01</v>
      </c>
    </row>
    <row r="229" spans="1:12" x14ac:dyDescent="0.25">
      <c r="A229">
        <v>1228</v>
      </c>
      <c r="B229">
        <v>9</v>
      </c>
      <c r="C229" t="str">
        <f>IFERROR(_xlfn.XLOOKUP(B229, Customer!A:A, Customer!B:B), "Unknown Customer")</f>
        <v>Farhad Zare</v>
      </c>
      <c r="D229" s="1">
        <v>46002</v>
      </c>
      <c r="E229" t="s">
        <v>31</v>
      </c>
      <c r="F229" t="s">
        <v>17</v>
      </c>
      <c r="G229">
        <v>1</v>
      </c>
      <c r="H229" t="s">
        <v>11</v>
      </c>
      <c r="I229" s="2">
        <v>40000</v>
      </c>
      <c r="J229" t="s">
        <v>12</v>
      </c>
      <c r="K229" s="3">
        <f t="shared" si="6"/>
        <v>40000</v>
      </c>
      <c r="L229" t="str">
        <f t="shared" si="7"/>
        <v>2025-12</v>
      </c>
    </row>
    <row r="230" spans="1:12" x14ac:dyDescent="0.25">
      <c r="A230">
        <v>1229</v>
      </c>
      <c r="B230">
        <v>20</v>
      </c>
      <c r="C230" t="str">
        <f>IFERROR(_xlfn.XLOOKUP(B230, Customer!A:A, Customer!B:B), "Unknown Customer")</f>
        <v>Setareh Abbasi</v>
      </c>
      <c r="D230" s="1">
        <v>45874</v>
      </c>
      <c r="E230" t="s">
        <v>22</v>
      </c>
      <c r="F230" t="s">
        <v>14</v>
      </c>
      <c r="G230">
        <v>2</v>
      </c>
      <c r="H230" t="s">
        <v>11</v>
      </c>
      <c r="I230" s="2">
        <v>65000</v>
      </c>
      <c r="J230" t="s">
        <v>28</v>
      </c>
      <c r="K230" s="3">
        <f t="shared" si="6"/>
        <v>130000</v>
      </c>
      <c r="L230" t="str">
        <f t="shared" si="7"/>
        <v>2025-08</v>
      </c>
    </row>
    <row r="231" spans="1:12" x14ac:dyDescent="0.25">
      <c r="A231">
        <v>1230</v>
      </c>
      <c r="B231">
        <v>65</v>
      </c>
      <c r="C231" t="str">
        <f>IFERROR(_xlfn.XLOOKUP(B231, Customer!A:A, Customer!B:B), "Unknown Customer")</f>
        <v>Yasaman Norouzi</v>
      </c>
      <c r="D231" s="1">
        <v>45872</v>
      </c>
      <c r="E231" t="s">
        <v>22</v>
      </c>
      <c r="F231" t="s">
        <v>14</v>
      </c>
      <c r="G231">
        <v>4</v>
      </c>
      <c r="H231" t="s">
        <v>11</v>
      </c>
      <c r="I231" s="2">
        <v>59954.128440366971</v>
      </c>
      <c r="J231" t="s">
        <v>19</v>
      </c>
      <c r="K231" s="3">
        <f t="shared" si="6"/>
        <v>239816.51376146788</v>
      </c>
      <c r="L231" t="str">
        <f t="shared" si="7"/>
        <v>2025-08</v>
      </c>
    </row>
    <row r="232" spans="1:12" x14ac:dyDescent="0.25">
      <c r="A232">
        <v>1231</v>
      </c>
      <c r="B232">
        <v>99</v>
      </c>
      <c r="C232" t="str">
        <f>IFERROR(_xlfn.XLOOKUP(B232, Customer!A:A, Customer!B:B), "Unknown Customer")</f>
        <v>Behnam Ahmadi</v>
      </c>
      <c r="D232" s="1">
        <v>45728</v>
      </c>
      <c r="E232" t="s">
        <v>30</v>
      </c>
      <c r="F232" t="s">
        <v>14</v>
      </c>
      <c r="G232">
        <v>1</v>
      </c>
      <c r="H232" t="s">
        <v>11</v>
      </c>
      <c r="I232" s="2">
        <v>53000</v>
      </c>
      <c r="J232" t="s">
        <v>21</v>
      </c>
      <c r="K232" s="3">
        <f t="shared" si="6"/>
        <v>53000</v>
      </c>
      <c r="L232" t="str">
        <f t="shared" si="7"/>
        <v>2025-03</v>
      </c>
    </row>
    <row r="233" spans="1:12" x14ac:dyDescent="0.25">
      <c r="A233">
        <v>1232</v>
      </c>
      <c r="B233">
        <v>118</v>
      </c>
      <c r="C233" t="str">
        <f>IFERROR(_xlfn.XLOOKUP(B233, Customer!A:A, Customer!B:B), "Unknown Customer")</f>
        <v>Hamed Rezaei</v>
      </c>
      <c r="D233" s="1">
        <v>45712</v>
      </c>
      <c r="E233" t="s">
        <v>31</v>
      </c>
      <c r="F233" t="s">
        <v>17</v>
      </c>
      <c r="G233">
        <v>1</v>
      </c>
      <c r="H233" t="s">
        <v>11</v>
      </c>
      <c r="I233" s="2">
        <v>40000</v>
      </c>
      <c r="J233" t="s">
        <v>15</v>
      </c>
      <c r="K233" s="3">
        <f t="shared" si="6"/>
        <v>40000</v>
      </c>
      <c r="L233" t="str">
        <f t="shared" si="7"/>
        <v>2025-02</v>
      </c>
    </row>
    <row r="234" spans="1:12" x14ac:dyDescent="0.25">
      <c r="A234">
        <v>1233</v>
      </c>
      <c r="B234">
        <v>48</v>
      </c>
      <c r="C234" t="str">
        <f>IFERROR(_xlfn.XLOOKUP(B234, Customer!A:A, Customer!B:B), "Unknown Customer")</f>
        <v>Hamed Jafari</v>
      </c>
      <c r="D234" s="1">
        <v>45895</v>
      </c>
      <c r="E234" t="s">
        <v>31</v>
      </c>
      <c r="F234" t="s">
        <v>17</v>
      </c>
      <c r="G234">
        <v>1</v>
      </c>
      <c r="H234" t="s">
        <v>11</v>
      </c>
      <c r="I234" s="2">
        <v>35000</v>
      </c>
      <c r="J234" t="s">
        <v>21</v>
      </c>
      <c r="K234" s="3">
        <f t="shared" si="6"/>
        <v>35000</v>
      </c>
      <c r="L234" t="str">
        <f t="shared" si="7"/>
        <v>2025-08</v>
      </c>
    </row>
    <row r="235" spans="1:12" x14ac:dyDescent="0.25">
      <c r="A235">
        <v>1234</v>
      </c>
      <c r="B235">
        <v>54</v>
      </c>
      <c r="C235" t="str">
        <f>IFERROR(_xlfn.XLOOKUP(B235, Customer!A:A, Customer!B:B), "Unknown Customer")</f>
        <v>Parisa Rostami</v>
      </c>
      <c r="D235" s="1">
        <v>45717</v>
      </c>
      <c r="E235" t="s">
        <v>18</v>
      </c>
      <c r="F235" t="s">
        <v>14</v>
      </c>
      <c r="G235">
        <v>1</v>
      </c>
      <c r="H235" t="s">
        <v>11</v>
      </c>
      <c r="I235" s="2">
        <v>55000</v>
      </c>
      <c r="J235" t="s">
        <v>24</v>
      </c>
      <c r="K235" s="3">
        <f t="shared" si="6"/>
        <v>55000</v>
      </c>
      <c r="L235" t="str">
        <f t="shared" si="7"/>
        <v>2025-03</v>
      </c>
    </row>
    <row r="236" spans="1:12" x14ac:dyDescent="0.25">
      <c r="A236">
        <v>1235</v>
      </c>
      <c r="B236">
        <v>67</v>
      </c>
      <c r="C236" t="str">
        <f>IFERROR(_xlfn.XLOOKUP(B236, Customer!A:A, Customer!B:B), "Unknown Customer")</f>
        <v>Reza Jafari</v>
      </c>
      <c r="D236" s="1">
        <v>45836</v>
      </c>
      <c r="E236" t="s">
        <v>16</v>
      </c>
      <c r="F236" t="s">
        <v>17</v>
      </c>
      <c r="G236">
        <v>2</v>
      </c>
      <c r="H236" t="s">
        <v>11</v>
      </c>
      <c r="I236" s="2">
        <v>75000</v>
      </c>
      <c r="J236" t="s">
        <v>21</v>
      </c>
      <c r="K236" s="3">
        <f t="shared" si="6"/>
        <v>150000</v>
      </c>
      <c r="L236" t="str">
        <f t="shared" si="7"/>
        <v>2025-06</v>
      </c>
    </row>
    <row r="237" spans="1:12" x14ac:dyDescent="0.25">
      <c r="A237">
        <v>1236</v>
      </c>
      <c r="B237">
        <v>6</v>
      </c>
      <c r="C237" t="str">
        <f>IFERROR(_xlfn.XLOOKUP(B237, Customer!A:A, Customer!B:B), "Unknown Customer")</f>
        <v>Sepideh Mousavi</v>
      </c>
      <c r="D237" s="1">
        <v>45716</v>
      </c>
      <c r="E237" t="s">
        <v>22</v>
      </c>
      <c r="F237" t="s">
        <v>14</v>
      </c>
      <c r="G237">
        <v>3</v>
      </c>
      <c r="H237" t="s">
        <v>11</v>
      </c>
      <c r="I237" s="2">
        <v>55000</v>
      </c>
      <c r="J237" t="s">
        <v>12</v>
      </c>
      <c r="K237" s="3">
        <f t="shared" si="6"/>
        <v>165000</v>
      </c>
      <c r="L237" t="str">
        <f t="shared" si="7"/>
        <v>2025-02</v>
      </c>
    </row>
    <row r="238" spans="1:12" x14ac:dyDescent="0.25">
      <c r="A238">
        <v>1237</v>
      </c>
      <c r="B238">
        <v>32</v>
      </c>
      <c r="C238" t="str">
        <f>IFERROR(_xlfn.XLOOKUP(B238, Customer!A:A, Customer!B:B), "Unknown Customer")</f>
        <v>Elham Karimi</v>
      </c>
      <c r="D238" s="1">
        <v>45747</v>
      </c>
      <c r="E238" t="s">
        <v>23</v>
      </c>
      <c r="F238" t="s">
        <v>17</v>
      </c>
      <c r="G238">
        <v>1</v>
      </c>
      <c r="H238" t="s">
        <v>11</v>
      </c>
      <c r="I238" s="2">
        <v>90000</v>
      </c>
      <c r="J238" t="s">
        <v>24</v>
      </c>
      <c r="K238" s="3">
        <f t="shared" si="6"/>
        <v>90000</v>
      </c>
      <c r="L238" t="str">
        <f t="shared" si="7"/>
        <v>2025-03</v>
      </c>
    </row>
    <row r="239" spans="1:12" x14ac:dyDescent="0.25">
      <c r="A239">
        <v>1238</v>
      </c>
      <c r="B239">
        <v>103</v>
      </c>
      <c r="C239" t="str">
        <f>IFERROR(_xlfn.XLOOKUP(B239, Customer!A:A, Customer!B:B), "Unknown Customer")</f>
        <v>Babak Rezaei</v>
      </c>
      <c r="D239" s="1">
        <v>45980</v>
      </c>
      <c r="E239" t="s">
        <v>31</v>
      </c>
      <c r="F239" t="s">
        <v>17</v>
      </c>
      <c r="G239">
        <v>3</v>
      </c>
      <c r="H239" t="s">
        <v>11</v>
      </c>
      <c r="I239" s="2">
        <v>40000</v>
      </c>
      <c r="J239" t="s">
        <v>12</v>
      </c>
      <c r="K239" s="3">
        <f t="shared" si="6"/>
        <v>120000</v>
      </c>
      <c r="L239" t="str">
        <f t="shared" si="7"/>
        <v>2025-11</v>
      </c>
    </row>
    <row r="240" spans="1:12" x14ac:dyDescent="0.25">
      <c r="A240">
        <v>1240</v>
      </c>
      <c r="B240">
        <v>36</v>
      </c>
      <c r="C240" t="str">
        <f>IFERROR(_xlfn.XLOOKUP(B240, Customer!A:A, Customer!B:B), "Unknown Customer")</f>
        <v>Payam Rezaei</v>
      </c>
      <c r="D240" s="1">
        <v>45690</v>
      </c>
      <c r="E240" t="s">
        <v>22</v>
      </c>
      <c r="F240" t="s">
        <v>14</v>
      </c>
      <c r="G240">
        <v>4</v>
      </c>
      <c r="H240" t="s">
        <v>11</v>
      </c>
      <c r="I240" s="2">
        <v>65000</v>
      </c>
      <c r="J240" t="s">
        <v>21</v>
      </c>
      <c r="K240" s="3">
        <f t="shared" si="6"/>
        <v>260000</v>
      </c>
      <c r="L240" t="str">
        <f t="shared" si="7"/>
        <v>2025-02</v>
      </c>
    </row>
    <row r="241" spans="1:12" x14ac:dyDescent="0.25">
      <c r="A241">
        <v>1241</v>
      </c>
      <c r="B241">
        <v>26</v>
      </c>
      <c r="C241" t="str">
        <f>IFERROR(_xlfn.XLOOKUP(B241, Customer!A:A, Customer!B:B), "Unknown Customer")</f>
        <v>Mona Karimi</v>
      </c>
      <c r="D241" s="1">
        <v>45716</v>
      </c>
      <c r="E241" t="s">
        <v>16</v>
      </c>
      <c r="F241" t="s">
        <v>17</v>
      </c>
      <c r="G241">
        <v>2</v>
      </c>
      <c r="H241" t="s">
        <v>11</v>
      </c>
      <c r="I241" s="2">
        <v>75000</v>
      </c>
      <c r="J241" t="s">
        <v>28</v>
      </c>
      <c r="K241" s="3">
        <f t="shared" si="6"/>
        <v>150000</v>
      </c>
      <c r="L241" t="str">
        <f t="shared" si="7"/>
        <v>2025-02</v>
      </c>
    </row>
    <row r="242" spans="1:12" x14ac:dyDescent="0.25">
      <c r="A242">
        <v>1242</v>
      </c>
      <c r="B242">
        <v>51</v>
      </c>
      <c r="C242" t="str">
        <f>IFERROR(_xlfn.XLOOKUP(B242, Customer!A:A, Customer!B:B), "Unknown Customer")</f>
        <v>Azadeh Karimi</v>
      </c>
      <c r="D242" s="1">
        <v>45716</v>
      </c>
      <c r="E242" t="s">
        <v>20</v>
      </c>
      <c r="F242" t="s">
        <v>17</v>
      </c>
      <c r="G242">
        <v>4</v>
      </c>
      <c r="H242" t="s">
        <v>11</v>
      </c>
      <c r="I242" s="2">
        <v>50000</v>
      </c>
      <c r="J242" t="s">
        <v>12</v>
      </c>
      <c r="K242" s="3">
        <f t="shared" si="6"/>
        <v>200000</v>
      </c>
      <c r="L242" t="str">
        <f t="shared" si="7"/>
        <v>2025-02</v>
      </c>
    </row>
    <row r="243" spans="1:12" x14ac:dyDescent="0.25">
      <c r="A243">
        <v>1243</v>
      </c>
      <c r="B243">
        <v>91</v>
      </c>
      <c r="C243" t="str">
        <f>IFERROR(_xlfn.XLOOKUP(B243, Customer!A:A, Customer!B:B), "Unknown Customer")</f>
        <v>Ali Ebrahimi</v>
      </c>
      <c r="D243" s="1">
        <v>45972</v>
      </c>
      <c r="E243" t="s">
        <v>9</v>
      </c>
      <c r="F243" t="s">
        <v>10</v>
      </c>
      <c r="G243">
        <v>3</v>
      </c>
      <c r="H243" t="s">
        <v>11</v>
      </c>
      <c r="I243" s="2">
        <v>62000</v>
      </c>
      <c r="J243" t="s">
        <v>24</v>
      </c>
      <c r="K243" s="3">
        <f t="shared" si="6"/>
        <v>186000</v>
      </c>
      <c r="L243" t="str">
        <f t="shared" si="7"/>
        <v>2025-11</v>
      </c>
    </row>
    <row r="244" spans="1:12" x14ac:dyDescent="0.25">
      <c r="A244">
        <v>1244</v>
      </c>
      <c r="B244">
        <v>40</v>
      </c>
      <c r="C244" t="str">
        <f>IFERROR(_xlfn.XLOOKUP(B244, Customer!A:A, Customer!B:B), "Unknown Customer")</f>
        <v>Nazanin Hosseini</v>
      </c>
      <c r="D244" s="1">
        <v>45751</v>
      </c>
      <c r="E244" t="s">
        <v>18</v>
      </c>
      <c r="F244" t="s">
        <v>14</v>
      </c>
      <c r="G244">
        <v>1</v>
      </c>
      <c r="H244" t="s">
        <v>11</v>
      </c>
      <c r="I244" s="2">
        <v>55000</v>
      </c>
      <c r="J244" t="s">
        <v>28</v>
      </c>
      <c r="K244" s="3">
        <f t="shared" si="6"/>
        <v>55000</v>
      </c>
      <c r="L244" t="str">
        <f t="shared" si="7"/>
        <v>2025-04</v>
      </c>
    </row>
    <row r="245" spans="1:12" x14ac:dyDescent="0.25">
      <c r="A245">
        <v>1245</v>
      </c>
      <c r="B245">
        <v>50</v>
      </c>
      <c r="C245" t="str">
        <f>IFERROR(_xlfn.XLOOKUP(B245, Customer!A:A, Customer!B:B), "Unknown Customer")</f>
        <v>Mona Naderi</v>
      </c>
      <c r="D245" s="1">
        <v>45753</v>
      </c>
      <c r="E245" t="s">
        <v>31</v>
      </c>
      <c r="F245" t="s">
        <v>17</v>
      </c>
      <c r="G245">
        <v>2</v>
      </c>
      <c r="H245" t="s">
        <v>11</v>
      </c>
      <c r="I245" s="2">
        <v>40000</v>
      </c>
      <c r="J245" t="s">
        <v>24</v>
      </c>
      <c r="K245" s="3">
        <f t="shared" si="6"/>
        <v>80000</v>
      </c>
      <c r="L245" t="str">
        <f t="shared" si="7"/>
        <v>2025-04</v>
      </c>
    </row>
    <row r="246" spans="1:12" x14ac:dyDescent="0.25">
      <c r="A246">
        <v>1246</v>
      </c>
      <c r="B246">
        <v>24</v>
      </c>
      <c r="C246" t="str">
        <f>IFERROR(_xlfn.XLOOKUP(B246, Customer!A:A, Customer!B:B), "Unknown Customer")</f>
        <v>Farhad Sadeghi</v>
      </c>
      <c r="D246" s="1">
        <v>45888</v>
      </c>
      <c r="E246" t="s">
        <v>25</v>
      </c>
      <c r="F246" t="s">
        <v>10</v>
      </c>
      <c r="G246">
        <v>4</v>
      </c>
      <c r="H246" t="s">
        <v>11</v>
      </c>
      <c r="I246" s="2">
        <v>65000</v>
      </c>
      <c r="J246" t="s">
        <v>24</v>
      </c>
      <c r="K246" s="3">
        <f t="shared" si="6"/>
        <v>260000</v>
      </c>
      <c r="L246" t="str">
        <f t="shared" si="7"/>
        <v>2025-08</v>
      </c>
    </row>
    <row r="247" spans="1:12" x14ac:dyDescent="0.25">
      <c r="A247">
        <v>1247</v>
      </c>
      <c r="B247">
        <v>25</v>
      </c>
      <c r="C247" t="str">
        <f>IFERROR(_xlfn.XLOOKUP(B247, Customer!A:A, Customer!B:B), "Unknown Customer")</f>
        <v>Milad Kazemi</v>
      </c>
      <c r="D247" s="1">
        <v>45945</v>
      </c>
      <c r="E247" t="s">
        <v>31</v>
      </c>
      <c r="F247" t="s">
        <v>17</v>
      </c>
      <c r="G247">
        <v>2</v>
      </c>
      <c r="H247" t="s">
        <v>11</v>
      </c>
      <c r="I247" s="2">
        <v>40000</v>
      </c>
      <c r="J247" t="s">
        <v>15</v>
      </c>
      <c r="K247" s="3">
        <f t="shared" si="6"/>
        <v>80000</v>
      </c>
      <c r="L247" t="str">
        <f t="shared" si="7"/>
        <v>2025-10</v>
      </c>
    </row>
    <row r="248" spans="1:12" x14ac:dyDescent="0.25">
      <c r="A248">
        <v>1248</v>
      </c>
      <c r="B248">
        <v>22</v>
      </c>
      <c r="C248" t="str">
        <f>IFERROR(_xlfn.XLOOKUP(B248, Customer!A:A, Customer!B:B), "Unknown Customer")</f>
        <v>Amir Yousefi</v>
      </c>
      <c r="D248" s="1">
        <v>45947</v>
      </c>
      <c r="E248" t="s">
        <v>18</v>
      </c>
      <c r="F248" t="s">
        <v>14</v>
      </c>
      <c r="G248">
        <v>1</v>
      </c>
      <c r="H248" t="s">
        <v>11</v>
      </c>
      <c r="I248" s="2">
        <v>50000</v>
      </c>
      <c r="J248" t="s">
        <v>28</v>
      </c>
      <c r="K248" s="3">
        <f t="shared" si="6"/>
        <v>50000</v>
      </c>
      <c r="L248" t="str">
        <f t="shared" si="7"/>
        <v>2025-10</v>
      </c>
    </row>
    <row r="249" spans="1:12" x14ac:dyDescent="0.25">
      <c r="A249">
        <v>1249</v>
      </c>
      <c r="B249">
        <v>37</v>
      </c>
      <c r="C249" t="str">
        <f>IFERROR(_xlfn.XLOOKUP(B249, Customer!A:A, Customer!B:B), "Unknown Customer")</f>
        <v>Omid Sadeghi</v>
      </c>
      <c r="D249" s="1">
        <v>45892</v>
      </c>
      <c r="E249" t="s">
        <v>13</v>
      </c>
      <c r="F249" t="s">
        <v>14</v>
      </c>
      <c r="G249">
        <v>2</v>
      </c>
      <c r="H249" t="s">
        <v>11</v>
      </c>
      <c r="I249" s="2">
        <v>63000</v>
      </c>
      <c r="J249" t="s">
        <v>21</v>
      </c>
      <c r="K249" s="3">
        <f t="shared" si="6"/>
        <v>126000</v>
      </c>
      <c r="L249" t="str">
        <f t="shared" si="7"/>
        <v>2025-08</v>
      </c>
    </row>
    <row r="250" spans="1:12" x14ac:dyDescent="0.25">
      <c r="A250">
        <v>1250</v>
      </c>
      <c r="B250">
        <v>100</v>
      </c>
      <c r="C250" t="str">
        <f>IFERROR(_xlfn.XLOOKUP(B250, Customer!A:A, Customer!B:B), "Unknown Customer")</f>
        <v>Leila Hosseini</v>
      </c>
      <c r="D250" s="1">
        <v>45845</v>
      </c>
      <c r="E250" t="s">
        <v>23</v>
      </c>
      <c r="F250" t="s">
        <v>17</v>
      </c>
      <c r="G250">
        <v>4</v>
      </c>
      <c r="H250" t="s">
        <v>11</v>
      </c>
      <c r="I250" s="2">
        <v>85000</v>
      </c>
      <c r="J250" t="s">
        <v>15</v>
      </c>
      <c r="K250" s="3">
        <f t="shared" si="6"/>
        <v>340000</v>
      </c>
      <c r="L250" t="str">
        <f t="shared" si="7"/>
        <v>2025-07</v>
      </c>
    </row>
    <row r="251" spans="1:12" x14ac:dyDescent="0.25">
      <c r="A251">
        <v>1251</v>
      </c>
      <c r="B251">
        <v>14</v>
      </c>
      <c r="C251" t="str">
        <f>IFERROR(_xlfn.XLOOKUP(B251, Customer!A:A, Customer!B:B), "Unknown Customer")</f>
        <v>Ali Ghasemi</v>
      </c>
      <c r="D251" s="1">
        <v>45669</v>
      </c>
      <c r="E251" t="s">
        <v>22</v>
      </c>
      <c r="F251" t="s">
        <v>14</v>
      </c>
      <c r="G251">
        <v>4</v>
      </c>
      <c r="H251" t="s">
        <v>11</v>
      </c>
      <c r="I251" s="2">
        <v>55000</v>
      </c>
      <c r="J251" t="s">
        <v>21</v>
      </c>
      <c r="K251" s="3">
        <f t="shared" si="6"/>
        <v>220000</v>
      </c>
      <c r="L251" t="str">
        <f t="shared" si="7"/>
        <v>2025-01</v>
      </c>
    </row>
    <row r="252" spans="1:12" x14ac:dyDescent="0.25">
      <c r="A252">
        <v>1252</v>
      </c>
      <c r="B252">
        <v>111</v>
      </c>
      <c r="C252" t="str">
        <f>IFERROR(_xlfn.XLOOKUP(B252, Customer!A:A, Customer!B:B), "Unknown Customer")</f>
        <v>Sepideh Yousefi</v>
      </c>
      <c r="D252" s="1">
        <v>45882</v>
      </c>
      <c r="E252" t="s">
        <v>18</v>
      </c>
      <c r="F252" t="s">
        <v>14</v>
      </c>
      <c r="G252">
        <v>1</v>
      </c>
      <c r="H252" t="s">
        <v>11</v>
      </c>
      <c r="I252" s="2">
        <v>60000</v>
      </c>
      <c r="J252" t="s">
        <v>32</v>
      </c>
      <c r="K252" s="3">
        <f t="shared" si="6"/>
        <v>60000</v>
      </c>
      <c r="L252" t="str">
        <f t="shared" si="7"/>
        <v>2025-08</v>
      </c>
    </row>
    <row r="253" spans="1:12" x14ac:dyDescent="0.25">
      <c r="A253">
        <v>1253</v>
      </c>
      <c r="B253">
        <v>79</v>
      </c>
      <c r="C253" t="str">
        <f>IFERROR(_xlfn.XLOOKUP(B253, Customer!A:A, Customer!B:B), "Unknown Customer")</f>
        <v>Niloofar Ahmadi</v>
      </c>
      <c r="D253" s="1">
        <v>45877</v>
      </c>
      <c r="E253" t="s">
        <v>27</v>
      </c>
      <c r="F253" t="s">
        <v>14</v>
      </c>
      <c r="G253">
        <v>4</v>
      </c>
      <c r="H253" t="s">
        <v>11</v>
      </c>
      <c r="I253" s="2">
        <v>35000</v>
      </c>
      <c r="J253" t="s">
        <v>28</v>
      </c>
      <c r="K253" s="3">
        <f t="shared" si="6"/>
        <v>140000</v>
      </c>
      <c r="L253" t="str">
        <f t="shared" si="7"/>
        <v>2025-08</v>
      </c>
    </row>
    <row r="254" spans="1:12" x14ac:dyDescent="0.25">
      <c r="A254">
        <v>1254</v>
      </c>
      <c r="B254">
        <v>45</v>
      </c>
      <c r="C254" t="str">
        <f>IFERROR(_xlfn.XLOOKUP(B254, Customer!A:A, Customer!B:B), "Unknown Customer")</f>
        <v>Mona Vakili</v>
      </c>
      <c r="D254" s="1">
        <v>45801</v>
      </c>
      <c r="E254" t="s">
        <v>23</v>
      </c>
      <c r="F254" t="s">
        <v>17</v>
      </c>
      <c r="G254">
        <v>1</v>
      </c>
      <c r="H254" t="s">
        <v>11</v>
      </c>
      <c r="I254" s="2">
        <v>85000</v>
      </c>
      <c r="J254" t="s">
        <v>28</v>
      </c>
      <c r="K254" s="3">
        <f t="shared" si="6"/>
        <v>85000</v>
      </c>
      <c r="L254" t="str">
        <f t="shared" si="7"/>
        <v>2025-05</v>
      </c>
    </row>
    <row r="255" spans="1:12" x14ac:dyDescent="0.25">
      <c r="A255">
        <v>1255</v>
      </c>
      <c r="B255">
        <v>116</v>
      </c>
      <c r="C255" t="str">
        <f>IFERROR(_xlfn.XLOOKUP(B255, Customer!A:A, Customer!B:B), "Unknown Customer")</f>
        <v>Kian Zare</v>
      </c>
      <c r="D255" s="1">
        <v>45706</v>
      </c>
      <c r="E255" t="s">
        <v>27</v>
      </c>
      <c r="F255" t="s">
        <v>14</v>
      </c>
      <c r="G255">
        <v>1</v>
      </c>
      <c r="H255" t="s">
        <v>11</v>
      </c>
      <c r="I255" s="2">
        <v>35000</v>
      </c>
      <c r="J255" t="s">
        <v>12</v>
      </c>
      <c r="K255" s="3">
        <f t="shared" si="6"/>
        <v>35000</v>
      </c>
      <c r="L255" t="str">
        <f t="shared" si="7"/>
        <v>2025-02</v>
      </c>
    </row>
    <row r="256" spans="1:12" x14ac:dyDescent="0.25">
      <c r="A256">
        <v>1256</v>
      </c>
      <c r="B256">
        <v>111</v>
      </c>
      <c r="C256" t="str">
        <f>IFERROR(_xlfn.XLOOKUP(B256, Customer!A:A, Customer!B:B), "Unknown Customer")</f>
        <v>Sepideh Yousefi</v>
      </c>
      <c r="D256" s="1">
        <v>45874</v>
      </c>
      <c r="E256" t="s">
        <v>13</v>
      </c>
      <c r="F256" t="s">
        <v>14</v>
      </c>
      <c r="G256">
        <v>4</v>
      </c>
      <c r="H256" t="s">
        <v>11</v>
      </c>
      <c r="I256" s="2">
        <v>58000</v>
      </c>
      <c r="J256" t="s">
        <v>15</v>
      </c>
      <c r="K256" s="3">
        <f t="shared" si="6"/>
        <v>232000</v>
      </c>
      <c r="L256" t="str">
        <f t="shared" si="7"/>
        <v>2025-08</v>
      </c>
    </row>
    <row r="257" spans="1:12" x14ac:dyDescent="0.25">
      <c r="A257">
        <v>1257</v>
      </c>
      <c r="B257">
        <v>19</v>
      </c>
      <c r="C257" t="str">
        <f>IFERROR(_xlfn.XLOOKUP(B257, Customer!A:A, Customer!B:B), "Unknown Customer")</f>
        <v>Leila Sadeghi</v>
      </c>
      <c r="D257" s="1">
        <v>45981</v>
      </c>
      <c r="E257" t="s">
        <v>20</v>
      </c>
      <c r="F257" t="s">
        <v>17</v>
      </c>
      <c r="G257">
        <v>2</v>
      </c>
      <c r="H257" t="s">
        <v>11</v>
      </c>
      <c r="I257" s="2">
        <v>50000</v>
      </c>
      <c r="J257" t="s">
        <v>15</v>
      </c>
      <c r="K257" s="3">
        <f t="shared" si="6"/>
        <v>100000</v>
      </c>
      <c r="L257" t="str">
        <f t="shared" si="7"/>
        <v>2025-11</v>
      </c>
    </row>
    <row r="258" spans="1:12" x14ac:dyDescent="0.25">
      <c r="A258">
        <v>1258</v>
      </c>
      <c r="B258">
        <v>66</v>
      </c>
      <c r="C258" t="str">
        <f>IFERROR(_xlfn.XLOOKUP(B258, Customer!A:A, Customer!B:B), "Unknown Customer")</f>
        <v>Farhad Abbasi</v>
      </c>
      <c r="D258" s="1">
        <v>45800</v>
      </c>
      <c r="E258" t="s">
        <v>22</v>
      </c>
      <c r="F258" t="s">
        <v>14</v>
      </c>
      <c r="G258">
        <v>2</v>
      </c>
      <c r="H258" t="s">
        <v>11</v>
      </c>
      <c r="I258" s="2">
        <v>60000</v>
      </c>
      <c r="J258" t="s">
        <v>12</v>
      </c>
      <c r="K258" s="3">
        <f t="shared" si="6"/>
        <v>120000</v>
      </c>
      <c r="L258" t="str">
        <f t="shared" si="7"/>
        <v>2025-05</v>
      </c>
    </row>
    <row r="259" spans="1:12" x14ac:dyDescent="0.25">
      <c r="A259">
        <v>1259</v>
      </c>
      <c r="B259">
        <v>12</v>
      </c>
      <c r="C259" t="str">
        <f>IFERROR(_xlfn.XLOOKUP(B259, Customer!A:A, Customer!B:B), "Unknown Customer")</f>
        <v>Golnaz Karimi</v>
      </c>
      <c r="D259" s="1">
        <v>45892</v>
      </c>
      <c r="E259" t="s">
        <v>22</v>
      </c>
      <c r="F259" t="s">
        <v>14</v>
      </c>
      <c r="G259">
        <v>4</v>
      </c>
      <c r="H259" t="s">
        <v>11</v>
      </c>
      <c r="I259" s="2">
        <v>55000</v>
      </c>
      <c r="J259" t="s">
        <v>24</v>
      </c>
      <c r="K259" s="3">
        <f t="shared" ref="K259:K322" si="8">G259*I259</f>
        <v>220000</v>
      </c>
      <c r="L259" t="str">
        <f t="shared" ref="L259:L322" si="9">TEXT(D259,"YYYY-MM")</f>
        <v>2025-08</v>
      </c>
    </row>
    <row r="260" spans="1:12" x14ac:dyDescent="0.25">
      <c r="A260">
        <v>1260</v>
      </c>
      <c r="B260">
        <v>118</v>
      </c>
      <c r="C260" t="str">
        <f>IFERROR(_xlfn.XLOOKUP(B260, Customer!A:A, Customer!B:B), "Unknown Customer")</f>
        <v>Hamed Rezaei</v>
      </c>
      <c r="D260" s="1">
        <v>45766</v>
      </c>
      <c r="E260" t="s">
        <v>31</v>
      </c>
      <c r="F260" t="s">
        <v>17</v>
      </c>
      <c r="G260">
        <v>1</v>
      </c>
      <c r="H260" t="s">
        <v>11</v>
      </c>
      <c r="I260" s="2">
        <v>40000</v>
      </c>
      <c r="J260" t="s">
        <v>28</v>
      </c>
      <c r="K260" s="3">
        <f t="shared" si="8"/>
        <v>40000</v>
      </c>
      <c r="L260" t="str">
        <f t="shared" si="9"/>
        <v>2025-04</v>
      </c>
    </row>
    <row r="261" spans="1:12" x14ac:dyDescent="0.25">
      <c r="A261">
        <v>1261</v>
      </c>
      <c r="B261">
        <v>110</v>
      </c>
      <c r="C261" t="str">
        <f>IFERROR(_xlfn.XLOOKUP(B261, Customer!A:A, Customer!B:B), "Unknown Customer")</f>
        <v>Parisa Mousavi</v>
      </c>
      <c r="D261" s="1">
        <v>45833</v>
      </c>
      <c r="E261" t="s">
        <v>16</v>
      </c>
      <c r="F261" t="s">
        <v>17</v>
      </c>
      <c r="G261">
        <v>1</v>
      </c>
      <c r="H261" t="s">
        <v>11</v>
      </c>
      <c r="I261" s="2">
        <v>70000</v>
      </c>
      <c r="J261" t="s">
        <v>32</v>
      </c>
      <c r="K261" s="3">
        <f t="shared" si="8"/>
        <v>70000</v>
      </c>
      <c r="L261" t="str">
        <f t="shared" si="9"/>
        <v>2025-06</v>
      </c>
    </row>
    <row r="262" spans="1:12" x14ac:dyDescent="0.25">
      <c r="A262">
        <v>1262</v>
      </c>
      <c r="B262">
        <v>16</v>
      </c>
      <c r="C262" t="str">
        <f>IFERROR(_xlfn.XLOOKUP(B262, Customer!A:A, Customer!B:B), "Unknown Customer")</f>
        <v>Milad Yousefi</v>
      </c>
      <c r="D262" s="1">
        <v>45883</v>
      </c>
      <c r="E262" t="s">
        <v>13</v>
      </c>
      <c r="F262" t="s">
        <v>14</v>
      </c>
      <c r="G262">
        <v>2</v>
      </c>
      <c r="H262" t="s">
        <v>11</v>
      </c>
      <c r="I262" s="2">
        <v>58000</v>
      </c>
      <c r="J262" t="s">
        <v>12</v>
      </c>
      <c r="K262" s="3">
        <f t="shared" si="8"/>
        <v>116000</v>
      </c>
      <c r="L262" t="str">
        <f t="shared" si="9"/>
        <v>2025-08</v>
      </c>
    </row>
    <row r="263" spans="1:12" x14ac:dyDescent="0.25">
      <c r="A263">
        <v>1263</v>
      </c>
      <c r="B263">
        <v>39</v>
      </c>
      <c r="C263" t="str">
        <f>IFERROR(_xlfn.XLOOKUP(B263, Customer!A:A, Customer!B:B), "Unknown Customer")</f>
        <v>Mona Ghasemi</v>
      </c>
      <c r="D263" s="1">
        <v>45798</v>
      </c>
      <c r="E263" t="s">
        <v>13</v>
      </c>
      <c r="F263" t="s">
        <v>14</v>
      </c>
      <c r="G263">
        <v>1</v>
      </c>
      <c r="H263" t="s">
        <v>11</v>
      </c>
      <c r="I263" s="2">
        <v>58142.857142857145</v>
      </c>
      <c r="J263" t="s">
        <v>32</v>
      </c>
      <c r="K263" s="3">
        <f t="shared" si="8"/>
        <v>58142.857142857145</v>
      </c>
      <c r="L263" t="str">
        <f t="shared" si="9"/>
        <v>2025-05</v>
      </c>
    </row>
    <row r="264" spans="1:12" x14ac:dyDescent="0.25">
      <c r="A264">
        <v>1264</v>
      </c>
      <c r="B264">
        <v>51</v>
      </c>
      <c r="C264" t="str">
        <f>IFERROR(_xlfn.XLOOKUP(B264, Customer!A:A, Customer!B:B), "Unknown Customer")</f>
        <v>Azadeh Karimi</v>
      </c>
      <c r="D264" s="1">
        <v>45814</v>
      </c>
      <c r="E264" t="s">
        <v>27</v>
      </c>
      <c r="F264" t="s">
        <v>14</v>
      </c>
      <c r="G264">
        <v>2</v>
      </c>
      <c r="H264" t="s">
        <v>11</v>
      </c>
      <c r="I264" s="2">
        <v>30000</v>
      </c>
      <c r="J264" t="s">
        <v>19</v>
      </c>
      <c r="K264" s="3">
        <f t="shared" si="8"/>
        <v>60000</v>
      </c>
      <c r="L264" t="str">
        <f t="shared" si="9"/>
        <v>2025-06</v>
      </c>
    </row>
    <row r="265" spans="1:12" x14ac:dyDescent="0.25">
      <c r="A265">
        <v>1265</v>
      </c>
      <c r="B265">
        <v>28</v>
      </c>
      <c r="C265" t="str">
        <f>IFERROR(_xlfn.XLOOKUP(B265, Customer!A:A, Customer!B:B), "Unknown Customer")</f>
        <v>Yasaman Naderi</v>
      </c>
      <c r="D265" s="1">
        <v>45697</v>
      </c>
      <c r="E265" t="s">
        <v>16</v>
      </c>
      <c r="F265" t="s">
        <v>17</v>
      </c>
      <c r="G265">
        <v>2</v>
      </c>
      <c r="H265" t="s">
        <v>11</v>
      </c>
      <c r="I265" s="2">
        <v>75256.41025641025</v>
      </c>
      <c r="J265" t="s">
        <v>12</v>
      </c>
      <c r="K265" s="3">
        <f t="shared" si="8"/>
        <v>150512.8205128205</v>
      </c>
      <c r="L265" t="str">
        <f t="shared" si="9"/>
        <v>2025-02</v>
      </c>
    </row>
    <row r="266" spans="1:12" x14ac:dyDescent="0.25">
      <c r="A266">
        <v>1266</v>
      </c>
      <c r="B266">
        <v>44</v>
      </c>
      <c r="C266" t="str">
        <f>IFERROR(_xlfn.XLOOKUP(B266, Customer!A:A, Customer!B:B), "Unknown Customer")</f>
        <v>Payam Abbasi</v>
      </c>
      <c r="D266" s="1">
        <v>45874</v>
      </c>
      <c r="E266" t="s">
        <v>18</v>
      </c>
      <c r="F266" t="s">
        <v>14</v>
      </c>
      <c r="G266">
        <v>2</v>
      </c>
      <c r="H266" t="s">
        <v>11</v>
      </c>
      <c r="I266" s="2">
        <v>50000</v>
      </c>
      <c r="J266" t="s">
        <v>19</v>
      </c>
      <c r="K266" s="3">
        <f t="shared" si="8"/>
        <v>100000</v>
      </c>
      <c r="L266" t="str">
        <f t="shared" si="9"/>
        <v>2025-08</v>
      </c>
    </row>
    <row r="267" spans="1:12" x14ac:dyDescent="0.25">
      <c r="A267">
        <v>1267</v>
      </c>
      <c r="B267">
        <v>94</v>
      </c>
      <c r="C267" t="str">
        <f>IFERROR(_xlfn.XLOOKUP(B267, Customer!A:A, Customer!B:B), "Unknown Customer")</f>
        <v>Hamed Fallahi</v>
      </c>
      <c r="D267" s="1">
        <v>45710</v>
      </c>
      <c r="E267" t="s">
        <v>18</v>
      </c>
      <c r="F267" t="s">
        <v>14</v>
      </c>
      <c r="G267">
        <v>1</v>
      </c>
      <c r="H267" t="s">
        <v>11</v>
      </c>
      <c r="I267" s="2">
        <v>55320</v>
      </c>
      <c r="J267" t="s">
        <v>12</v>
      </c>
      <c r="K267" s="3">
        <f t="shared" si="8"/>
        <v>55320</v>
      </c>
      <c r="L267" t="str">
        <f t="shared" si="9"/>
        <v>2025-02</v>
      </c>
    </row>
    <row r="268" spans="1:12" x14ac:dyDescent="0.25">
      <c r="A268">
        <v>1268</v>
      </c>
      <c r="B268">
        <v>87</v>
      </c>
      <c r="C268" t="str">
        <f>IFERROR(_xlfn.XLOOKUP(B268, Customer!A:A, Customer!B:B), "Unknown Customer")</f>
        <v>Sepideh Abbasi</v>
      </c>
      <c r="D268" s="1">
        <v>45693</v>
      </c>
      <c r="E268" t="s">
        <v>13</v>
      </c>
      <c r="F268" t="s">
        <v>14</v>
      </c>
      <c r="G268">
        <v>2</v>
      </c>
      <c r="H268" t="s">
        <v>11</v>
      </c>
      <c r="I268" s="2">
        <v>58000</v>
      </c>
      <c r="J268" t="s">
        <v>12</v>
      </c>
      <c r="K268" s="3">
        <f t="shared" si="8"/>
        <v>116000</v>
      </c>
      <c r="L268" t="str">
        <f t="shared" si="9"/>
        <v>2025-02</v>
      </c>
    </row>
    <row r="269" spans="1:12" x14ac:dyDescent="0.25">
      <c r="A269">
        <v>1269</v>
      </c>
      <c r="B269">
        <v>28</v>
      </c>
      <c r="C269" t="str">
        <f>IFERROR(_xlfn.XLOOKUP(B269, Customer!A:A, Customer!B:B), "Unknown Customer")</f>
        <v>Yasaman Naderi</v>
      </c>
      <c r="D269" s="1">
        <v>45735</v>
      </c>
      <c r="E269" t="s">
        <v>27</v>
      </c>
      <c r="F269" t="s">
        <v>14</v>
      </c>
      <c r="G269">
        <v>4</v>
      </c>
      <c r="H269" t="s">
        <v>11</v>
      </c>
      <c r="I269" s="2">
        <v>35000</v>
      </c>
      <c r="J269" t="s">
        <v>24</v>
      </c>
      <c r="K269" s="3">
        <f t="shared" si="8"/>
        <v>140000</v>
      </c>
      <c r="L269" t="str">
        <f t="shared" si="9"/>
        <v>2025-03</v>
      </c>
    </row>
    <row r="270" spans="1:12" x14ac:dyDescent="0.25">
      <c r="A270">
        <v>1270</v>
      </c>
      <c r="B270">
        <v>97</v>
      </c>
      <c r="C270" t="str">
        <f>IFERROR(_xlfn.XLOOKUP(B270, Customer!A:A, Customer!B:B), "Unknown Customer")</f>
        <v>Setareh Sadeghi</v>
      </c>
      <c r="D270" s="1">
        <v>45959</v>
      </c>
      <c r="E270" t="s">
        <v>18</v>
      </c>
      <c r="F270" t="s">
        <v>14</v>
      </c>
      <c r="G270">
        <v>1</v>
      </c>
      <c r="H270" t="s">
        <v>11</v>
      </c>
      <c r="I270" s="2">
        <v>55000</v>
      </c>
      <c r="J270" t="s">
        <v>24</v>
      </c>
      <c r="K270" s="3">
        <f t="shared" si="8"/>
        <v>55000</v>
      </c>
      <c r="L270" t="str">
        <f t="shared" si="9"/>
        <v>2025-10</v>
      </c>
    </row>
    <row r="271" spans="1:12" x14ac:dyDescent="0.25">
      <c r="A271">
        <v>1271</v>
      </c>
      <c r="B271">
        <v>36</v>
      </c>
      <c r="C271" t="str">
        <f>IFERROR(_xlfn.XLOOKUP(B271, Customer!A:A, Customer!B:B), "Unknown Customer")</f>
        <v>Payam Rezaei</v>
      </c>
      <c r="D271" s="1">
        <v>45701</v>
      </c>
      <c r="E271" t="s">
        <v>27</v>
      </c>
      <c r="F271" t="s">
        <v>14</v>
      </c>
      <c r="G271">
        <v>4</v>
      </c>
      <c r="H271" t="s">
        <v>11</v>
      </c>
      <c r="I271" s="2">
        <v>30000</v>
      </c>
      <c r="J271" t="s">
        <v>24</v>
      </c>
      <c r="K271" s="3">
        <f t="shared" si="8"/>
        <v>120000</v>
      </c>
      <c r="L271" t="str">
        <f t="shared" si="9"/>
        <v>2025-02</v>
      </c>
    </row>
    <row r="272" spans="1:12" x14ac:dyDescent="0.25">
      <c r="A272">
        <v>1272</v>
      </c>
      <c r="B272">
        <v>67</v>
      </c>
      <c r="C272" t="str">
        <f>IFERROR(_xlfn.XLOOKUP(B272, Customer!A:A, Customer!B:B), "Unknown Customer")</f>
        <v>Reza Jafari</v>
      </c>
      <c r="D272" s="1">
        <v>45918</v>
      </c>
      <c r="E272" t="s">
        <v>20</v>
      </c>
      <c r="F272" t="s">
        <v>17</v>
      </c>
      <c r="G272">
        <v>1</v>
      </c>
      <c r="H272" t="s">
        <v>11</v>
      </c>
      <c r="I272" s="2">
        <v>45000</v>
      </c>
      <c r="J272" t="s">
        <v>15</v>
      </c>
      <c r="K272" s="3">
        <f t="shared" si="8"/>
        <v>45000</v>
      </c>
      <c r="L272" t="str">
        <f t="shared" si="9"/>
        <v>2025-09</v>
      </c>
    </row>
    <row r="273" spans="1:12" x14ac:dyDescent="0.25">
      <c r="A273">
        <v>1273</v>
      </c>
      <c r="B273">
        <v>15</v>
      </c>
      <c r="C273" t="str">
        <f>IFERROR(_xlfn.XLOOKUP(B273, Customer!A:A, Customer!B:B), "Unknown Customer")</f>
        <v>Milad Zare</v>
      </c>
      <c r="D273" s="1">
        <v>45913</v>
      </c>
      <c r="E273" t="s">
        <v>30</v>
      </c>
      <c r="F273" t="s">
        <v>14</v>
      </c>
      <c r="G273">
        <v>2</v>
      </c>
      <c r="H273" t="s">
        <v>11</v>
      </c>
      <c r="I273" s="2">
        <v>43000</v>
      </c>
      <c r="J273" t="s">
        <v>24</v>
      </c>
      <c r="K273" s="3">
        <f t="shared" si="8"/>
        <v>86000</v>
      </c>
      <c r="L273" t="str">
        <f t="shared" si="9"/>
        <v>2025-09</v>
      </c>
    </row>
    <row r="274" spans="1:12" x14ac:dyDescent="0.25">
      <c r="A274">
        <v>1274</v>
      </c>
      <c r="B274">
        <v>50</v>
      </c>
      <c r="C274" t="str">
        <f>IFERROR(_xlfn.XLOOKUP(B274, Customer!A:A, Customer!B:B), "Unknown Customer")</f>
        <v>Mona Naderi</v>
      </c>
      <c r="D274" s="1">
        <v>45873</v>
      </c>
      <c r="E274" t="s">
        <v>20</v>
      </c>
      <c r="F274" t="s">
        <v>17</v>
      </c>
      <c r="G274">
        <v>4</v>
      </c>
      <c r="H274" t="s">
        <v>11</v>
      </c>
      <c r="I274" s="2">
        <v>50000</v>
      </c>
      <c r="J274" t="s">
        <v>28</v>
      </c>
      <c r="K274" s="3">
        <f t="shared" si="8"/>
        <v>200000</v>
      </c>
      <c r="L274" t="str">
        <f t="shared" si="9"/>
        <v>2025-08</v>
      </c>
    </row>
    <row r="275" spans="1:12" x14ac:dyDescent="0.25">
      <c r="A275">
        <v>1275</v>
      </c>
      <c r="B275">
        <v>9</v>
      </c>
      <c r="C275" t="str">
        <f>IFERROR(_xlfn.XLOOKUP(B275, Customer!A:A, Customer!B:B), "Unknown Customer")</f>
        <v>Farhad Zare</v>
      </c>
      <c r="D275" s="1">
        <v>45792</v>
      </c>
      <c r="E275" t="s">
        <v>29</v>
      </c>
      <c r="F275" t="s">
        <v>14</v>
      </c>
      <c r="G275">
        <v>1</v>
      </c>
      <c r="H275" t="s">
        <v>11</v>
      </c>
      <c r="I275" s="2">
        <v>45000</v>
      </c>
      <c r="J275" t="s">
        <v>32</v>
      </c>
      <c r="K275" s="3">
        <f t="shared" si="8"/>
        <v>45000</v>
      </c>
      <c r="L275" t="str">
        <f t="shared" si="9"/>
        <v>2025-05</v>
      </c>
    </row>
    <row r="276" spans="1:12" x14ac:dyDescent="0.25">
      <c r="A276">
        <v>1276</v>
      </c>
      <c r="B276">
        <v>92</v>
      </c>
      <c r="C276" t="str">
        <f>IFERROR(_xlfn.XLOOKUP(B276, Customer!A:A, Customer!B:B), "Unknown Customer")</f>
        <v>Payam Zare</v>
      </c>
      <c r="D276" s="1">
        <v>45665</v>
      </c>
      <c r="E276" t="s">
        <v>23</v>
      </c>
      <c r="F276" t="s">
        <v>17</v>
      </c>
      <c r="G276">
        <v>1</v>
      </c>
      <c r="H276" t="s">
        <v>11</v>
      </c>
      <c r="I276" s="2">
        <v>90000</v>
      </c>
      <c r="J276" t="s">
        <v>21</v>
      </c>
      <c r="K276" s="3">
        <f t="shared" si="8"/>
        <v>90000</v>
      </c>
      <c r="L276" t="str">
        <f t="shared" si="9"/>
        <v>2025-01</v>
      </c>
    </row>
    <row r="277" spans="1:12" x14ac:dyDescent="0.25">
      <c r="A277">
        <v>1277</v>
      </c>
      <c r="B277">
        <v>11</v>
      </c>
      <c r="C277" t="str">
        <f>IFERROR(_xlfn.XLOOKUP(B277, Customer!A:A, Customer!B:B), "Unknown Customer")</f>
        <v>Leila Kazemi</v>
      </c>
      <c r="D277" s="1">
        <v>45698</v>
      </c>
      <c r="E277" t="s">
        <v>9</v>
      </c>
      <c r="F277" t="s">
        <v>10</v>
      </c>
      <c r="G277">
        <v>4</v>
      </c>
      <c r="H277" t="s">
        <v>11</v>
      </c>
      <c r="I277" s="2">
        <v>62000</v>
      </c>
      <c r="J277" t="s">
        <v>15</v>
      </c>
      <c r="K277" s="3">
        <f t="shared" si="8"/>
        <v>248000</v>
      </c>
      <c r="L277" t="str">
        <f t="shared" si="9"/>
        <v>2025-02</v>
      </c>
    </row>
    <row r="278" spans="1:12" x14ac:dyDescent="0.25">
      <c r="A278">
        <v>1278</v>
      </c>
      <c r="B278">
        <v>76</v>
      </c>
      <c r="C278" t="str">
        <f>IFERROR(_xlfn.XLOOKUP(B278, Customer!A:A, Customer!B:B), "Unknown Customer")</f>
        <v>Setareh Yousefi</v>
      </c>
      <c r="D278" s="1">
        <v>45990</v>
      </c>
      <c r="E278" t="s">
        <v>27</v>
      </c>
      <c r="F278" t="s">
        <v>14</v>
      </c>
      <c r="G278">
        <v>1</v>
      </c>
      <c r="H278" t="s">
        <v>11</v>
      </c>
      <c r="I278" s="2">
        <v>35000</v>
      </c>
      <c r="J278" t="s">
        <v>19</v>
      </c>
      <c r="K278" s="3">
        <f t="shared" si="8"/>
        <v>35000</v>
      </c>
      <c r="L278" t="str">
        <f t="shared" si="9"/>
        <v>2025-11</v>
      </c>
    </row>
    <row r="279" spans="1:12" x14ac:dyDescent="0.25">
      <c r="A279">
        <v>1279</v>
      </c>
      <c r="B279">
        <v>32</v>
      </c>
      <c r="C279" t="str">
        <f>IFERROR(_xlfn.XLOOKUP(B279, Customer!A:A, Customer!B:B), "Unknown Customer")</f>
        <v>Elham Karimi</v>
      </c>
      <c r="D279" s="1">
        <v>45969</v>
      </c>
      <c r="E279" t="s">
        <v>18</v>
      </c>
      <c r="F279" t="s">
        <v>14</v>
      </c>
      <c r="G279">
        <v>2</v>
      </c>
      <c r="H279" t="s">
        <v>11</v>
      </c>
      <c r="I279" s="2">
        <v>60000</v>
      </c>
      <c r="J279" t="s">
        <v>12</v>
      </c>
      <c r="K279" s="3">
        <f t="shared" si="8"/>
        <v>120000</v>
      </c>
      <c r="L279" t="str">
        <f t="shared" si="9"/>
        <v>2025-11</v>
      </c>
    </row>
    <row r="280" spans="1:12" x14ac:dyDescent="0.25">
      <c r="A280">
        <v>1280</v>
      </c>
      <c r="B280">
        <v>95</v>
      </c>
      <c r="C280" t="str">
        <f>IFERROR(_xlfn.XLOOKUP(B280, Customer!A:A, Customer!B:B), "Unknown Customer")</f>
        <v>Elham Norouzi</v>
      </c>
      <c r="D280" s="1">
        <v>45747</v>
      </c>
      <c r="E280" t="s">
        <v>27</v>
      </c>
      <c r="F280" t="s">
        <v>14</v>
      </c>
      <c r="G280">
        <v>3</v>
      </c>
      <c r="H280" t="s">
        <v>11</v>
      </c>
      <c r="I280" s="2">
        <v>35000</v>
      </c>
      <c r="J280" t="s">
        <v>24</v>
      </c>
      <c r="K280" s="3">
        <f t="shared" si="8"/>
        <v>105000</v>
      </c>
      <c r="L280" t="str">
        <f t="shared" si="9"/>
        <v>2025-03</v>
      </c>
    </row>
    <row r="281" spans="1:12" x14ac:dyDescent="0.25">
      <c r="A281">
        <v>1281</v>
      </c>
      <c r="B281">
        <v>64</v>
      </c>
      <c r="C281" t="str">
        <f>IFERROR(_xlfn.XLOOKUP(B281, Customer!A:A, Customer!B:B), "Unknown Customer")</f>
        <v>Milad Yousefi</v>
      </c>
      <c r="D281" s="1">
        <v>45925</v>
      </c>
      <c r="E281" t="s">
        <v>25</v>
      </c>
      <c r="F281" t="s">
        <v>10</v>
      </c>
      <c r="G281">
        <v>1</v>
      </c>
      <c r="H281" t="s">
        <v>11</v>
      </c>
      <c r="I281" s="2">
        <v>65000</v>
      </c>
      <c r="J281" t="s">
        <v>12</v>
      </c>
      <c r="K281" s="3">
        <f t="shared" si="8"/>
        <v>65000</v>
      </c>
      <c r="L281" t="str">
        <f t="shared" si="9"/>
        <v>2025-09</v>
      </c>
    </row>
    <row r="282" spans="1:12" x14ac:dyDescent="0.25">
      <c r="A282">
        <v>1282</v>
      </c>
      <c r="B282">
        <v>114</v>
      </c>
      <c r="C282" t="str">
        <f>IFERROR(_xlfn.XLOOKUP(B282, Customer!A:A, Customer!B:B), "Unknown Customer")</f>
        <v>Omid Fallahi</v>
      </c>
      <c r="D282" s="1">
        <v>45673</v>
      </c>
      <c r="E282" t="s">
        <v>18</v>
      </c>
      <c r="F282" t="s">
        <v>14</v>
      </c>
      <c r="G282">
        <v>1</v>
      </c>
      <c r="H282" t="s">
        <v>11</v>
      </c>
      <c r="I282" s="2">
        <v>60000</v>
      </c>
      <c r="J282" t="s">
        <v>12</v>
      </c>
      <c r="K282" s="3">
        <f t="shared" si="8"/>
        <v>60000</v>
      </c>
      <c r="L282" t="str">
        <f t="shared" si="9"/>
        <v>2025-01</v>
      </c>
    </row>
    <row r="283" spans="1:12" x14ac:dyDescent="0.25">
      <c r="A283">
        <v>1283</v>
      </c>
      <c r="B283">
        <v>78</v>
      </c>
      <c r="C283" t="str">
        <f>IFERROR(_xlfn.XLOOKUP(B283, Customer!A:A, Customer!B:B), "Unknown Customer")</f>
        <v>Elham Karimi</v>
      </c>
      <c r="D283" s="1">
        <v>45979</v>
      </c>
      <c r="E283" t="s">
        <v>20</v>
      </c>
      <c r="F283" t="s">
        <v>17</v>
      </c>
      <c r="G283">
        <v>2</v>
      </c>
      <c r="H283" t="s">
        <v>11</v>
      </c>
      <c r="I283" s="2">
        <v>55000</v>
      </c>
      <c r="J283" t="s">
        <v>15</v>
      </c>
      <c r="K283" s="3">
        <f t="shared" si="8"/>
        <v>110000</v>
      </c>
      <c r="L283" t="str">
        <f t="shared" si="9"/>
        <v>2025-11</v>
      </c>
    </row>
    <row r="284" spans="1:12" x14ac:dyDescent="0.25">
      <c r="A284">
        <v>1284</v>
      </c>
      <c r="B284">
        <v>110</v>
      </c>
      <c r="C284" t="str">
        <f>IFERROR(_xlfn.XLOOKUP(B284, Customer!A:A, Customer!B:B), "Unknown Customer")</f>
        <v>Parisa Mousavi</v>
      </c>
      <c r="D284" s="1">
        <v>45743</v>
      </c>
      <c r="E284" t="s">
        <v>20</v>
      </c>
      <c r="F284" t="s">
        <v>17</v>
      </c>
      <c r="G284">
        <v>1</v>
      </c>
      <c r="H284" t="s">
        <v>11</v>
      </c>
      <c r="I284" s="2">
        <v>45000</v>
      </c>
      <c r="J284" t="s">
        <v>24</v>
      </c>
      <c r="K284" s="3">
        <f t="shared" si="8"/>
        <v>45000</v>
      </c>
      <c r="L284" t="str">
        <f t="shared" si="9"/>
        <v>2025-03</v>
      </c>
    </row>
    <row r="285" spans="1:12" x14ac:dyDescent="0.25">
      <c r="A285">
        <v>1285</v>
      </c>
      <c r="B285">
        <v>95</v>
      </c>
      <c r="C285" t="str">
        <f>IFERROR(_xlfn.XLOOKUP(B285, Customer!A:A, Customer!B:B), "Unknown Customer")</f>
        <v>Elham Norouzi</v>
      </c>
      <c r="D285" s="1">
        <v>45659</v>
      </c>
      <c r="E285" t="s">
        <v>23</v>
      </c>
      <c r="F285" t="s">
        <v>17</v>
      </c>
      <c r="G285">
        <v>1</v>
      </c>
      <c r="H285" t="s">
        <v>11</v>
      </c>
      <c r="I285" s="2">
        <v>80000</v>
      </c>
      <c r="J285" t="s">
        <v>15</v>
      </c>
      <c r="K285" s="3">
        <f t="shared" si="8"/>
        <v>80000</v>
      </c>
      <c r="L285" t="str">
        <f t="shared" si="9"/>
        <v>2025-01</v>
      </c>
    </row>
    <row r="286" spans="1:12" x14ac:dyDescent="0.25">
      <c r="A286">
        <v>1286</v>
      </c>
      <c r="B286">
        <v>118</v>
      </c>
      <c r="C286" t="str">
        <f>IFERROR(_xlfn.XLOOKUP(B286, Customer!A:A, Customer!B:B), "Unknown Customer")</f>
        <v>Hamed Rezaei</v>
      </c>
      <c r="D286" s="1">
        <v>45692</v>
      </c>
      <c r="E286" t="s">
        <v>13</v>
      </c>
      <c r="F286" t="s">
        <v>14</v>
      </c>
      <c r="G286">
        <v>1</v>
      </c>
      <c r="H286" t="s">
        <v>11</v>
      </c>
      <c r="I286" s="2">
        <v>58000</v>
      </c>
      <c r="J286" t="s">
        <v>12</v>
      </c>
      <c r="K286" s="3">
        <f t="shared" si="8"/>
        <v>58000</v>
      </c>
      <c r="L286" t="str">
        <f t="shared" si="9"/>
        <v>2025-02</v>
      </c>
    </row>
    <row r="287" spans="1:12" x14ac:dyDescent="0.25">
      <c r="A287">
        <v>1287</v>
      </c>
      <c r="B287">
        <v>41</v>
      </c>
      <c r="C287" t="str">
        <f>IFERROR(_xlfn.XLOOKUP(B287, Customer!A:A, Customer!B:B), "Unknown Customer")</f>
        <v>Iman Yousefi</v>
      </c>
      <c r="D287" s="1">
        <v>45902</v>
      </c>
      <c r="E287" t="s">
        <v>9</v>
      </c>
      <c r="F287" t="s">
        <v>10</v>
      </c>
      <c r="G287">
        <v>1</v>
      </c>
      <c r="H287" t="s">
        <v>11</v>
      </c>
      <c r="I287" s="2">
        <v>67000</v>
      </c>
      <c r="J287" t="s">
        <v>24</v>
      </c>
      <c r="K287" s="3">
        <f t="shared" si="8"/>
        <v>67000</v>
      </c>
      <c r="L287" t="str">
        <f t="shared" si="9"/>
        <v>2025-09</v>
      </c>
    </row>
    <row r="288" spans="1:12" x14ac:dyDescent="0.25">
      <c r="A288">
        <v>1288</v>
      </c>
      <c r="B288">
        <v>29</v>
      </c>
      <c r="C288" t="str">
        <f>IFERROR(_xlfn.XLOOKUP(B288, Customer!A:A, Customer!B:B), "Unknown Customer")</f>
        <v>Leila Kazemi</v>
      </c>
      <c r="D288" s="1">
        <v>45681</v>
      </c>
      <c r="E288" t="s">
        <v>23</v>
      </c>
      <c r="F288" t="s">
        <v>17</v>
      </c>
      <c r="G288">
        <v>2</v>
      </c>
      <c r="H288" t="s">
        <v>11</v>
      </c>
      <c r="I288" s="2">
        <v>85000</v>
      </c>
      <c r="J288" t="s">
        <v>19</v>
      </c>
      <c r="K288" s="3">
        <f t="shared" si="8"/>
        <v>170000</v>
      </c>
      <c r="L288" t="str">
        <f t="shared" si="9"/>
        <v>2025-01</v>
      </c>
    </row>
    <row r="289" spans="1:12" x14ac:dyDescent="0.25">
      <c r="A289">
        <v>1289</v>
      </c>
      <c r="B289">
        <v>71</v>
      </c>
      <c r="C289" t="str">
        <f>IFERROR(_xlfn.XLOOKUP(B289, Customer!A:A, Customer!B:B), "Unknown Customer")</f>
        <v>Milad Mousavi</v>
      </c>
      <c r="D289" s="1">
        <v>45662</v>
      </c>
      <c r="E289" t="s">
        <v>16</v>
      </c>
      <c r="F289" t="s">
        <v>17</v>
      </c>
      <c r="G289">
        <v>1</v>
      </c>
      <c r="H289" t="s">
        <v>11</v>
      </c>
      <c r="I289" s="2">
        <v>80000</v>
      </c>
      <c r="J289" t="s">
        <v>15</v>
      </c>
      <c r="K289" s="3">
        <f t="shared" si="8"/>
        <v>80000</v>
      </c>
      <c r="L289" t="str">
        <f t="shared" si="9"/>
        <v>2025-01</v>
      </c>
    </row>
    <row r="290" spans="1:12" x14ac:dyDescent="0.25">
      <c r="A290">
        <v>1290</v>
      </c>
      <c r="B290">
        <v>48</v>
      </c>
      <c r="C290" t="str">
        <f>IFERROR(_xlfn.XLOOKUP(B290, Customer!A:A, Customer!B:B), "Unknown Customer")</f>
        <v>Hamed Jafari</v>
      </c>
      <c r="D290" s="1">
        <v>45910</v>
      </c>
      <c r="E290" t="s">
        <v>20</v>
      </c>
      <c r="F290" t="s">
        <v>17</v>
      </c>
      <c r="G290">
        <v>1</v>
      </c>
      <c r="H290" t="s">
        <v>11</v>
      </c>
      <c r="I290" s="2">
        <v>45000</v>
      </c>
      <c r="J290" t="s">
        <v>24</v>
      </c>
      <c r="K290" s="3">
        <f t="shared" si="8"/>
        <v>45000</v>
      </c>
      <c r="L290" t="str">
        <f t="shared" si="9"/>
        <v>2025-09</v>
      </c>
    </row>
    <row r="291" spans="1:12" x14ac:dyDescent="0.25">
      <c r="A291">
        <v>1291</v>
      </c>
      <c r="B291">
        <v>70</v>
      </c>
      <c r="C291" t="str">
        <f>IFERROR(_xlfn.XLOOKUP(B291, Customer!A:A, Customer!B:B), "Unknown Customer")</f>
        <v>Iman Naderi</v>
      </c>
      <c r="D291" s="1">
        <v>45983</v>
      </c>
      <c r="E291" t="s">
        <v>25</v>
      </c>
      <c r="F291" t="s">
        <v>10</v>
      </c>
      <c r="G291">
        <v>1</v>
      </c>
      <c r="H291" t="s">
        <v>11</v>
      </c>
      <c r="I291" s="2">
        <v>60000</v>
      </c>
      <c r="J291" t="s">
        <v>12</v>
      </c>
      <c r="K291" s="3">
        <f t="shared" si="8"/>
        <v>60000</v>
      </c>
      <c r="L291" t="str">
        <f t="shared" si="9"/>
        <v>2025-11</v>
      </c>
    </row>
    <row r="292" spans="1:12" x14ac:dyDescent="0.25">
      <c r="A292">
        <v>1292</v>
      </c>
      <c r="B292">
        <v>94</v>
      </c>
      <c r="C292" t="str">
        <f>IFERROR(_xlfn.XLOOKUP(B292, Customer!A:A, Customer!B:B), "Unknown Customer")</f>
        <v>Hamed Fallahi</v>
      </c>
      <c r="D292" s="1">
        <v>45711</v>
      </c>
      <c r="E292" t="s">
        <v>9</v>
      </c>
      <c r="F292" t="s">
        <v>10</v>
      </c>
      <c r="G292">
        <v>2</v>
      </c>
      <c r="H292" t="s">
        <v>11</v>
      </c>
      <c r="I292" s="2">
        <v>62000</v>
      </c>
      <c r="J292" t="s">
        <v>12</v>
      </c>
      <c r="K292" s="3">
        <f t="shared" si="8"/>
        <v>124000</v>
      </c>
      <c r="L292" t="str">
        <f t="shared" si="9"/>
        <v>2025-02</v>
      </c>
    </row>
    <row r="293" spans="1:12" x14ac:dyDescent="0.25">
      <c r="A293">
        <v>1293</v>
      </c>
      <c r="B293">
        <v>36</v>
      </c>
      <c r="C293" t="str">
        <f>IFERROR(_xlfn.XLOOKUP(B293, Customer!A:A, Customer!B:B), "Unknown Customer")</f>
        <v>Payam Rezaei</v>
      </c>
      <c r="D293" s="1">
        <v>45680</v>
      </c>
      <c r="E293" t="s">
        <v>18</v>
      </c>
      <c r="F293" t="s">
        <v>14</v>
      </c>
      <c r="G293">
        <v>3</v>
      </c>
      <c r="H293" t="s">
        <v>11</v>
      </c>
      <c r="I293" s="2">
        <v>55000</v>
      </c>
      <c r="J293" t="s">
        <v>28</v>
      </c>
      <c r="K293" s="3">
        <f t="shared" si="8"/>
        <v>165000</v>
      </c>
      <c r="L293" t="str">
        <f t="shared" si="9"/>
        <v>2025-01</v>
      </c>
    </row>
    <row r="294" spans="1:12" x14ac:dyDescent="0.25">
      <c r="A294">
        <v>1294</v>
      </c>
      <c r="B294">
        <v>13</v>
      </c>
      <c r="C294" t="str">
        <f>IFERROR(_xlfn.XLOOKUP(B294, Customer!A:A, Customer!B:B), "Unknown Customer")</f>
        <v>Milad Naderi</v>
      </c>
      <c r="D294" s="1">
        <v>45933</v>
      </c>
      <c r="E294" t="s">
        <v>23</v>
      </c>
      <c r="F294" t="s">
        <v>17</v>
      </c>
      <c r="G294">
        <v>1</v>
      </c>
      <c r="H294" t="s">
        <v>11</v>
      </c>
      <c r="I294" s="2">
        <v>90000</v>
      </c>
      <c r="J294" t="s">
        <v>15</v>
      </c>
      <c r="K294" s="3">
        <f t="shared" si="8"/>
        <v>90000</v>
      </c>
      <c r="L294" t="str">
        <f t="shared" si="9"/>
        <v>2025-10</v>
      </c>
    </row>
    <row r="295" spans="1:12" x14ac:dyDescent="0.25">
      <c r="A295">
        <v>1295</v>
      </c>
      <c r="B295">
        <v>85</v>
      </c>
      <c r="C295" t="str">
        <f>IFERROR(_xlfn.XLOOKUP(B295, Customer!A:A, Customer!B:B), "Unknown Customer")</f>
        <v>Sepideh Yousefi</v>
      </c>
      <c r="D295" s="1">
        <v>45693</v>
      </c>
      <c r="E295" t="s">
        <v>13</v>
      </c>
      <c r="F295" t="s">
        <v>14</v>
      </c>
      <c r="G295">
        <v>4</v>
      </c>
      <c r="H295" t="s">
        <v>11</v>
      </c>
      <c r="I295" s="2">
        <v>58000</v>
      </c>
      <c r="J295" t="s">
        <v>21</v>
      </c>
      <c r="K295" s="3">
        <f t="shared" si="8"/>
        <v>232000</v>
      </c>
      <c r="L295" t="str">
        <f t="shared" si="9"/>
        <v>2025-02</v>
      </c>
    </row>
    <row r="296" spans="1:12" x14ac:dyDescent="0.25">
      <c r="A296">
        <v>1296</v>
      </c>
      <c r="B296">
        <v>58</v>
      </c>
      <c r="C296" t="str">
        <f>IFERROR(_xlfn.XLOOKUP(B296, Customer!A:A, Customer!B:B), "Unknown Customer")</f>
        <v>Mona Moradi</v>
      </c>
      <c r="D296" s="1">
        <v>45777</v>
      </c>
      <c r="E296" t="s">
        <v>9</v>
      </c>
      <c r="F296" t="s">
        <v>10</v>
      </c>
      <c r="G296">
        <v>1</v>
      </c>
      <c r="H296" t="s">
        <v>11</v>
      </c>
      <c r="I296" s="2">
        <v>67000</v>
      </c>
      <c r="J296" t="s">
        <v>19</v>
      </c>
      <c r="K296" s="3">
        <f t="shared" si="8"/>
        <v>67000</v>
      </c>
      <c r="L296" t="str">
        <f t="shared" si="9"/>
        <v>2025-04</v>
      </c>
    </row>
    <row r="297" spans="1:12" x14ac:dyDescent="0.25">
      <c r="A297">
        <v>1297</v>
      </c>
      <c r="B297">
        <v>22</v>
      </c>
      <c r="C297" t="str">
        <f>IFERROR(_xlfn.XLOOKUP(B297, Customer!A:A, Customer!B:B), "Unknown Customer")</f>
        <v>Amir Yousefi</v>
      </c>
      <c r="D297" s="1">
        <v>45896</v>
      </c>
      <c r="E297" t="s">
        <v>16</v>
      </c>
      <c r="F297" t="s">
        <v>17</v>
      </c>
      <c r="G297">
        <v>1</v>
      </c>
      <c r="H297" t="s">
        <v>11</v>
      </c>
      <c r="I297" s="2">
        <v>80000</v>
      </c>
      <c r="J297" t="s">
        <v>15</v>
      </c>
      <c r="K297" s="3">
        <f t="shared" si="8"/>
        <v>80000</v>
      </c>
      <c r="L297" t="str">
        <f t="shared" si="9"/>
        <v>2025-08</v>
      </c>
    </row>
    <row r="298" spans="1:12" x14ac:dyDescent="0.25">
      <c r="A298">
        <v>1298</v>
      </c>
      <c r="B298">
        <v>40</v>
      </c>
      <c r="C298" t="str">
        <f>IFERROR(_xlfn.XLOOKUP(B298, Customer!A:A, Customer!B:B), "Unknown Customer")</f>
        <v>Nazanin Hosseini</v>
      </c>
      <c r="D298" s="1">
        <v>45793</v>
      </c>
      <c r="E298" t="s">
        <v>16</v>
      </c>
      <c r="F298" t="s">
        <v>17</v>
      </c>
      <c r="G298">
        <v>1</v>
      </c>
      <c r="H298" t="s">
        <v>11</v>
      </c>
      <c r="I298" s="2">
        <v>75000</v>
      </c>
      <c r="J298" t="s">
        <v>24</v>
      </c>
      <c r="K298" s="3">
        <f t="shared" si="8"/>
        <v>75000</v>
      </c>
      <c r="L298" t="str">
        <f t="shared" si="9"/>
        <v>2025-05</v>
      </c>
    </row>
    <row r="299" spans="1:12" x14ac:dyDescent="0.25">
      <c r="A299">
        <v>1299</v>
      </c>
      <c r="B299">
        <v>107</v>
      </c>
      <c r="C299" t="str">
        <f>IFERROR(_xlfn.XLOOKUP(B299, Customer!A:A, Customer!B:B), "Unknown Customer")</f>
        <v>Mona Abbasi</v>
      </c>
      <c r="D299" s="1">
        <v>45733</v>
      </c>
      <c r="E299" t="s">
        <v>25</v>
      </c>
      <c r="F299" t="s">
        <v>10</v>
      </c>
      <c r="G299">
        <v>1</v>
      </c>
      <c r="H299" t="s">
        <v>11</v>
      </c>
      <c r="I299" s="2">
        <v>65000</v>
      </c>
      <c r="J299" t="s">
        <v>12</v>
      </c>
      <c r="K299" s="3">
        <f t="shared" si="8"/>
        <v>65000</v>
      </c>
      <c r="L299" t="str">
        <f t="shared" si="9"/>
        <v>2025-03</v>
      </c>
    </row>
    <row r="300" spans="1:12" x14ac:dyDescent="0.25">
      <c r="A300">
        <v>1300</v>
      </c>
      <c r="B300">
        <v>39</v>
      </c>
      <c r="C300" t="str">
        <f>IFERROR(_xlfn.XLOOKUP(B300, Customer!A:A, Customer!B:B), "Unknown Customer")</f>
        <v>Mona Ghasemi</v>
      </c>
      <c r="D300" s="1">
        <v>45747</v>
      </c>
      <c r="E300" t="s">
        <v>9</v>
      </c>
      <c r="F300" t="s">
        <v>10</v>
      </c>
      <c r="G300">
        <v>-4</v>
      </c>
      <c r="H300" t="s">
        <v>26</v>
      </c>
      <c r="I300" s="2">
        <v>62000</v>
      </c>
      <c r="J300" t="s">
        <v>19</v>
      </c>
      <c r="K300" s="3">
        <f t="shared" si="8"/>
        <v>-248000</v>
      </c>
      <c r="L300" t="str">
        <f t="shared" si="9"/>
        <v>2025-03</v>
      </c>
    </row>
    <row r="301" spans="1:12" x14ac:dyDescent="0.25">
      <c r="A301">
        <v>1301</v>
      </c>
      <c r="B301">
        <v>60</v>
      </c>
      <c r="C301" t="str">
        <f>IFERROR(_xlfn.XLOOKUP(B301, Customer!A:A, Customer!B:B), "Unknown Customer")</f>
        <v>Sina Ghasemi</v>
      </c>
      <c r="D301" s="1">
        <v>45729</v>
      </c>
      <c r="E301" t="s">
        <v>18</v>
      </c>
      <c r="F301" t="s">
        <v>14</v>
      </c>
      <c r="G301">
        <v>1</v>
      </c>
      <c r="H301" t="s">
        <v>11</v>
      </c>
      <c r="I301" s="2">
        <v>55000</v>
      </c>
      <c r="J301" t="s">
        <v>15</v>
      </c>
      <c r="K301" s="3">
        <f t="shared" si="8"/>
        <v>55000</v>
      </c>
      <c r="L301" t="str">
        <f t="shared" si="9"/>
        <v>2025-03</v>
      </c>
    </row>
    <row r="302" spans="1:12" x14ac:dyDescent="0.25">
      <c r="A302">
        <v>1302</v>
      </c>
      <c r="B302">
        <v>48</v>
      </c>
      <c r="C302" t="str">
        <f>IFERROR(_xlfn.XLOOKUP(B302, Customer!A:A, Customer!B:B), "Unknown Customer")</f>
        <v>Hamed Jafari</v>
      </c>
      <c r="D302" s="1">
        <v>45980</v>
      </c>
      <c r="E302" t="s">
        <v>27</v>
      </c>
      <c r="F302" t="s">
        <v>14</v>
      </c>
      <c r="G302">
        <v>2</v>
      </c>
      <c r="H302" t="s">
        <v>11</v>
      </c>
      <c r="I302" s="2">
        <v>40000</v>
      </c>
      <c r="J302" t="s">
        <v>19</v>
      </c>
      <c r="K302" s="3">
        <f t="shared" si="8"/>
        <v>80000</v>
      </c>
      <c r="L302" t="str">
        <f t="shared" si="9"/>
        <v>2025-11</v>
      </c>
    </row>
    <row r="303" spans="1:12" x14ac:dyDescent="0.25">
      <c r="A303">
        <v>1303</v>
      </c>
      <c r="B303">
        <v>9</v>
      </c>
      <c r="C303" t="str">
        <f>IFERROR(_xlfn.XLOOKUP(B303, Customer!A:A, Customer!B:B), "Unknown Customer")</f>
        <v>Farhad Zare</v>
      </c>
      <c r="D303" s="1">
        <v>45988</v>
      </c>
      <c r="E303" t="s">
        <v>30</v>
      </c>
      <c r="F303" t="s">
        <v>14</v>
      </c>
      <c r="G303">
        <v>1</v>
      </c>
      <c r="H303" t="s">
        <v>11</v>
      </c>
      <c r="I303" s="2">
        <v>48000</v>
      </c>
      <c r="J303" t="s">
        <v>15</v>
      </c>
      <c r="K303" s="3">
        <f t="shared" si="8"/>
        <v>48000</v>
      </c>
      <c r="L303" t="str">
        <f t="shared" si="9"/>
        <v>2025-11</v>
      </c>
    </row>
    <row r="304" spans="1:12" x14ac:dyDescent="0.25">
      <c r="A304">
        <v>1304</v>
      </c>
      <c r="B304">
        <v>7</v>
      </c>
      <c r="C304" t="str">
        <f>IFERROR(_xlfn.XLOOKUP(B304, Customer!A:A, Customer!B:B), "Unknown Customer")</f>
        <v>Farhad Vakili</v>
      </c>
      <c r="D304" s="1">
        <v>45951</v>
      </c>
      <c r="E304" t="s">
        <v>13</v>
      </c>
      <c r="F304" t="s">
        <v>14</v>
      </c>
      <c r="G304">
        <v>2</v>
      </c>
      <c r="H304" t="s">
        <v>11</v>
      </c>
      <c r="I304" s="2">
        <v>53000</v>
      </c>
      <c r="J304" t="s">
        <v>24</v>
      </c>
      <c r="K304" s="3">
        <f t="shared" si="8"/>
        <v>106000</v>
      </c>
      <c r="L304" t="str">
        <f t="shared" si="9"/>
        <v>2025-10</v>
      </c>
    </row>
    <row r="305" spans="1:12" x14ac:dyDescent="0.25">
      <c r="A305">
        <v>1305</v>
      </c>
      <c r="B305">
        <v>46</v>
      </c>
      <c r="C305" t="str">
        <f>IFERROR(_xlfn.XLOOKUP(B305, Customer!A:A, Customer!B:B), "Unknown Customer")</f>
        <v>Mahsa Ghasemi</v>
      </c>
      <c r="D305" s="1">
        <v>45812</v>
      </c>
      <c r="E305" t="s">
        <v>30</v>
      </c>
      <c r="F305" t="s">
        <v>14</v>
      </c>
      <c r="G305">
        <v>2</v>
      </c>
      <c r="H305" t="s">
        <v>11</v>
      </c>
      <c r="I305" s="2">
        <v>48000</v>
      </c>
      <c r="J305" t="s">
        <v>12</v>
      </c>
      <c r="K305" s="3">
        <f t="shared" si="8"/>
        <v>96000</v>
      </c>
      <c r="L305" t="str">
        <f t="shared" si="9"/>
        <v>2025-06</v>
      </c>
    </row>
    <row r="306" spans="1:12" x14ac:dyDescent="0.25">
      <c r="A306">
        <v>1306</v>
      </c>
      <c r="B306">
        <v>38</v>
      </c>
      <c r="C306" t="str">
        <f>IFERROR(_xlfn.XLOOKUP(B306, Customer!A:A, Customer!B:B), "Unknown Customer")</f>
        <v>Setareh Naderi</v>
      </c>
      <c r="D306" s="1">
        <v>45868</v>
      </c>
      <c r="E306" t="s">
        <v>16</v>
      </c>
      <c r="F306" t="s">
        <v>17</v>
      </c>
      <c r="G306">
        <v>1</v>
      </c>
      <c r="H306" t="s">
        <v>11</v>
      </c>
      <c r="I306" s="2">
        <v>70000</v>
      </c>
      <c r="J306" t="s">
        <v>24</v>
      </c>
      <c r="K306" s="3">
        <f t="shared" si="8"/>
        <v>70000</v>
      </c>
      <c r="L306" t="str">
        <f t="shared" si="9"/>
        <v>2025-07</v>
      </c>
    </row>
    <row r="307" spans="1:12" x14ac:dyDescent="0.25">
      <c r="A307">
        <v>1307</v>
      </c>
      <c r="B307">
        <v>54</v>
      </c>
      <c r="C307" t="str">
        <f>IFERROR(_xlfn.XLOOKUP(B307, Customer!A:A, Customer!B:B), "Unknown Customer")</f>
        <v>Parisa Rostami</v>
      </c>
      <c r="D307" s="1">
        <v>45987</v>
      </c>
      <c r="E307" t="s">
        <v>30</v>
      </c>
      <c r="F307" t="s">
        <v>14</v>
      </c>
      <c r="G307">
        <v>3</v>
      </c>
      <c r="H307" t="s">
        <v>11</v>
      </c>
      <c r="I307" s="2">
        <v>53000</v>
      </c>
      <c r="J307" t="s">
        <v>12</v>
      </c>
      <c r="K307" s="3">
        <f t="shared" si="8"/>
        <v>159000</v>
      </c>
      <c r="L307" t="str">
        <f t="shared" si="9"/>
        <v>2025-11</v>
      </c>
    </row>
    <row r="308" spans="1:12" x14ac:dyDescent="0.25">
      <c r="A308">
        <v>1308</v>
      </c>
      <c r="B308">
        <v>46</v>
      </c>
      <c r="C308" t="str">
        <f>IFERROR(_xlfn.XLOOKUP(B308, Customer!A:A, Customer!B:B), "Unknown Customer")</f>
        <v>Mahsa Ghasemi</v>
      </c>
      <c r="D308" s="1">
        <v>45818</v>
      </c>
      <c r="E308" t="s">
        <v>16</v>
      </c>
      <c r="F308" t="s">
        <v>17</v>
      </c>
      <c r="G308">
        <v>2</v>
      </c>
      <c r="H308" t="s">
        <v>11</v>
      </c>
      <c r="I308" s="2">
        <v>80000</v>
      </c>
      <c r="J308" t="s">
        <v>32</v>
      </c>
      <c r="K308" s="3">
        <f t="shared" si="8"/>
        <v>160000</v>
      </c>
      <c r="L308" t="str">
        <f t="shared" si="9"/>
        <v>2025-06</v>
      </c>
    </row>
    <row r="309" spans="1:12" x14ac:dyDescent="0.25">
      <c r="A309">
        <v>1309</v>
      </c>
      <c r="B309">
        <v>24</v>
      </c>
      <c r="C309" t="str">
        <f>IFERROR(_xlfn.XLOOKUP(B309, Customer!A:A, Customer!B:B), "Unknown Customer")</f>
        <v>Farhad Sadeghi</v>
      </c>
      <c r="D309" s="1">
        <v>45821</v>
      </c>
      <c r="E309" t="s">
        <v>29</v>
      </c>
      <c r="F309" t="s">
        <v>14</v>
      </c>
      <c r="G309">
        <v>1</v>
      </c>
      <c r="H309" t="s">
        <v>11</v>
      </c>
      <c r="I309" s="2">
        <v>45000</v>
      </c>
      <c r="J309" t="s">
        <v>28</v>
      </c>
      <c r="K309" s="3">
        <f t="shared" si="8"/>
        <v>45000</v>
      </c>
      <c r="L309" t="str">
        <f t="shared" si="9"/>
        <v>2025-06</v>
      </c>
    </row>
    <row r="310" spans="1:12" x14ac:dyDescent="0.25">
      <c r="A310">
        <v>1310</v>
      </c>
      <c r="B310">
        <v>46</v>
      </c>
      <c r="C310" t="str">
        <f>IFERROR(_xlfn.XLOOKUP(B310, Customer!A:A, Customer!B:B), "Unknown Customer")</f>
        <v>Mahsa Ghasemi</v>
      </c>
      <c r="D310" s="1">
        <v>45777</v>
      </c>
      <c r="E310" t="s">
        <v>20</v>
      </c>
      <c r="F310" t="s">
        <v>17</v>
      </c>
      <c r="G310">
        <v>1</v>
      </c>
      <c r="H310" t="s">
        <v>11</v>
      </c>
      <c r="I310" s="2">
        <v>50000</v>
      </c>
      <c r="J310" t="s">
        <v>32</v>
      </c>
      <c r="K310" s="3">
        <f t="shared" si="8"/>
        <v>50000</v>
      </c>
      <c r="L310" t="str">
        <f t="shared" si="9"/>
        <v>2025-04</v>
      </c>
    </row>
    <row r="311" spans="1:12" x14ac:dyDescent="0.25">
      <c r="A311">
        <v>1311</v>
      </c>
      <c r="B311">
        <v>74</v>
      </c>
      <c r="C311" t="str">
        <f>IFERROR(_xlfn.XLOOKUP(B311, Customer!A:A, Customer!B:B), "Unknown Customer")</f>
        <v>Amir Vakili</v>
      </c>
      <c r="D311" s="1">
        <v>45839</v>
      </c>
      <c r="E311" t="s">
        <v>31</v>
      </c>
      <c r="F311" t="s">
        <v>17</v>
      </c>
      <c r="G311">
        <v>1</v>
      </c>
      <c r="H311" t="s">
        <v>11</v>
      </c>
      <c r="I311" s="2">
        <v>45000</v>
      </c>
      <c r="J311" t="s">
        <v>28</v>
      </c>
      <c r="K311" s="3">
        <f t="shared" si="8"/>
        <v>45000</v>
      </c>
      <c r="L311" t="str">
        <f t="shared" si="9"/>
        <v>2025-07</v>
      </c>
    </row>
    <row r="312" spans="1:12" x14ac:dyDescent="0.25">
      <c r="A312">
        <v>1312</v>
      </c>
      <c r="B312">
        <v>4</v>
      </c>
      <c r="C312" t="str">
        <f>IFERROR(_xlfn.XLOOKUP(B312, Customer!A:A, Customer!B:B), "Unknown Customer")</f>
        <v>Kaveh Salehi</v>
      </c>
      <c r="D312" s="1">
        <v>46016</v>
      </c>
      <c r="E312" t="s">
        <v>22</v>
      </c>
      <c r="F312" t="s">
        <v>14</v>
      </c>
      <c r="G312">
        <v>2</v>
      </c>
      <c r="H312" t="s">
        <v>11</v>
      </c>
      <c r="I312" s="2">
        <v>60000</v>
      </c>
      <c r="J312" t="s">
        <v>24</v>
      </c>
      <c r="K312" s="3">
        <f t="shared" si="8"/>
        <v>120000</v>
      </c>
      <c r="L312" t="str">
        <f t="shared" si="9"/>
        <v>2025-12</v>
      </c>
    </row>
    <row r="313" spans="1:12" x14ac:dyDescent="0.25">
      <c r="A313">
        <v>1313</v>
      </c>
      <c r="B313">
        <v>63</v>
      </c>
      <c r="C313" t="str">
        <f>IFERROR(_xlfn.XLOOKUP(B313, Customer!A:A, Customer!B:B), "Unknown Customer")</f>
        <v>Golnaz Rezaei</v>
      </c>
      <c r="D313" s="1">
        <v>45704</v>
      </c>
      <c r="E313" t="s">
        <v>29</v>
      </c>
      <c r="F313" t="s">
        <v>14</v>
      </c>
      <c r="G313">
        <v>2</v>
      </c>
      <c r="H313" t="s">
        <v>11</v>
      </c>
      <c r="I313" s="2">
        <v>45000</v>
      </c>
      <c r="J313" t="s">
        <v>19</v>
      </c>
      <c r="K313" s="3">
        <f t="shared" si="8"/>
        <v>90000</v>
      </c>
      <c r="L313" t="str">
        <f t="shared" si="9"/>
        <v>2025-02</v>
      </c>
    </row>
    <row r="314" spans="1:12" x14ac:dyDescent="0.25">
      <c r="A314">
        <v>1314</v>
      </c>
      <c r="B314">
        <v>43</v>
      </c>
      <c r="C314" t="str">
        <f>IFERROR(_xlfn.XLOOKUP(B314, Customer!A:A, Customer!B:B), "Unknown Customer")</f>
        <v>Ali Mousavi</v>
      </c>
      <c r="D314" s="1">
        <v>45761</v>
      </c>
      <c r="E314" t="s">
        <v>20</v>
      </c>
      <c r="F314" t="s">
        <v>17</v>
      </c>
      <c r="G314">
        <v>3</v>
      </c>
      <c r="H314" t="s">
        <v>11</v>
      </c>
      <c r="I314" s="2">
        <v>50000</v>
      </c>
      <c r="J314" t="s">
        <v>19</v>
      </c>
      <c r="K314" s="3">
        <f t="shared" si="8"/>
        <v>150000</v>
      </c>
      <c r="L314" t="str">
        <f t="shared" si="9"/>
        <v>2025-04</v>
      </c>
    </row>
    <row r="315" spans="1:12" x14ac:dyDescent="0.25">
      <c r="A315">
        <v>1315</v>
      </c>
      <c r="B315">
        <v>19</v>
      </c>
      <c r="C315" t="str">
        <f>IFERROR(_xlfn.XLOOKUP(B315, Customer!A:A, Customer!B:B), "Unknown Customer")</f>
        <v>Leila Sadeghi</v>
      </c>
      <c r="D315" s="1">
        <v>46018</v>
      </c>
      <c r="E315" t="s">
        <v>20</v>
      </c>
      <c r="F315" t="s">
        <v>17</v>
      </c>
      <c r="G315">
        <v>4</v>
      </c>
      <c r="H315" t="s">
        <v>11</v>
      </c>
      <c r="I315" s="2">
        <v>55000</v>
      </c>
      <c r="J315" t="s">
        <v>21</v>
      </c>
      <c r="K315" s="3">
        <f t="shared" si="8"/>
        <v>220000</v>
      </c>
      <c r="L315" t="str">
        <f t="shared" si="9"/>
        <v>2025-12</v>
      </c>
    </row>
    <row r="316" spans="1:12" x14ac:dyDescent="0.25">
      <c r="A316">
        <v>1316</v>
      </c>
      <c r="B316">
        <v>91</v>
      </c>
      <c r="C316" t="str">
        <f>IFERROR(_xlfn.XLOOKUP(B316, Customer!A:A, Customer!B:B), "Unknown Customer")</f>
        <v>Ali Ebrahimi</v>
      </c>
      <c r="D316" s="1">
        <v>45860</v>
      </c>
      <c r="E316" t="s">
        <v>27</v>
      </c>
      <c r="F316" t="s">
        <v>14</v>
      </c>
      <c r="G316">
        <v>1</v>
      </c>
      <c r="H316" t="s">
        <v>11</v>
      </c>
      <c r="I316" s="2">
        <v>35000</v>
      </c>
      <c r="J316" t="s">
        <v>24</v>
      </c>
      <c r="K316" s="3">
        <f t="shared" si="8"/>
        <v>35000</v>
      </c>
      <c r="L316" t="str">
        <f t="shared" si="9"/>
        <v>2025-07</v>
      </c>
    </row>
    <row r="317" spans="1:12" x14ac:dyDescent="0.25">
      <c r="A317">
        <v>1317</v>
      </c>
      <c r="B317">
        <v>94</v>
      </c>
      <c r="C317" t="str">
        <f>IFERROR(_xlfn.XLOOKUP(B317, Customer!A:A, Customer!B:B), "Unknown Customer")</f>
        <v>Hamed Fallahi</v>
      </c>
      <c r="D317" s="1">
        <v>45985</v>
      </c>
      <c r="E317" t="s">
        <v>31</v>
      </c>
      <c r="F317" t="s">
        <v>17</v>
      </c>
      <c r="G317">
        <v>1</v>
      </c>
      <c r="H317" t="s">
        <v>11</v>
      </c>
      <c r="I317" s="2">
        <v>45000</v>
      </c>
      <c r="J317" t="s">
        <v>24</v>
      </c>
      <c r="K317" s="3">
        <f t="shared" si="8"/>
        <v>45000</v>
      </c>
      <c r="L317" t="str">
        <f t="shared" si="9"/>
        <v>2025-11</v>
      </c>
    </row>
    <row r="318" spans="1:12" x14ac:dyDescent="0.25">
      <c r="A318">
        <v>1318</v>
      </c>
      <c r="B318">
        <v>86</v>
      </c>
      <c r="C318" t="str">
        <f>IFERROR(_xlfn.XLOOKUP(B318, Customer!A:A, Customer!B:B), "Unknown Customer")</f>
        <v>Payam Fallahi</v>
      </c>
      <c r="D318" s="1">
        <v>45747</v>
      </c>
      <c r="E318" t="s">
        <v>20</v>
      </c>
      <c r="F318" t="s">
        <v>17</v>
      </c>
      <c r="G318">
        <v>3</v>
      </c>
      <c r="H318" t="s">
        <v>11</v>
      </c>
      <c r="I318" s="2">
        <v>50000</v>
      </c>
      <c r="J318" t="s">
        <v>12</v>
      </c>
      <c r="K318" s="3">
        <f t="shared" si="8"/>
        <v>150000</v>
      </c>
      <c r="L318" t="str">
        <f t="shared" si="9"/>
        <v>2025-03</v>
      </c>
    </row>
    <row r="319" spans="1:12" x14ac:dyDescent="0.25">
      <c r="A319">
        <v>1319</v>
      </c>
      <c r="B319">
        <v>1</v>
      </c>
      <c r="C319" t="str">
        <f>IFERROR(_xlfn.XLOOKUP(B319, Customer!A:A, Customer!B:B), "Unknown Customer")</f>
        <v>Leila Rezaei</v>
      </c>
      <c r="D319" s="1">
        <v>45951</v>
      </c>
      <c r="E319" t="s">
        <v>22</v>
      </c>
      <c r="F319" t="s">
        <v>14</v>
      </c>
      <c r="G319">
        <v>1</v>
      </c>
      <c r="H319" t="s">
        <v>11</v>
      </c>
      <c r="I319" s="2">
        <v>65000</v>
      </c>
      <c r="J319" t="s">
        <v>12</v>
      </c>
      <c r="K319" s="3">
        <f t="shared" si="8"/>
        <v>65000</v>
      </c>
      <c r="L319" t="str">
        <f t="shared" si="9"/>
        <v>2025-10</v>
      </c>
    </row>
    <row r="320" spans="1:12" x14ac:dyDescent="0.25">
      <c r="A320">
        <v>1320</v>
      </c>
      <c r="B320">
        <v>73</v>
      </c>
      <c r="C320" t="str">
        <f>IFERROR(_xlfn.XLOOKUP(B320, Customer!A:A, Customer!B:B), "Unknown Customer")</f>
        <v>Niloofar Ebrahimi</v>
      </c>
      <c r="D320" s="1">
        <v>46000</v>
      </c>
      <c r="E320" t="s">
        <v>18</v>
      </c>
      <c r="F320" t="s">
        <v>14</v>
      </c>
      <c r="G320">
        <v>3</v>
      </c>
      <c r="H320" t="s">
        <v>11</v>
      </c>
      <c r="I320" s="2">
        <v>50000</v>
      </c>
      <c r="J320" t="s">
        <v>21</v>
      </c>
      <c r="K320" s="3">
        <f t="shared" si="8"/>
        <v>150000</v>
      </c>
      <c r="L320" t="str">
        <f t="shared" si="9"/>
        <v>2025-12</v>
      </c>
    </row>
    <row r="321" spans="1:12" x14ac:dyDescent="0.25">
      <c r="A321">
        <v>1321</v>
      </c>
      <c r="B321">
        <v>22</v>
      </c>
      <c r="C321" t="str">
        <f>IFERROR(_xlfn.XLOOKUP(B321, Customer!A:A, Customer!B:B), "Unknown Customer")</f>
        <v>Amir Yousefi</v>
      </c>
      <c r="D321" s="1">
        <v>45703</v>
      </c>
      <c r="E321" t="s">
        <v>27</v>
      </c>
      <c r="F321" t="s">
        <v>14</v>
      </c>
      <c r="G321">
        <v>2</v>
      </c>
      <c r="H321" t="s">
        <v>11</v>
      </c>
      <c r="I321" s="2">
        <v>30000</v>
      </c>
      <c r="J321" t="s">
        <v>24</v>
      </c>
      <c r="K321" s="3">
        <f t="shared" si="8"/>
        <v>60000</v>
      </c>
      <c r="L321" t="str">
        <f t="shared" si="9"/>
        <v>2025-02</v>
      </c>
    </row>
    <row r="322" spans="1:12" x14ac:dyDescent="0.25">
      <c r="A322">
        <v>1322</v>
      </c>
      <c r="B322">
        <v>89</v>
      </c>
      <c r="C322" t="str">
        <f>IFERROR(_xlfn.XLOOKUP(B322, Customer!A:A, Customer!B:B), "Unknown Customer")</f>
        <v>Mona Moradi</v>
      </c>
      <c r="D322" s="1">
        <v>45837</v>
      </c>
      <c r="E322" t="s">
        <v>18</v>
      </c>
      <c r="F322" t="s">
        <v>14</v>
      </c>
      <c r="G322">
        <v>3</v>
      </c>
      <c r="H322" t="s">
        <v>11</v>
      </c>
      <c r="I322" s="2">
        <v>50000</v>
      </c>
      <c r="J322" t="s">
        <v>15</v>
      </c>
      <c r="K322" s="3">
        <f t="shared" si="8"/>
        <v>150000</v>
      </c>
      <c r="L322" t="str">
        <f t="shared" si="9"/>
        <v>2025-06</v>
      </c>
    </row>
    <row r="323" spans="1:12" x14ac:dyDescent="0.25">
      <c r="A323">
        <v>1323</v>
      </c>
      <c r="B323">
        <v>94</v>
      </c>
      <c r="C323" t="str">
        <f>IFERROR(_xlfn.XLOOKUP(B323, Customer!A:A, Customer!B:B), "Unknown Customer")</f>
        <v>Hamed Fallahi</v>
      </c>
      <c r="D323" s="1">
        <v>45743</v>
      </c>
      <c r="E323" t="s">
        <v>31</v>
      </c>
      <c r="F323" t="s">
        <v>17</v>
      </c>
      <c r="G323">
        <v>2</v>
      </c>
      <c r="H323" t="s">
        <v>11</v>
      </c>
      <c r="I323" s="2">
        <v>40000</v>
      </c>
      <c r="J323" t="s">
        <v>19</v>
      </c>
      <c r="K323" s="3">
        <f t="shared" ref="K323:K386" si="10">G323*I323</f>
        <v>80000</v>
      </c>
      <c r="L323" t="str">
        <f t="shared" ref="L323:L386" si="11">TEXT(D323,"YYYY-MM")</f>
        <v>2025-03</v>
      </c>
    </row>
    <row r="324" spans="1:12" x14ac:dyDescent="0.25">
      <c r="A324">
        <v>1324</v>
      </c>
      <c r="B324">
        <v>107</v>
      </c>
      <c r="C324" t="str">
        <f>IFERROR(_xlfn.XLOOKUP(B324, Customer!A:A, Customer!B:B), "Unknown Customer")</f>
        <v>Mona Abbasi</v>
      </c>
      <c r="D324" s="1">
        <v>45953</v>
      </c>
      <c r="E324" t="s">
        <v>16</v>
      </c>
      <c r="F324" t="s">
        <v>17</v>
      </c>
      <c r="G324">
        <v>1</v>
      </c>
      <c r="H324" t="s">
        <v>11</v>
      </c>
      <c r="I324" s="2">
        <v>75000</v>
      </c>
      <c r="J324" t="s">
        <v>21</v>
      </c>
      <c r="K324" s="3">
        <f t="shared" si="10"/>
        <v>75000</v>
      </c>
      <c r="L324" t="str">
        <f t="shared" si="11"/>
        <v>2025-10</v>
      </c>
    </row>
    <row r="325" spans="1:12" x14ac:dyDescent="0.25">
      <c r="A325">
        <v>1325</v>
      </c>
      <c r="B325">
        <v>3</v>
      </c>
      <c r="C325" t="str">
        <f>IFERROR(_xlfn.XLOOKUP(B325, Customer!A:A, Customer!B:B), "Unknown Customer")</f>
        <v>Hamed Abbasi</v>
      </c>
      <c r="D325" s="1">
        <v>45791</v>
      </c>
      <c r="E325" t="s">
        <v>25</v>
      </c>
      <c r="F325" t="s">
        <v>10</v>
      </c>
      <c r="G325">
        <v>1</v>
      </c>
      <c r="H325" t="s">
        <v>11</v>
      </c>
      <c r="I325" s="2">
        <v>65458.715596330272</v>
      </c>
      <c r="J325" t="s">
        <v>12</v>
      </c>
      <c r="K325" s="3">
        <f t="shared" si="10"/>
        <v>65458.715596330272</v>
      </c>
      <c r="L325" t="str">
        <f t="shared" si="11"/>
        <v>2025-05</v>
      </c>
    </row>
    <row r="326" spans="1:12" x14ac:dyDescent="0.25">
      <c r="A326">
        <v>1326</v>
      </c>
      <c r="B326">
        <v>10</v>
      </c>
      <c r="C326" t="str">
        <f>IFERROR(_xlfn.XLOOKUP(B326, Customer!A:A, Customer!B:B), "Unknown Customer")</f>
        <v>Sepideh Rostami</v>
      </c>
      <c r="D326" s="1">
        <v>45705</v>
      </c>
      <c r="E326" t="s">
        <v>23</v>
      </c>
      <c r="F326" t="s">
        <v>17</v>
      </c>
      <c r="G326">
        <v>3</v>
      </c>
      <c r="H326" t="s">
        <v>11</v>
      </c>
      <c r="I326" s="2">
        <v>80000</v>
      </c>
      <c r="J326" t="s">
        <v>28</v>
      </c>
      <c r="K326" s="3">
        <f t="shared" si="10"/>
        <v>240000</v>
      </c>
      <c r="L326" t="str">
        <f t="shared" si="11"/>
        <v>2025-02</v>
      </c>
    </row>
    <row r="327" spans="1:12" x14ac:dyDescent="0.25">
      <c r="A327">
        <v>1327</v>
      </c>
      <c r="B327">
        <v>114</v>
      </c>
      <c r="C327" t="str">
        <f>IFERROR(_xlfn.XLOOKUP(B327, Customer!A:A, Customer!B:B), "Unknown Customer")</f>
        <v>Omid Fallahi</v>
      </c>
      <c r="D327" s="1">
        <v>45738</v>
      </c>
      <c r="E327" t="s">
        <v>31</v>
      </c>
      <c r="F327" t="s">
        <v>17</v>
      </c>
      <c r="G327">
        <v>1</v>
      </c>
      <c r="H327" t="s">
        <v>11</v>
      </c>
      <c r="I327" s="2">
        <v>40000</v>
      </c>
      <c r="J327" t="s">
        <v>12</v>
      </c>
      <c r="K327" s="3">
        <f t="shared" si="10"/>
        <v>40000</v>
      </c>
      <c r="L327" t="str">
        <f t="shared" si="11"/>
        <v>2025-03</v>
      </c>
    </row>
    <row r="328" spans="1:12" x14ac:dyDescent="0.25">
      <c r="A328">
        <v>1328</v>
      </c>
      <c r="B328">
        <v>71</v>
      </c>
      <c r="C328" t="str">
        <f>IFERROR(_xlfn.XLOOKUP(B328, Customer!A:A, Customer!B:B), "Unknown Customer")</f>
        <v>Milad Mousavi</v>
      </c>
      <c r="D328" s="1">
        <v>45757</v>
      </c>
      <c r="E328" t="s">
        <v>22</v>
      </c>
      <c r="F328" t="s">
        <v>14</v>
      </c>
      <c r="G328">
        <v>1</v>
      </c>
      <c r="H328" t="s">
        <v>11</v>
      </c>
      <c r="I328" s="2">
        <v>60000</v>
      </c>
      <c r="J328" t="s">
        <v>15</v>
      </c>
      <c r="K328" s="3">
        <f t="shared" si="10"/>
        <v>60000</v>
      </c>
      <c r="L328" t="str">
        <f t="shared" si="11"/>
        <v>2025-04</v>
      </c>
    </row>
    <row r="329" spans="1:12" x14ac:dyDescent="0.25">
      <c r="A329">
        <v>1329</v>
      </c>
      <c r="B329">
        <v>74</v>
      </c>
      <c r="C329" t="str">
        <f>IFERROR(_xlfn.XLOOKUP(B329, Customer!A:A, Customer!B:B), "Unknown Customer")</f>
        <v>Amir Vakili</v>
      </c>
      <c r="D329" s="1">
        <v>45909</v>
      </c>
      <c r="E329" t="s">
        <v>23</v>
      </c>
      <c r="F329" t="s">
        <v>17</v>
      </c>
      <c r="G329">
        <v>1</v>
      </c>
      <c r="H329" t="s">
        <v>11</v>
      </c>
      <c r="I329" s="2">
        <v>80000</v>
      </c>
      <c r="J329" t="s">
        <v>21</v>
      </c>
      <c r="K329" s="3">
        <f t="shared" si="10"/>
        <v>80000</v>
      </c>
      <c r="L329" t="str">
        <f t="shared" si="11"/>
        <v>2025-09</v>
      </c>
    </row>
    <row r="330" spans="1:12" x14ac:dyDescent="0.25">
      <c r="A330">
        <v>1330</v>
      </c>
      <c r="B330">
        <v>106</v>
      </c>
      <c r="C330" t="str">
        <f>IFERROR(_xlfn.XLOOKUP(B330, Customer!A:A, Customer!B:B), "Unknown Customer")</f>
        <v>Iman Zare</v>
      </c>
      <c r="D330" s="1">
        <v>45978</v>
      </c>
      <c r="E330" t="s">
        <v>27</v>
      </c>
      <c r="F330" t="s">
        <v>14</v>
      </c>
      <c r="G330">
        <v>1</v>
      </c>
      <c r="H330" t="s">
        <v>11</v>
      </c>
      <c r="I330" s="2">
        <v>30000</v>
      </c>
      <c r="J330" t="s">
        <v>24</v>
      </c>
      <c r="K330" s="3">
        <f t="shared" si="10"/>
        <v>30000</v>
      </c>
      <c r="L330" t="str">
        <f t="shared" si="11"/>
        <v>2025-11</v>
      </c>
    </row>
    <row r="331" spans="1:12" x14ac:dyDescent="0.25">
      <c r="A331">
        <v>1331</v>
      </c>
      <c r="B331">
        <v>82</v>
      </c>
      <c r="C331" t="str">
        <f>IFERROR(_xlfn.XLOOKUP(B331, Customer!A:A, Customer!B:B), "Unknown Customer")</f>
        <v>Azadeh Rezaei</v>
      </c>
      <c r="D331" s="1">
        <v>45699</v>
      </c>
      <c r="E331" t="s">
        <v>9</v>
      </c>
      <c r="F331" t="s">
        <v>10</v>
      </c>
      <c r="G331">
        <v>1</v>
      </c>
      <c r="H331" t="s">
        <v>11</v>
      </c>
      <c r="I331" s="2">
        <v>62000</v>
      </c>
      <c r="J331" t="s">
        <v>12</v>
      </c>
      <c r="K331" s="3">
        <f t="shared" si="10"/>
        <v>62000</v>
      </c>
      <c r="L331" t="str">
        <f t="shared" si="11"/>
        <v>2025-02</v>
      </c>
    </row>
    <row r="332" spans="1:12" x14ac:dyDescent="0.25">
      <c r="A332">
        <v>1332</v>
      </c>
      <c r="B332">
        <v>34</v>
      </c>
      <c r="C332" t="str">
        <f>IFERROR(_xlfn.XLOOKUP(B332, Customer!A:A, Customer!B:B), "Unknown Customer")</f>
        <v>Reza Rezaei</v>
      </c>
      <c r="D332" s="1">
        <v>45986</v>
      </c>
      <c r="E332" t="s">
        <v>18</v>
      </c>
      <c r="F332" t="s">
        <v>14</v>
      </c>
      <c r="G332">
        <v>1</v>
      </c>
      <c r="H332" t="s">
        <v>11</v>
      </c>
      <c r="I332" s="2">
        <v>55000</v>
      </c>
      <c r="J332" t="s">
        <v>32</v>
      </c>
      <c r="K332" s="3">
        <f t="shared" si="10"/>
        <v>55000</v>
      </c>
      <c r="L332" t="str">
        <f t="shared" si="11"/>
        <v>2025-11</v>
      </c>
    </row>
    <row r="333" spans="1:12" x14ac:dyDescent="0.25">
      <c r="A333">
        <v>1333</v>
      </c>
      <c r="B333">
        <v>58</v>
      </c>
      <c r="C333" t="str">
        <f>IFERROR(_xlfn.XLOOKUP(B333, Customer!A:A, Customer!B:B), "Unknown Customer")</f>
        <v>Mona Moradi</v>
      </c>
      <c r="D333" s="1">
        <v>45792</v>
      </c>
      <c r="E333" t="s">
        <v>29</v>
      </c>
      <c r="F333" t="s">
        <v>14</v>
      </c>
      <c r="G333">
        <v>1</v>
      </c>
      <c r="H333" t="s">
        <v>11</v>
      </c>
      <c r="I333" s="2">
        <v>45000</v>
      </c>
      <c r="J333" t="s">
        <v>24</v>
      </c>
      <c r="K333" s="3">
        <f t="shared" si="10"/>
        <v>45000</v>
      </c>
      <c r="L333" t="str">
        <f t="shared" si="11"/>
        <v>2025-05</v>
      </c>
    </row>
    <row r="334" spans="1:12" x14ac:dyDescent="0.25">
      <c r="A334">
        <v>1334</v>
      </c>
      <c r="B334">
        <v>97</v>
      </c>
      <c r="C334" t="str">
        <f>IFERROR(_xlfn.XLOOKUP(B334, Customer!A:A, Customer!B:B), "Unknown Customer")</f>
        <v>Setareh Sadeghi</v>
      </c>
      <c r="D334" s="1">
        <v>45999</v>
      </c>
      <c r="E334" t="s">
        <v>22</v>
      </c>
      <c r="F334" t="s">
        <v>14</v>
      </c>
      <c r="G334">
        <v>3</v>
      </c>
      <c r="H334" t="s">
        <v>11</v>
      </c>
      <c r="I334" s="2">
        <v>59954.128440366971</v>
      </c>
      <c r="J334" t="s">
        <v>28</v>
      </c>
      <c r="K334" s="3">
        <f t="shared" si="10"/>
        <v>179862.38532110091</v>
      </c>
      <c r="L334" t="str">
        <f t="shared" si="11"/>
        <v>2025-12</v>
      </c>
    </row>
    <row r="335" spans="1:12" x14ac:dyDescent="0.25">
      <c r="A335">
        <v>1335</v>
      </c>
      <c r="B335">
        <v>30</v>
      </c>
      <c r="C335" t="str">
        <f>IFERROR(_xlfn.XLOOKUP(B335, Customer!A:A, Customer!B:B), "Unknown Customer")</f>
        <v>Mona Mousavi</v>
      </c>
      <c r="D335" s="1">
        <v>45659</v>
      </c>
      <c r="E335" t="s">
        <v>23</v>
      </c>
      <c r="F335" t="s">
        <v>17</v>
      </c>
      <c r="G335">
        <v>2</v>
      </c>
      <c r="H335" t="s">
        <v>11</v>
      </c>
      <c r="I335" s="2">
        <v>85000</v>
      </c>
      <c r="J335" t="s">
        <v>15</v>
      </c>
      <c r="K335" s="3">
        <f t="shared" si="10"/>
        <v>170000</v>
      </c>
      <c r="L335" t="str">
        <f t="shared" si="11"/>
        <v>2025-01</v>
      </c>
    </row>
    <row r="336" spans="1:12" x14ac:dyDescent="0.25">
      <c r="A336">
        <v>1336</v>
      </c>
      <c r="B336">
        <v>39</v>
      </c>
      <c r="C336" t="str">
        <f>IFERROR(_xlfn.XLOOKUP(B336, Customer!A:A, Customer!B:B), "Unknown Customer")</f>
        <v>Mona Ghasemi</v>
      </c>
      <c r="D336" s="1">
        <v>45860</v>
      </c>
      <c r="E336" t="s">
        <v>18</v>
      </c>
      <c r="F336" t="s">
        <v>14</v>
      </c>
      <c r="G336">
        <v>2</v>
      </c>
      <c r="H336" t="s">
        <v>11</v>
      </c>
      <c r="I336" s="2">
        <v>60000</v>
      </c>
      <c r="J336" t="s">
        <v>19</v>
      </c>
      <c r="K336" s="3">
        <f t="shared" si="10"/>
        <v>120000</v>
      </c>
      <c r="L336" t="str">
        <f t="shared" si="11"/>
        <v>2025-07</v>
      </c>
    </row>
    <row r="337" spans="1:12" x14ac:dyDescent="0.25">
      <c r="A337">
        <v>1337</v>
      </c>
      <c r="B337">
        <v>55</v>
      </c>
      <c r="C337" t="str">
        <f>IFERROR(_xlfn.XLOOKUP(B337, Customer!A:A, Customer!B:B), "Unknown Customer")</f>
        <v>Payam Jafari</v>
      </c>
      <c r="D337" s="1">
        <v>45746</v>
      </c>
      <c r="E337" t="s">
        <v>16</v>
      </c>
      <c r="F337" t="s">
        <v>17</v>
      </c>
      <c r="G337">
        <v>4</v>
      </c>
      <c r="H337" t="s">
        <v>11</v>
      </c>
      <c r="I337" s="2">
        <v>75000</v>
      </c>
      <c r="J337" t="s">
        <v>15</v>
      </c>
      <c r="K337" s="3">
        <f t="shared" si="10"/>
        <v>300000</v>
      </c>
      <c r="L337" t="str">
        <f t="shared" si="11"/>
        <v>2025-03</v>
      </c>
    </row>
    <row r="338" spans="1:12" x14ac:dyDescent="0.25">
      <c r="A338">
        <v>1338</v>
      </c>
      <c r="B338">
        <v>11</v>
      </c>
      <c r="C338" t="str">
        <f>IFERROR(_xlfn.XLOOKUP(B338, Customer!A:A, Customer!B:B), "Unknown Customer")</f>
        <v>Leila Kazemi</v>
      </c>
      <c r="D338" s="1">
        <v>45880</v>
      </c>
      <c r="E338" t="s">
        <v>27</v>
      </c>
      <c r="F338" t="s">
        <v>14</v>
      </c>
      <c r="G338">
        <v>4</v>
      </c>
      <c r="H338" t="s">
        <v>11</v>
      </c>
      <c r="I338" s="2">
        <v>40000</v>
      </c>
      <c r="J338" t="s">
        <v>12</v>
      </c>
      <c r="K338" s="3">
        <f t="shared" si="10"/>
        <v>160000</v>
      </c>
      <c r="L338" t="str">
        <f t="shared" si="11"/>
        <v>2025-08</v>
      </c>
    </row>
    <row r="339" spans="1:12" x14ac:dyDescent="0.25">
      <c r="A339">
        <v>1339</v>
      </c>
      <c r="B339">
        <v>118</v>
      </c>
      <c r="C339" t="str">
        <f>IFERROR(_xlfn.XLOOKUP(B339, Customer!A:A, Customer!B:B), "Unknown Customer")</f>
        <v>Hamed Rezaei</v>
      </c>
      <c r="D339" s="1">
        <v>45702</v>
      </c>
      <c r="E339" t="s">
        <v>18</v>
      </c>
      <c r="F339" t="s">
        <v>14</v>
      </c>
      <c r="G339">
        <v>2</v>
      </c>
      <c r="H339" t="s">
        <v>11</v>
      </c>
      <c r="I339" s="2">
        <v>55000</v>
      </c>
      <c r="J339" t="s">
        <v>19</v>
      </c>
      <c r="K339" s="3">
        <f t="shared" si="10"/>
        <v>110000</v>
      </c>
      <c r="L339" t="str">
        <f t="shared" si="11"/>
        <v>2025-02</v>
      </c>
    </row>
    <row r="340" spans="1:12" x14ac:dyDescent="0.25">
      <c r="A340">
        <v>1340</v>
      </c>
      <c r="B340">
        <v>101</v>
      </c>
      <c r="C340" t="str">
        <f>IFERROR(_xlfn.XLOOKUP(B340, Customer!A:A, Customer!B:B), "Unknown Customer")</f>
        <v>Niloofar Ghasemi</v>
      </c>
      <c r="D340" s="1">
        <v>45977</v>
      </c>
      <c r="E340" t="s">
        <v>22</v>
      </c>
      <c r="F340" t="s">
        <v>14</v>
      </c>
      <c r="G340">
        <v>1</v>
      </c>
      <c r="H340" t="s">
        <v>11</v>
      </c>
      <c r="I340" s="2">
        <v>60000</v>
      </c>
      <c r="J340" t="s">
        <v>28</v>
      </c>
      <c r="K340" s="3">
        <f t="shared" si="10"/>
        <v>60000</v>
      </c>
      <c r="L340" t="str">
        <f t="shared" si="11"/>
        <v>2025-11</v>
      </c>
    </row>
    <row r="341" spans="1:12" x14ac:dyDescent="0.25">
      <c r="A341">
        <v>1341</v>
      </c>
      <c r="B341">
        <v>76</v>
      </c>
      <c r="C341" t="str">
        <f>IFERROR(_xlfn.XLOOKUP(B341, Customer!A:A, Customer!B:B), "Unknown Customer")</f>
        <v>Setareh Yousefi</v>
      </c>
      <c r="D341" s="1">
        <v>45709</v>
      </c>
      <c r="E341" t="s">
        <v>20</v>
      </c>
      <c r="F341" t="s">
        <v>17</v>
      </c>
      <c r="G341">
        <v>4</v>
      </c>
      <c r="H341" t="s">
        <v>11</v>
      </c>
      <c r="I341" s="2">
        <v>50000</v>
      </c>
      <c r="J341" t="s">
        <v>15</v>
      </c>
      <c r="K341" s="3">
        <f t="shared" si="10"/>
        <v>200000</v>
      </c>
      <c r="L341" t="str">
        <f t="shared" si="11"/>
        <v>2025-02</v>
      </c>
    </row>
    <row r="342" spans="1:12" x14ac:dyDescent="0.25">
      <c r="A342">
        <v>1342</v>
      </c>
      <c r="B342">
        <v>34</v>
      </c>
      <c r="C342" t="str">
        <f>IFERROR(_xlfn.XLOOKUP(B342, Customer!A:A, Customer!B:B), "Unknown Customer")</f>
        <v>Reza Rezaei</v>
      </c>
      <c r="D342" s="1">
        <v>45700</v>
      </c>
      <c r="E342" t="s">
        <v>31</v>
      </c>
      <c r="F342" t="s">
        <v>17</v>
      </c>
      <c r="G342">
        <v>1</v>
      </c>
      <c r="H342" t="s">
        <v>11</v>
      </c>
      <c r="I342" s="2">
        <v>40000</v>
      </c>
      <c r="J342" t="s">
        <v>24</v>
      </c>
      <c r="K342" s="3">
        <f t="shared" si="10"/>
        <v>40000</v>
      </c>
      <c r="L342" t="str">
        <f t="shared" si="11"/>
        <v>2025-02</v>
      </c>
    </row>
    <row r="343" spans="1:12" x14ac:dyDescent="0.25">
      <c r="A343">
        <v>1343</v>
      </c>
      <c r="B343">
        <v>80</v>
      </c>
      <c r="C343" t="str">
        <f>IFERROR(_xlfn.XLOOKUP(B343, Customer!A:A, Customer!B:B), "Unknown Customer")</f>
        <v>Mona Yousefi</v>
      </c>
      <c r="D343" s="1">
        <v>46006</v>
      </c>
      <c r="E343" t="s">
        <v>20</v>
      </c>
      <c r="F343" t="s">
        <v>17</v>
      </c>
      <c r="G343">
        <v>1</v>
      </c>
      <c r="H343" t="s">
        <v>11</v>
      </c>
      <c r="I343" s="2">
        <v>50000</v>
      </c>
      <c r="J343" t="s">
        <v>19</v>
      </c>
      <c r="K343" s="3">
        <f t="shared" si="10"/>
        <v>50000</v>
      </c>
      <c r="L343" t="str">
        <f t="shared" si="11"/>
        <v>2025-12</v>
      </c>
    </row>
    <row r="344" spans="1:12" x14ac:dyDescent="0.25">
      <c r="A344">
        <v>1344</v>
      </c>
      <c r="B344">
        <v>96</v>
      </c>
      <c r="C344" t="str">
        <f>IFERROR(_xlfn.XLOOKUP(B344, Customer!A:A, Customer!B:B), "Unknown Customer")</f>
        <v>Milad Norouzi</v>
      </c>
      <c r="D344" s="1">
        <v>45795</v>
      </c>
      <c r="E344" t="s">
        <v>16</v>
      </c>
      <c r="F344" t="s">
        <v>17</v>
      </c>
      <c r="G344">
        <v>-1</v>
      </c>
      <c r="H344" t="s">
        <v>26</v>
      </c>
      <c r="I344" s="2">
        <v>75000</v>
      </c>
      <c r="J344" t="s">
        <v>15</v>
      </c>
      <c r="K344" s="3">
        <f t="shared" si="10"/>
        <v>-75000</v>
      </c>
      <c r="L344" t="str">
        <f t="shared" si="11"/>
        <v>2025-05</v>
      </c>
    </row>
    <row r="345" spans="1:12" x14ac:dyDescent="0.25">
      <c r="A345">
        <v>1345</v>
      </c>
      <c r="B345">
        <v>110</v>
      </c>
      <c r="C345" t="str">
        <f>IFERROR(_xlfn.XLOOKUP(B345, Customer!A:A, Customer!B:B), "Unknown Customer")</f>
        <v>Parisa Mousavi</v>
      </c>
      <c r="D345" s="1">
        <v>46008</v>
      </c>
      <c r="E345" t="s">
        <v>22</v>
      </c>
      <c r="F345" t="s">
        <v>14</v>
      </c>
      <c r="G345">
        <v>1</v>
      </c>
      <c r="H345" t="s">
        <v>11</v>
      </c>
      <c r="I345" s="2">
        <v>60000</v>
      </c>
      <c r="J345" t="s">
        <v>21</v>
      </c>
      <c r="K345" s="3">
        <f t="shared" si="10"/>
        <v>60000</v>
      </c>
      <c r="L345" t="str">
        <f t="shared" si="11"/>
        <v>2025-12</v>
      </c>
    </row>
    <row r="346" spans="1:12" x14ac:dyDescent="0.25">
      <c r="A346">
        <v>1346</v>
      </c>
      <c r="B346">
        <v>35</v>
      </c>
      <c r="C346" t="str">
        <f>IFERROR(_xlfn.XLOOKUP(B346, Customer!A:A, Customer!B:B), "Unknown Customer")</f>
        <v>Babak Hosseini</v>
      </c>
      <c r="D346" s="1">
        <v>45871</v>
      </c>
      <c r="E346" t="s">
        <v>22</v>
      </c>
      <c r="F346" t="s">
        <v>14</v>
      </c>
      <c r="G346">
        <v>1</v>
      </c>
      <c r="H346" t="s">
        <v>11</v>
      </c>
      <c r="I346" s="2">
        <v>60000</v>
      </c>
      <c r="J346" t="s">
        <v>32</v>
      </c>
      <c r="K346" s="3">
        <f t="shared" si="10"/>
        <v>60000</v>
      </c>
      <c r="L346" t="str">
        <f t="shared" si="11"/>
        <v>2025-08</v>
      </c>
    </row>
    <row r="347" spans="1:12" x14ac:dyDescent="0.25">
      <c r="A347">
        <v>1347</v>
      </c>
      <c r="B347">
        <v>63</v>
      </c>
      <c r="C347" t="str">
        <f>IFERROR(_xlfn.XLOOKUP(B347, Customer!A:A, Customer!B:B), "Unknown Customer")</f>
        <v>Golnaz Rezaei</v>
      </c>
      <c r="D347" s="1">
        <v>45849</v>
      </c>
      <c r="E347" t="s">
        <v>23</v>
      </c>
      <c r="F347" t="s">
        <v>17</v>
      </c>
      <c r="G347">
        <v>1</v>
      </c>
      <c r="H347" t="s">
        <v>11</v>
      </c>
      <c r="I347" s="2">
        <v>85000</v>
      </c>
      <c r="J347" t="s">
        <v>24</v>
      </c>
      <c r="K347" s="3">
        <f t="shared" si="10"/>
        <v>85000</v>
      </c>
      <c r="L347" t="str">
        <f t="shared" si="11"/>
        <v>2025-07</v>
      </c>
    </row>
    <row r="348" spans="1:12" x14ac:dyDescent="0.25">
      <c r="A348">
        <v>1348</v>
      </c>
      <c r="B348">
        <v>100</v>
      </c>
      <c r="C348" t="str">
        <f>IFERROR(_xlfn.XLOOKUP(B348, Customer!A:A, Customer!B:B), "Unknown Customer")</f>
        <v>Leila Hosseini</v>
      </c>
      <c r="D348" s="1">
        <v>45949</v>
      </c>
      <c r="E348" t="s">
        <v>23</v>
      </c>
      <c r="F348" t="s">
        <v>17</v>
      </c>
      <c r="G348">
        <v>1</v>
      </c>
      <c r="H348" t="s">
        <v>11</v>
      </c>
      <c r="I348" s="2">
        <v>85000</v>
      </c>
      <c r="J348" t="s">
        <v>19</v>
      </c>
      <c r="K348" s="3">
        <f t="shared" si="10"/>
        <v>85000</v>
      </c>
      <c r="L348" t="str">
        <f t="shared" si="11"/>
        <v>2025-10</v>
      </c>
    </row>
    <row r="349" spans="1:12" x14ac:dyDescent="0.25">
      <c r="A349">
        <v>1349</v>
      </c>
      <c r="B349">
        <v>59</v>
      </c>
      <c r="C349" t="str">
        <f>IFERROR(_xlfn.XLOOKUP(B349, Customer!A:A, Customer!B:B), "Unknown Customer")</f>
        <v>Niloofar Hosseini</v>
      </c>
      <c r="D349" s="1">
        <v>45842</v>
      </c>
      <c r="E349" t="s">
        <v>29</v>
      </c>
      <c r="F349" t="s">
        <v>14</v>
      </c>
      <c r="G349">
        <v>1</v>
      </c>
      <c r="H349" t="s">
        <v>11</v>
      </c>
      <c r="I349" s="2">
        <v>45000</v>
      </c>
      <c r="J349" t="s">
        <v>12</v>
      </c>
      <c r="K349" s="3">
        <f t="shared" si="10"/>
        <v>45000</v>
      </c>
      <c r="L349" t="str">
        <f t="shared" si="11"/>
        <v>2025-07</v>
      </c>
    </row>
    <row r="350" spans="1:12" x14ac:dyDescent="0.25">
      <c r="A350">
        <v>1350</v>
      </c>
      <c r="B350">
        <v>119</v>
      </c>
      <c r="C350" t="str">
        <f>IFERROR(_xlfn.XLOOKUP(B350, Customer!A:A, Customer!B:B), "Unknown Customer")</f>
        <v>Sepideh Sadeghi</v>
      </c>
      <c r="D350" s="1">
        <v>46006</v>
      </c>
      <c r="E350" t="s">
        <v>18</v>
      </c>
      <c r="F350" t="s">
        <v>14</v>
      </c>
      <c r="G350">
        <v>1</v>
      </c>
      <c r="H350" t="s">
        <v>11</v>
      </c>
      <c r="I350" s="2">
        <v>55000</v>
      </c>
      <c r="J350" t="s">
        <v>24</v>
      </c>
      <c r="K350" s="3">
        <f t="shared" si="10"/>
        <v>55000</v>
      </c>
      <c r="L350" t="str">
        <f t="shared" si="11"/>
        <v>2025-12</v>
      </c>
    </row>
    <row r="351" spans="1:12" x14ac:dyDescent="0.25">
      <c r="A351">
        <v>1351</v>
      </c>
      <c r="B351">
        <v>60</v>
      </c>
      <c r="C351" t="str">
        <f>IFERROR(_xlfn.XLOOKUP(B351, Customer!A:A, Customer!B:B), "Unknown Customer")</f>
        <v>Sina Ghasemi</v>
      </c>
      <c r="D351" s="1">
        <v>45958</v>
      </c>
      <c r="E351" t="s">
        <v>16</v>
      </c>
      <c r="F351" t="s">
        <v>17</v>
      </c>
      <c r="G351">
        <v>1</v>
      </c>
      <c r="H351" t="s">
        <v>11</v>
      </c>
      <c r="I351" s="2">
        <v>75256.41025641025</v>
      </c>
      <c r="J351" t="s">
        <v>21</v>
      </c>
      <c r="K351" s="3">
        <f t="shared" si="10"/>
        <v>75256.41025641025</v>
      </c>
      <c r="L351" t="str">
        <f t="shared" si="11"/>
        <v>2025-10</v>
      </c>
    </row>
    <row r="352" spans="1:12" x14ac:dyDescent="0.25">
      <c r="A352">
        <v>1352</v>
      </c>
      <c r="B352">
        <v>4</v>
      </c>
      <c r="C352" t="str">
        <f>IFERROR(_xlfn.XLOOKUP(B352, Customer!A:A, Customer!B:B), "Unknown Customer")</f>
        <v>Kaveh Salehi</v>
      </c>
      <c r="D352" s="1">
        <v>45683</v>
      </c>
      <c r="E352" t="s">
        <v>31</v>
      </c>
      <c r="F352" t="s">
        <v>17</v>
      </c>
      <c r="G352">
        <v>4</v>
      </c>
      <c r="H352" t="s">
        <v>11</v>
      </c>
      <c r="I352" s="2">
        <v>40000</v>
      </c>
      <c r="J352" t="s">
        <v>12</v>
      </c>
      <c r="K352" s="3">
        <f t="shared" si="10"/>
        <v>160000</v>
      </c>
      <c r="L352" t="str">
        <f t="shared" si="11"/>
        <v>2025-01</v>
      </c>
    </row>
    <row r="353" spans="1:12" x14ac:dyDescent="0.25">
      <c r="A353">
        <v>1353</v>
      </c>
      <c r="B353">
        <v>27</v>
      </c>
      <c r="C353" t="str">
        <f>IFERROR(_xlfn.XLOOKUP(B353, Customer!A:A, Customer!B:B), "Unknown Customer")</f>
        <v>Sina Fallahi</v>
      </c>
      <c r="D353" s="1">
        <v>45991</v>
      </c>
      <c r="E353" t="s">
        <v>9</v>
      </c>
      <c r="F353" t="s">
        <v>10</v>
      </c>
      <c r="G353">
        <v>4</v>
      </c>
      <c r="H353" t="s">
        <v>11</v>
      </c>
      <c r="I353" s="2">
        <v>57000</v>
      </c>
      <c r="J353" t="s">
        <v>12</v>
      </c>
      <c r="K353" s="3">
        <f t="shared" si="10"/>
        <v>228000</v>
      </c>
      <c r="L353" t="str">
        <f t="shared" si="11"/>
        <v>2025-11</v>
      </c>
    </row>
    <row r="354" spans="1:12" x14ac:dyDescent="0.25">
      <c r="A354">
        <v>1354</v>
      </c>
      <c r="B354">
        <v>23</v>
      </c>
      <c r="C354" t="str">
        <f>IFERROR(_xlfn.XLOOKUP(B354, Customer!A:A, Customer!B:B), "Unknown Customer")</f>
        <v>Milad Rezaei</v>
      </c>
      <c r="D354" s="1">
        <v>45778</v>
      </c>
      <c r="E354" t="s">
        <v>20</v>
      </c>
      <c r="F354" t="s">
        <v>17</v>
      </c>
      <c r="G354">
        <v>2</v>
      </c>
      <c r="H354" t="s">
        <v>11</v>
      </c>
      <c r="I354" s="2">
        <v>50000</v>
      </c>
      <c r="J354" t="s">
        <v>15</v>
      </c>
      <c r="K354" s="3">
        <f t="shared" si="10"/>
        <v>100000</v>
      </c>
      <c r="L354" t="str">
        <f t="shared" si="11"/>
        <v>2025-05</v>
      </c>
    </row>
    <row r="355" spans="1:12" x14ac:dyDescent="0.25">
      <c r="A355">
        <v>1355</v>
      </c>
      <c r="B355">
        <v>115</v>
      </c>
      <c r="C355" t="str">
        <f>IFERROR(_xlfn.XLOOKUP(B355, Customer!A:A, Customer!B:B), "Unknown Customer")</f>
        <v>Setareh Ahmadi</v>
      </c>
      <c r="D355" s="1">
        <v>45836</v>
      </c>
      <c r="E355" t="s">
        <v>31</v>
      </c>
      <c r="F355" t="s">
        <v>17</v>
      </c>
      <c r="G355">
        <v>1</v>
      </c>
      <c r="H355" t="s">
        <v>11</v>
      </c>
      <c r="I355" s="2">
        <v>40000</v>
      </c>
      <c r="J355" t="s">
        <v>28</v>
      </c>
      <c r="K355" s="3">
        <f t="shared" si="10"/>
        <v>40000</v>
      </c>
      <c r="L355" t="str">
        <f t="shared" si="11"/>
        <v>2025-06</v>
      </c>
    </row>
    <row r="356" spans="1:12" x14ac:dyDescent="0.25">
      <c r="A356">
        <v>1356</v>
      </c>
      <c r="B356">
        <v>14</v>
      </c>
      <c r="C356" t="str">
        <f>IFERROR(_xlfn.XLOOKUP(B356, Customer!A:A, Customer!B:B), "Unknown Customer")</f>
        <v>Ali Ghasemi</v>
      </c>
      <c r="D356" s="1">
        <v>45919</v>
      </c>
      <c r="E356" t="s">
        <v>29</v>
      </c>
      <c r="F356" t="s">
        <v>14</v>
      </c>
      <c r="G356">
        <v>2</v>
      </c>
      <c r="H356" t="s">
        <v>11</v>
      </c>
      <c r="I356" s="2">
        <v>50000</v>
      </c>
      <c r="J356" t="s">
        <v>21</v>
      </c>
      <c r="K356" s="3">
        <f t="shared" si="10"/>
        <v>100000</v>
      </c>
      <c r="L356" t="str">
        <f t="shared" si="11"/>
        <v>2025-09</v>
      </c>
    </row>
    <row r="357" spans="1:12" x14ac:dyDescent="0.25">
      <c r="A357">
        <v>1357</v>
      </c>
      <c r="B357">
        <v>88</v>
      </c>
      <c r="C357" t="str">
        <f>IFERROR(_xlfn.XLOOKUP(B357, Customer!A:A, Customer!B:B), "Unknown Customer")</f>
        <v>Golnaz Rostami</v>
      </c>
      <c r="D357" s="1">
        <v>45756</v>
      </c>
      <c r="E357" t="s">
        <v>18</v>
      </c>
      <c r="F357" t="s">
        <v>14</v>
      </c>
      <c r="G357">
        <v>1</v>
      </c>
      <c r="H357" t="s">
        <v>11</v>
      </c>
      <c r="I357" s="2">
        <v>55000</v>
      </c>
      <c r="J357" t="s">
        <v>12</v>
      </c>
      <c r="K357" s="3">
        <f t="shared" si="10"/>
        <v>55000</v>
      </c>
      <c r="L357" t="str">
        <f t="shared" si="11"/>
        <v>2025-04</v>
      </c>
    </row>
    <row r="358" spans="1:12" x14ac:dyDescent="0.25">
      <c r="A358">
        <v>1358</v>
      </c>
      <c r="B358">
        <v>92</v>
      </c>
      <c r="C358" t="str">
        <f>IFERROR(_xlfn.XLOOKUP(B358, Customer!A:A, Customer!B:B), "Unknown Customer")</f>
        <v>Payam Zare</v>
      </c>
      <c r="D358" s="1">
        <v>45810</v>
      </c>
      <c r="E358" t="s">
        <v>27</v>
      </c>
      <c r="F358" t="s">
        <v>14</v>
      </c>
      <c r="G358">
        <v>2</v>
      </c>
      <c r="H358" t="s">
        <v>11</v>
      </c>
      <c r="I358" s="2">
        <v>35000</v>
      </c>
      <c r="J358" t="s">
        <v>12</v>
      </c>
      <c r="K358" s="3">
        <f t="shared" si="10"/>
        <v>70000</v>
      </c>
      <c r="L358" t="str">
        <f t="shared" si="11"/>
        <v>2025-06</v>
      </c>
    </row>
    <row r="359" spans="1:12" x14ac:dyDescent="0.25">
      <c r="A359">
        <v>1359</v>
      </c>
      <c r="B359">
        <v>41</v>
      </c>
      <c r="C359" t="str">
        <f>IFERROR(_xlfn.XLOOKUP(B359, Customer!A:A, Customer!B:B), "Unknown Customer")</f>
        <v>Iman Yousefi</v>
      </c>
      <c r="D359" s="1">
        <v>45729</v>
      </c>
      <c r="E359" t="s">
        <v>27</v>
      </c>
      <c r="F359" t="s">
        <v>14</v>
      </c>
      <c r="G359">
        <v>3</v>
      </c>
      <c r="H359" t="s">
        <v>11</v>
      </c>
      <c r="I359" s="2">
        <v>35000</v>
      </c>
      <c r="J359" t="s">
        <v>15</v>
      </c>
      <c r="K359" s="3">
        <f t="shared" si="10"/>
        <v>105000</v>
      </c>
      <c r="L359" t="str">
        <f t="shared" si="11"/>
        <v>2025-03</v>
      </c>
    </row>
    <row r="360" spans="1:12" x14ac:dyDescent="0.25">
      <c r="A360">
        <v>1360</v>
      </c>
      <c r="B360">
        <v>52</v>
      </c>
      <c r="C360" t="str">
        <f>IFERROR(_xlfn.XLOOKUP(B360, Customer!A:A, Customer!B:B), "Unknown Customer")</f>
        <v>Kaveh Rostami</v>
      </c>
      <c r="D360" s="1">
        <v>45676</v>
      </c>
      <c r="E360" t="s">
        <v>31</v>
      </c>
      <c r="F360" t="s">
        <v>17</v>
      </c>
      <c r="G360">
        <v>1</v>
      </c>
      <c r="H360" t="s">
        <v>11</v>
      </c>
      <c r="I360" s="2">
        <v>40428.571428571428</v>
      </c>
      <c r="J360" t="s">
        <v>12</v>
      </c>
      <c r="K360" s="3">
        <f t="shared" si="10"/>
        <v>40428.571428571428</v>
      </c>
      <c r="L360" t="str">
        <f t="shared" si="11"/>
        <v>2025-01</v>
      </c>
    </row>
    <row r="361" spans="1:12" x14ac:dyDescent="0.25">
      <c r="A361">
        <v>1361</v>
      </c>
      <c r="B361">
        <v>46</v>
      </c>
      <c r="C361" t="str">
        <f>IFERROR(_xlfn.XLOOKUP(B361, Customer!A:A, Customer!B:B), "Unknown Customer")</f>
        <v>Mahsa Ghasemi</v>
      </c>
      <c r="D361" s="1">
        <v>45811</v>
      </c>
      <c r="E361" t="s">
        <v>23</v>
      </c>
      <c r="F361" t="s">
        <v>17</v>
      </c>
      <c r="G361">
        <v>1</v>
      </c>
      <c r="H361" t="s">
        <v>11</v>
      </c>
      <c r="I361" s="2">
        <v>80000</v>
      </c>
      <c r="J361" t="s">
        <v>12</v>
      </c>
      <c r="K361" s="3">
        <f t="shared" si="10"/>
        <v>80000</v>
      </c>
      <c r="L361" t="str">
        <f t="shared" si="11"/>
        <v>2025-06</v>
      </c>
    </row>
    <row r="362" spans="1:12" x14ac:dyDescent="0.25">
      <c r="A362">
        <v>1362</v>
      </c>
      <c r="B362">
        <v>34</v>
      </c>
      <c r="C362" t="str">
        <f>IFERROR(_xlfn.XLOOKUP(B362, Customer!A:A, Customer!B:B), "Unknown Customer")</f>
        <v>Reza Rezaei</v>
      </c>
      <c r="D362" s="1">
        <v>45944</v>
      </c>
      <c r="E362" t="s">
        <v>22</v>
      </c>
      <c r="F362" t="s">
        <v>14</v>
      </c>
      <c r="G362">
        <v>3</v>
      </c>
      <c r="H362" t="s">
        <v>11</v>
      </c>
      <c r="I362" s="2">
        <v>55000</v>
      </c>
      <c r="J362" t="s">
        <v>24</v>
      </c>
      <c r="K362" s="3">
        <f t="shared" si="10"/>
        <v>165000</v>
      </c>
      <c r="L362" t="str">
        <f t="shared" si="11"/>
        <v>2025-10</v>
      </c>
    </row>
    <row r="363" spans="1:12" x14ac:dyDescent="0.25">
      <c r="A363">
        <v>1363</v>
      </c>
      <c r="B363">
        <v>96</v>
      </c>
      <c r="C363" t="str">
        <f>IFERROR(_xlfn.XLOOKUP(B363, Customer!A:A, Customer!B:B), "Unknown Customer")</f>
        <v>Milad Norouzi</v>
      </c>
      <c r="D363" s="1">
        <v>45755</v>
      </c>
      <c r="E363" t="s">
        <v>9</v>
      </c>
      <c r="F363" t="s">
        <v>10</v>
      </c>
      <c r="G363">
        <v>1</v>
      </c>
      <c r="H363" t="s">
        <v>11</v>
      </c>
      <c r="I363" s="2">
        <v>67000</v>
      </c>
      <c r="J363" t="s">
        <v>19</v>
      </c>
      <c r="K363" s="3">
        <f t="shared" si="10"/>
        <v>67000</v>
      </c>
      <c r="L363" t="str">
        <f t="shared" si="11"/>
        <v>2025-04</v>
      </c>
    </row>
    <row r="364" spans="1:12" x14ac:dyDescent="0.25">
      <c r="A364">
        <v>1364</v>
      </c>
      <c r="B364">
        <v>61</v>
      </c>
      <c r="C364" t="str">
        <f>IFERROR(_xlfn.XLOOKUP(B364, Customer!A:A, Customer!B:B), "Unknown Customer")</f>
        <v>Arman Moradi</v>
      </c>
      <c r="D364" s="1">
        <v>45982</v>
      </c>
      <c r="E364" t="s">
        <v>29</v>
      </c>
      <c r="F364" t="s">
        <v>14</v>
      </c>
      <c r="G364">
        <v>2</v>
      </c>
      <c r="H364" t="s">
        <v>11</v>
      </c>
      <c r="I364" s="2">
        <v>45000</v>
      </c>
      <c r="J364" t="s">
        <v>12</v>
      </c>
      <c r="K364" s="3">
        <f t="shared" si="10"/>
        <v>90000</v>
      </c>
      <c r="L364" t="str">
        <f t="shared" si="11"/>
        <v>2025-11</v>
      </c>
    </row>
    <row r="365" spans="1:12" x14ac:dyDescent="0.25">
      <c r="A365">
        <v>1365</v>
      </c>
      <c r="B365">
        <v>49</v>
      </c>
      <c r="C365" t="str">
        <f>IFERROR(_xlfn.XLOOKUP(B365, Customer!A:A, Customer!B:B), "Unknown Customer")</f>
        <v>Elham Karimi</v>
      </c>
      <c r="D365" s="1">
        <v>45810</v>
      </c>
      <c r="E365" t="s">
        <v>23</v>
      </c>
      <c r="F365" t="s">
        <v>17</v>
      </c>
      <c r="G365">
        <v>4</v>
      </c>
      <c r="H365" t="s">
        <v>11</v>
      </c>
      <c r="I365" s="2">
        <v>85000</v>
      </c>
      <c r="J365" t="s">
        <v>21</v>
      </c>
      <c r="K365" s="3">
        <f t="shared" si="10"/>
        <v>340000</v>
      </c>
      <c r="L365" t="str">
        <f t="shared" si="11"/>
        <v>2025-06</v>
      </c>
    </row>
    <row r="366" spans="1:12" x14ac:dyDescent="0.25">
      <c r="A366">
        <v>1366</v>
      </c>
      <c r="B366">
        <v>53</v>
      </c>
      <c r="C366" t="str">
        <f>IFERROR(_xlfn.XLOOKUP(B366, Customer!A:A, Customer!B:B), "Unknown Customer")</f>
        <v>Azadeh Moradi</v>
      </c>
      <c r="D366" s="1">
        <v>45892</v>
      </c>
      <c r="E366" t="s">
        <v>20</v>
      </c>
      <c r="F366" t="s">
        <v>17</v>
      </c>
      <c r="G366">
        <v>4</v>
      </c>
      <c r="H366" t="s">
        <v>11</v>
      </c>
      <c r="I366" s="2">
        <v>49739.583333333336</v>
      </c>
      <c r="J366" t="s">
        <v>21</v>
      </c>
      <c r="K366" s="3">
        <f t="shared" si="10"/>
        <v>198958.33333333334</v>
      </c>
      <c r="L366" t="str">
        <f t="shared" si="11"/>
        <v>2025-08</v>
      </c>
    </row>
    <row r="367" spans="1:12" x14ac:dyDescent="0.25">
      <c r="A367">
        <v>1367</v>
      </c>
      <c r="B367">
        <v>81</v>
      </c>
      <c r="C367" t="str">
        <f>IFERROR(_xlfn.XLOOKUP(B367, Customer!A:A, Customer!B:B), "Unknown Customer")</f>
        <v>Nazanin Fallahi</v>
      </c>
      <c r="D367" s="1">
        <v>45818</v>
      </c>
      <c r="E367" t="s">
        <v>13</v>
      </c>
      <c r="F367" t="s">
        <v>14</v>
      </c>
      <c r="G367">
        <v>1</v>
      </c>
      <c r="H367" t="s">
        <v>11</v>
      </c>
      <c r="I367" s="2">
        <v>58000</v>
      </c>
      <c r="J367" t="s">
        <v>24</v>
      </c>
      <c r="K367" s="3">
        <f t="shared" si="10"/>
        <v>58000</v>
      </c>
      <c r="L367" t="str">
        <f t="shared" si="11"/>
        <v>2025-06</v>
      </c>
    </row>
    <row r="368" spans="1:12" x14ac:dyDescent="0.25">
      <c r="A368">
        <v>1368</v>
      </c>
      <c r="B368">
        <v>74</v>
      </c>
      <c r="C368" t="str">
        <f>IFERROR(_xlfn.XLOOKUP(B368, Customer!A:A, Customer!B:B), "Unknown Customer")</f>
        <v>Amir Vakili</v>
      </c>
      <c r="D368" s="1">
        <v>45908</v>
      </c>
      <c r="E368" t="s">
        <v>13</v>
      </c>
      <c r="F368" t="s">
        <v>14</v>
      </c>
      <c r="G368">
        <v>2</v>
      </c>
      <c r="H368" t="s">
        <v>11</v>
      </c>
      <c r="I368" s="2">
        <v>58000</v>
      </c>
      <c r="J368" t="s">
        <v>15</v>
      </c>
      <c r="K368" s="3">
        <f t="shared" si="10"/>
        <v>116000</v>
      </c>
      <c r="L368" t="str">
        <f t="shared" si="11"/>
        <v>2025-09</v>
      </c>
    </row>
    <row r="369" spans="1:12" x14ac:dyDescent="0.25">
      <c r="A369">
        <v>1369</v>
      </c>
      <c r="B369">
        <v>55</v>
      </c>
      <c r="C369" t="str">
        <f>IFERROR(_xlfn.XLOOKUP(B369, Customer!A:A, Customer!B:B), "Unknown Customer")</f>
        <v>Payam Jafari</v>
      </c>
      <c r="D369" s="1">
        <v>45854</v>
      </c>
      <c r="E369" t="s">
        <v>16</v>
      </c>
      <c r="F369" t="s">
        <v>17</v>
      </c>
      <c r="G369">
        <v>2</v>
      </c>
      <c r="H369" t="s">
        <v>11</v>
      </c>
      <c r="I369" s="2">
        <v>75000</v>
      </c>
      <c r="J369" t="s">
        <v>19</v>
      </c>
      <c r="K369" s="3">
        <f t="shared" si="10"/>
        <v>150000</v>
      </c>
      <c r="L369" t="str">
        <f t="shared" si="11"/>
        <v>2025-07</v>
      </c>
    </row>
    <row r="370" spans="1:12" x14ac:dyDescent="0.25">
      <c r="A370">
        <v>1370</v>
      </c>
      <c r="B370">
        <v>115</v>
      </c>
      <c r="C370" t="str">
        <f>IFERROR(_xlfn.XLOOKUP(B370, Customer!A:A, Customer!B:B), "Unknown Customer")</f>
        <v>Setareh Ahmadi</v>
      </c>
      <c r="D370" s="1">
        <v>45929</v>
      </c>
      <c r="E370" t="s">
        <v>25</v>
      </c>
      <c r="F370" t="s">
        <v>10</v>
      </c>
      <c r="G370">
        <v>1</v>
      </c>
      <c r="H370" t="s">
        <v>11</v>
      </c>
      <c r="I370" s="2">
        <v>60000</v>
      </c>
      <c r="J370" t="s">
        <v>24</v>
      </c>
      <c r="K370" s="3">
        <f t="shared" si="10"/>
        <v>60000</v>
      </c>
      <c r="L370" t="str">
        <f t="shared" si="11"/>
        <v>2025-09</v>
      </c>
    </row>
    <row r="371" spans="1:12" x14ac:dyDescent="0.25">
      <c r="A371">
        <v>1371</v>
      </c>
      <c r="B371">
        <v>89</v>
      </c>
      <c r="C371" t="str">
        <f>IFERROR(_xlfn.XLOOKUP(B371, Customer!A:A, Customer!B:B), "Unknown Customer")</f>
        <v>Mona Moradi</v>
      </c>
      <c r="D371" s="1">
        <v>45817</v>
      </c>
      <c r="E371" t="s">
        <v>25</v>
      </c>
      <c r="F371" t="s">
        <v>10</v>
      </c>
      <c r="G371">
        <v>2</v>
      </c>
      <c r="H371" t="s">
        <v>11</v>
      </c>
      <c r="I371" s="2">
        <v>70000</v>
      </c>
      <c r="J371" t="s">
        <v>24</v>
      </c>
      <c r="K371" s="3">
        <f t="shared" si="10"/>
        <v>140000</v>
      </c>
      <c r="L371" t="str">
        <f t="shared" si="11"/>
        <v>2025-06</v>
      </c>
    </row>
    <row r="372" spans="1:12" x14ac:dyDescent="0.25">
      <c r="A372">
        <v>1372</v>
      </c>
      <c r="B372">
        <v>9</v>
      </c>
      <c r="C372" t="str">
        <f>IFERROR(_xlfn.XLOOKUP(B372, Customer!A:A, Customer!B:B), "Unknown Customer")</f>
        <v>Farhad Zare</v>
      </c>
      <c r="D372" s="1">
        <v>45694</v>
      </c>
      <c r="E372" t="s">
        <v>29</v>
      </c>
      <c r="F372" t="s">
        <v>14</v>
      </c>
      <c r="G372">
        <v>3</v>
      </c>
      <c r="H372" t="s">
        <v>11</v>
      </c>
      <c r="I372" s="2">
        <v>50000</v>
      </c>
      <c r="J372" t="s">
        <v>15</v>
      </c>
      <c r="K372" s="3">
        <f t="shared" si="10"/>
        <v>150000</v>
      </c>
      <c r="L372" t="str">
        <f t="shared" si="11"/>
        <v>2025-02</v>
      </c>
    </row>
    <row r="373" spans="1:12" x14ac:dyDescent="0.25">
      <c r="A373">
        <v>1373</v>
      </c>
      <c r="B373">
        <v>114</v>
      </c>
      <c r="C373" t="str">
        <f>IFERROR(_xlfn.XLOOKUP(B373, Customer!A:A, Customer!B:B), "Unknown Customer")</f>
        <v>Omid Fallahi</v>
      </c>
      <c r="D373" s="1">
        <v>45933</v>
      </c>
      <c r="E373" t="s">
        <v>27</v>
      </c>
      <c r="F373" t="s">
        <v>14</v>
      </c>
      <c r="G373">
        <v>1</v>
      </c>
      <c r="H373" t="s">
        <v>11</v>
      </c>
      <c r="I373" s="2">
        <v>35000</v>
      </c>
      <c r="J373" t="s">
        <v>19</v>
      </c>
      <c r="K373" s="3">
        <f t="shared" si="10"/>
        <v>35000</v>
      </c>
      <c r="L373" t="str">
        <f t="shared" si="11"/>
        <v>2025-10</v>
      </c>
    </row>
    <row r="374" spans="1:12" x14ac:dyDescent="0.25">
      <c r="A374">
        <v>1374</v>
      </c>
      <c r="B374">
        <v>30</v>
      </c>
      <c r="C374" t="str">
        <f>IFERROR(_xlfn.XLOOKUP(B374, Customer!A:A, Customer!B:B), "Unknown Customer")</f>
        <v>Mona Mousavi</v>
      </c>
      <c r="D374" s="1">
        <v>45725</v>
      </c>
      <c r="E374" t="s">
        <v>30</v>
      </c>
      <c r="F374" t="s">
        <v>14</v>
      </c>
      <c r="G374">
        <v>2</v>
      </c>
      <c r="H374" t="s">
        <v>11</v>
      </c>
      <c r="I374" s="2">
        <v>53000</v>
      </c>
      <c r="J374" t="s">
        <v>21</v>
      </c>
      <c r="K374" s="3">
        <f t="shared" si="10"/>
        <v>106000</v>
      </c>
      <c r="L374" t="str">
        <f t="shared" si="11"/>
        <v>2025-03</v>
      </c>
    </row>
    <row r="375" spans="1:12" x14ac:dyDescent="0.25">
      <c r="A375">
        <v>1375</v>
      </c>
      <c r="B375">
        <v>92</v>
      </c>
      <c r="C375" t="str">
        <f>IFERROR(_xlfn.XLOOKUP(B375, Customer!A:A, Customer!B:B), "Unknown Customer")</f>
        <v>Payam Zare</v>
      </c>
      <c r="D375" s="1">
        <v>45677</v>
      </c>
      <c r="E375" t="s">
        <v>27</v>
      </c>
      <c r="F375" t="s">
        <v>14</v>
      </c>
      <c r="G375">
        <v>4</v>
      </c>
      <c r="H375" t="s">
        <v>11</v>
      </c>
      <c r="I375" s="2">
        <v>40000</v>
      </c>
      <c r="J375" t="s">
        <v>28</v>
      </c>
      <c r="K375" s="3">
        <f t="shared" si="10"/>
        <v>160000</v>
      </c>
      <c r="L375" t="str">
        <f t="shared" si="11"/>
        <v>2025-01</v>
      </c>
    </row>
    <row r="376" spans="1:12" x14ac:dyDescent="0.25">
      <c r="A376">
        <v>1376</v>
      </c>
      <c r="B376">
        <v>7</v>
      </c>
      <c r="C376" t="str">
        <f>IFERROR(_xlfn.XLOOKUP(B376, Customer!A:A, Customer!B:B), "Unknown Customer")</f>
        <v>Farhad Vakili</v>
      </c>
      <c r="D376" s="1">
        <v>45713</v>
      </c>
      <c r="E376" t="s">
        <v>27</v>
      </c>
      <c r="F376" t="s">
        <v>14</v>
      </c>
      <c r="G376">
        <v>1</v>
      </c>
      <c r="H376" t="s">
        <v>11</v>
      </c>
      <c r="I376" s="2">
        <v>30000</v>
      </c>
      <c r="J376" t="s">
        <v>15</v>
      </c>
      <c r="K376" s="3">
        <f t="shared" si="10"/>
        <v>30000</v>
      </c>
      <c r="L376" t="str">
        <f t="shared" si="11"/>
        <v>2025-02</v>
      </c>
    </row>
    <row r="377" spans="1:12" x14ac:dyDescent="0.25">
      <c r="A377">
        <v>1377</v>
      </c>
      <c r="B377">
        <v>16</v>
      </c>
      <c r="C377" t="str">
        <f>IFERROR(_xlfn.XLOOKUP(B377, Customer!A:A, Customer!B:B), "Unknown Customer")</f>
        <v>Milad Yousefi</v>
      </c>
      <c r="D377" s="1">
        <v>45787</v>
      </c>
      <c r="E377" t="s">
        <v>23</v>
      </c>
      <c r="F377" t="s">
        <v>17</v>
      </c>
      <c r="G377">
        <v>1</v>
      </c>
      <c r="H377" t="s">
        <v>11</v>
      </c>
      <c r="I377" s="2">
        <v>80000</v>
      </c>
      <c r="J377" t="s">
        <v>12</v>
      </c>
      <c r="K377" s="3">
        <f t="shared" si="10"/>
        <v>80000</v>
      </c>
      <c r="L377" t="str">
        <f t="shared" si="11"/>
        <v>2025-05</v>
      </c>
    </row>
    <row r="378" spans="1:12" x14ac:dyDescent="0.25">
      <c r="A378">
        <v>1378</v>
      </c>
      <c r="B378">
        <v>13</v>
      </c>
      <c r="C378" t="str">
        <f>IFERROR(_xlfn.XLOOKUP(B378, Customer!A:A, Customer!B:B), "Unknown Customer")</f>
        <v>Milad Naderi</v>
      </c>
      <c r="D378" s="1">
        <v>45924</v>
      </c>
      <c r="E378" t="s">
        <v>27</v>
      </c>
      <c r="F378" t="s">
        <v>14</v>
      </c>
      <c r="G378">
        <v>2</v>
      </c>
      <c r="H378" t="s">
        <v>11</v>
      </c>
      <c r="I378" s="2">
        <v>30000</v>
      </c>
      <c r="J378" t="s">
        <v>21</v>
      </c>
      <c r="K378" s="3">
        <f t="shared" si="10"/>
        <v>60000</v>
      </c>
      <c r="L378" t="str">
        <f t="shared" si="11"/>
        <v>2025-09</v>
      </c>
    </row>
    <row r="379" spans="1:12" x14ac:dyDescent="0.25">
      <c r="A379">
        <v>1379</v>
      </c>
      <c r="B379">
        <v>15</v>
      </c>
      <c r="C379" t="str">
        <f>IFERROR(_xlfn.XLOOKUP(B379, Customer!A:A, Customer!B:B), "Unknown Customer")</f>
        <v>Milad Zare</v>
      </c>
      <c r="D379" s="1">
        <v>45912</v>
      </c>
      <c r="E379" t="s">
        <v>18</v>
      </c>
      <c r="F379" t="s">
        <v>14</v>
      </c>
      <c r="G379">
        <v>4</v>
      </c>
      <c r="H379" t="s">
        <v>11</v>
      </c>
      <c r="I379" s="2">
        <v>55000</v>
      </c>
      <c r="J379" t="s">
        <v>21</v>
      </c>
      <c r="K379" s="3">
        <f t="shared" si="10"/>
        <v>220000</v>
      </c>
      <c r="L379" t="str">
        <f t="shared" si="11"/>
        <v>2025-09</v>
      </c>
    </row>
    <row r="380" spans="1:12" x14ac:dyDescent="0.25">
      <c r="A380">
        <v>1380</v>
      </c>
      <c r="B380">
        <v>91</v>
      </c>
      <c r="C380" t="str">
        <f>IFERROR(_xlfn.XLOOKUP(B380, Customer!A:A, Customer!B:B), "Unknown Customer")</f>
        <v>Ali Ebrahimi</v>
      </c>
      <c r="D380" s="1">
        <v>45809</v>
      </c>
      <c r="E380" t="s">
        <v>31</v>
      </c>
      <c r="F380" t="s">
        <v>17</v>
      </c>
      <c r="G380">
        <v>2</v>
      </c>
      <c r="H380" t="s">
        <v>11</v>
      </c>
      <c r="I380" s="2">
        <v>40000</v>
      </c>
      <c r="J380" t="s">
        <v>21</v>
      </c>
      <c r="K380" s="3">
        <f t="shared" si="10"/>
        <v>80000</v>
      </c>
      <c r="L380" t="str">
        <f t="shared" si="11"/>
        <v>2025-06</v>
      </c>
    </row>
    <row r="381" spans="1:12" x14ac:dyDescent="0.25">
      <c r="A381">
        <v>1381</v>
      </c>
      <c r="B381">
        <v>31</v>
      </c>
      <c r="C381" t="str">
        <f>IFERROR(_xlfn.XLOOKUP(B381, Customer!A:A, Customer!B:B), "Unknown Customer")</f>
        <v>Sara Karimi</v>
      </c>
      <c r="D381" s="1">
        <v>45664</v>
      </c>
      <c r="E381" t="s">
        <v>29</v>
      </c>
      <c r="F381" t="s">
        <v>14</v>
      </c>
      <c r="G381">
        <v>1</v>
      </c>
      <c r="H381" t="s">
        <v>11</v>
      </c>
      <c r="I381" s="2">
        <v>50000</v>
      </c>
      <c r="J381" t="s">
        <v>24</v>
      </c>
      <c r="K381" s="3">
        <f t="shared" si="10"/>
        <v>50000</v>
      </c>
      <c r="L381" t="str">
        <f t="shared" si="11"/>
        <v>2025-01</v>
      </c>
    </row>
    <row r="382" spans="1:12" x14ac:dyDescent="0.25">
      <c r="A382">
        <v>1382</v>
      </c>
      <c r="B382">
        <v>55</v>
      </c>
      <c r="C382" t="str">
        <f>IFERROR(_xlfn.XLOOKUP(B382, Customer!A:A, Customer!B:B), "Unknown Customer")</f>
        <v>Payam Jafari</v>
      </c>
      <c r="D382" s="1">
        <v>45919</v>
      </c>
      <c r="E382" t="s">
        <v>18</v>
      </c>
      <c r="F382" t="s">
        <v>14</v>
      </c>
      <c r="G382">
        <v>1</v>
      </c>
      <c r="H382" t="s">
        <v>11</v>
      </c>
      <c r="I382" s="2">
        <v>55000</v>
      </c>
      <c r="J382" t="s">
        <v>21</v>
      </c>
      <c r="K382" s="3">
        <f t="shared" si="10"/>
        <v>55000</v>
      </c>
      <c r="L382" t="str">
        <f t="shared" si="11"/>
        <v>2025-09</v>
      </c>
    </row>
    <row r="383" spans="1:12" x14ac:dyDescent="0.25">
      <c r="A383">
        <v>1383</v>
      </c>
      <c r="B383">
        <v>60</v>
      </c>
      <c r="C383" t="str">
        <f>IFERROR(_xlfn.XLOOKUP(B383, Customer!A:A, Customer!B:B), "Unknown Customer")</f>
        <v>Sina Ghasemi</v>
      </c>
      <c r="D383" s="1">
        <v>45709</v>
      </c>
      <c r="E383" t="s">
        <v>29</v>
      </c>
      <c r="F383" t="s">
        <v>14</v>
      </c>
      <c r="G383">
        <v>4</v>
      </c>
      <c r="H383" t="s">
        <v>11</v>
      </c>
      <c r="I383" s="2">
        <v>45000</v>
      </c>
      <c r="J383" t="s">
        <v>15</v>
      </c>
      <c r="K383" s="3">
        <f t="shared" si="10"/>
        <v>180000</v>
      </c>
      <c r="L383" t="str">
        <f t="shared" si="11"/>
        <v>2025-02</v>
      </c>
    </row>
    <row r="384" spans="1:12" x14ac:dyDescent="0.25">
      <c r="A384">
        <v>1384</v>
      </c>
      <c r="B384">
        <v>95</v>
      </c>
      <c r="C384" t="str">
        <f>IFERROR(_xlfn.XLOOKUP(B384, Customer!A:A, Customer!B:B), "Unknown Customer")</f>
        <v>Elham Norouzi</v>
      </c>
      <c r="D384" s="1">
        <v>45706</v>
      </c>
      <c r="E384" t="s">
        <v>18</v>
      </c>
      <c r="F384" t="s">
        <v>14</v>
      </c>
      <c r="G384">
        <v>4</v>
      </c>
      <c r="H384" t="s">
        <v>11</v>
      </c>
      <c r="I384" s="2">
        <v>55000</v>
      </c>
      <c r="J384" t="s">
        <v>21</v>
      </c>
      <c r="K384" s="3">
        <f t="shared" si="10"/>
        <v>220000</v>
      </c>
      <c r="L384" t="str">
        <f t="shared" si="11"/>
        <v>2025-02</v>
      </c>
    </row>
    <row r="385" spans="1:12" x14ac:dyDescent="0.25">
      <c r="A385">
        <v>1385</v>
      </c>
      <c r="B385">
        <v>46</v>
      </c>
      <c r="C385" t="str">
        <f>IFERROR(_xlfn.XLOOKUP(B385, Customer!A:A, Customer!B:B), "Unknown Customer")</f>
        <v>Mahsa Ghasemi</v>
      </c>
      <c r="D385" s="1">
        <v>45976</v>
      </c>
      <c r="E385" t="s">
        <v>16</v>
      </c>
      <c r="F385" t="s">
        <v>17</v>
      </c>
      <c r="G385">
        <v>1</v>
      </c>
      <c r="H385" t="s">
        <v>11</v>
      </c>
      <c r="I385" s="2">
        <v>75000</v>
      </c>
      <c r="J385" t="s">
        <v>15</v>
      </c>
      <c r="K385" s="3">
        <f t="shared" si="10"/>
        <v>75000</v>
      </c>
      <c r="L385" t="str">
        <f t="shared" si="11"/>
        <v>2025-11</v>
      </c>
    </row>
    <row r="386" spans="1:12" x14ac:dyDescent="0.25">
      <c r="A386">
        <v>1386</v>
      </c>
      <c r="B386">
        <v>52</v>
      </c>
      <c r="C386" t="str">
        <f>IFERROR(_xlfn.XLOOKUP(B386, Customer!A:A, Customer!B:B), "Unknown Customer")</f>
        <v>Kaveh Rostami</v>
      </c>
      <c r="D386" s="1">
        <v>45797</v>
      </c>
      <c r="E386" t="s">
        <v>16</v>
      </c>
      <c r="F386" t="s">
        <v>17</v>
      </c>
      <c r="G386">
        <v>4</v>
      </c>
      <c r="H386" t="s">
        <v>11</v>
      </c>
      <c r="I386" s="2">
        <v>75000</v>
      </c>
      <c r="J386" t="s">
        <v>19</v>
      </c>
      <c r="K386" s="3">
        <f t="shared" si="10"/>
        <v>300000</v>
      </c>
      <c r="L386" t="str">
        <f t="shared" si="11"/>
        <v>2025-05</v>
      </c>
    </row>
    <row r="387" spans="1:12" x14ac:dyDescent="0.25">
      <c r="A387">
        <v>1387</v>
      </c>
      <c r="B387">
        <v>17</v>
      </c>
      <c r="C387" t="str">
        <f>IFERROR(_xlfn.XLOOKUP(B387, Customer!A:A, Customer!B:B), "Unknown Customer")</f>
        <v>Kaveh Jafari</v>
      </c>
      <c r="D387" s="1">
        <v>45688</v>
      </c>
      <c r="E387" t="s">
        <v>22</v>
      </c>
      <c r="F387" t="s">
        <v>14</v>
      </c>
      <c r="G387">
        <v>2</v>
      </c>
      <c r="H387" t="s">
        <v>11</v>
      </c>
      <c r="I387" s="2">
        <v>65000</v>
      </c>
      <c r="J387" t="s">
        <v>24</v>
      </c>
      <c r="K387" s="3">
        <f t="shared" ref="K387:K450" si="12">G387*I387</f>
        <v>130000</v>
      </c>
      <c r="L387" t="str">
        <f t="shared" ref="L387:L450" si="13">TEXT(D387,"YYYY-MM")</f>
        <v>2025-01</v>
      </c>
    </row>
    <row r="388" spans="1:12" x14ac:dyDescent="0.25">
      <c r="A388">
        <v>1388</v>
      </c>
      <c r="B388">
        <v>79</v>
      </c>
      <c r="C388" t="str">
        <f>IFERROR(_xlfn.XLOOKUP(B388, Customer!A:A, Customer!B:B), "Unknown Customer")</f>
        <v>Niloofar Ahmadi</v>
      </c>
      <c r="D388" s="1">
        <v>45841</v>
      </c>
      <c r="E388" t="s">
        <v>31</v>
      </c>
      <c r="F388" t="s">
        <v>17</v>
      </c>
      <c r="G388">
        <v>4</v>
      </c>
      <c r="H388" t="s">
        <v>11</v>
      </c>
      <c r="I388" s="2">
        <v>40428.571428571428</v>
      </c>
      <c r="J388" t="s">
        <v>19</v>
      </c>
      <c r="K388" s="3">
        <f t="shared" si="12"/>
        <v>161714.28571428571</v>
      </c>
      <c r="L388" t="str">
        <f t="shared" si="13"/>
        <v>2025-07</v>
      </c>
    </row>
    <row r="389" spans="1:12" x14ac:dyDescent="0.25">
      <c r="A389">
        <v>1389</v>
      </c>
      <c r="B389">
        <v>114</v>
      </c>
      <c r="C389" t="str">
        <f>IFERROR(_xlfn.XLOOKUP(B389, Customer!A:A, Customer!B:B), "Unknown Customer")</f>
        <v>Omid Fallahi</v>
      </c>
      <c r="D389" s="1">
        <v>45883</v>
      </c>
      <c r="E389" t="s">
        <v>31</v>
      </c>
      <c r="F389" t="s">
        <v>17</v>
      </c>
      <c r="G389">
        <v>1</v>
      </c>
      <c r="H389" t="s">
        <v>11</v>
      </c>
      <c r="I389" s="2">
        <v>40000</v>
      </c>
      <c r="J389" t="s">
        <v>12</v>
      </c>
      <c r="K389" s="3">
        <f t="shared" si="12"/>
        <v>40000</v>
      </c>
      <c r="L389" t="str">
        <f t="shared" si="13"/>
        <v>2025-08</v>
      </c>
    </row>
    <row r="390" spans="1:12" x14ac:dyDescent="0.25">
      <c r="A390">
        <v>1390</v>
      </c>
      <c r="B390">
        <v>112</v>
      </c>
      <c r="C390" t="str">
        <f>IFERROR(_xlfn.XLOOKUP(B390, Customer!A:A, Customer!B:B), "Unknown Customer")</f>
        <v>Amir Fallahi</v>
      </c>
      <c r="D390" s="1">
        <v>45923</v>
      </c>
      <c r="E390" t="s">
        <v>25</v>
      </c>
      <c r="F390" t="s">
        <v>10</v>
      </c>
      <c r="G390">
        <v>2</v>
      </c>
      <c r="H390" t="s">
        <v>11</v>
      </c>
      <c r="I390" s="2">
        <v>65000</v>
      </c>
      <c r="J390" t="s">
        <v>12</v>
      </c>
      <c r="K390" s="3">
        <f t="shared" si="12"/>
        <v>130000</v>
      </c>
      <c r="L390" t="str">
        <f t="shared" si="13"/>
        <v>2025-09</v>
      </c>
    </row>
    <row r="391" spans="1:12" x14ac:dyDescent="0.25">
      <c r="A391">
        <v>1391</v>
      </c>
      <c r="B391">
        <v>87</v>
      </c>
      <c r="C391" t="str">
        <f>IFERROR(_xlfn.XLOOKUP(B391, Customer!A:A, Customer!B:B), "Unknown Customer")</f>
        <v>Sepideh Abbasi</v>
      </c>
      <c r="D391" s="1">
        <v>45855</v>
      </c>
      <c r="E391" t="s">
        <v>27</v>
      </c>
      <c r="F391" t="s">
        <v>14</v>
      </c>
      <c r="G391">
        <v>1</v>
      </c>
      <c r="H391" t="s">
        <v>11</v>
      </c>
      <c r="I391" s="2">
        <v>35000</v>
      </c>
      <c r="J391" t="s">
        <v>15</v>
      </c>
      <c r="K391" s="3">
        <f t="shared" si="12"/>
        <v>35000</v>
      </c>
      <c r="L391" t="str">
        <f t="shared" si="13"/>
        <v>2025-07</v>
      </c>
    </row>
    <row r="392" spans="1:12" x14ac:dyDescent="0.25">
      <c r="A392">
        <v>1392</v>
      </c>
      <c r="B392">
        <v>112</v>
      </c>
      <c r="C392" t="str">
        <f>IFERROR(_xlfn.XLOOKUP(B392, Customer!A:A, Customer!B:B), "Unknown Customer")</f>
        <v>Amir Fallahi</v>
      </c>
      <c r="D392" s="1">
        <v>45871</v>
      </c>
      <c r="E392" t="s">
        <v>13</v>
      </c>
      <c r="F392" t="s">
        <v>14</v>
      </c>
      <c r="G392">
        <v>1</v>
      </c>
      <c r="H392" t="s">
        <v>11</v>
      </c>
      <c r="I392" s="2">
        <v>58000</v>
      </c>
      <c r="J392" t="s">
        <v>32</v>
      </c>
      <c r="K392" s="3">
        <f t="shared" si="12"/>
        <v>58000</v>
      </c>
      <c r="L392" t="str">
        <f t="shared" si="13"/>
        <v>2025-08</v>
      </c>
    </row>
    <row r="393" spans="1:12" x14ac:dyDescent="0.25">
      <c r="A393">
        <v>1393</v>
      </c>
      <c r="B393">
        <v>29</v>
      </c>
      <c r="C393" t="str">
        <f>IFERROR(_xlfn.XLOOKUP(B393, Customer!A:A, Customer!B:B), "Unknown Customer")</f>
        <v>Leila Kazemi</v>
      </c>
      <c r="D393" s="1">
        <v>45987</v>
      </c>
      <c r="E393" t="s">
        <v>23</v>
      </c>
      <c r="F393" t="s">
        <v>17</v>
      </c>
      <c r="G393">
        <v>4</v>
      </c>
      <c r="H393" t="s">
        <v>11</v>
      </c>
      <c r="I393" s="2">
        <v>85000</v>
      </c>
      <c r="J393" t="s">
        <v>15</v>
      </c>
      <c r="K393" s="3">
        <f t="shared" si="12"/>
        <v>340000</v>
      </c>
      <c r="L393" t="str">
        <f t="shared" si="13"/>
        <v>2025-11</v>
      </c>
    </row>
    <row r="394" spans="1:12" x14ac:dyDescent="0.25">
      <c r="A394">
        <v>1394</v>
      </c>
      <c r="B394">
        <v>103</v>
      </c>
      <c r="C394" t="str">
        <f>IFERROR(_xlfn.XLOOKUP(B394, Customer!A:A, Customer!B:B), "Unknown Customer")</f>
        <v>Babak Rezaei</v>
      </c>
      <c r="D394" s="1">
        <v>45887</v>
      </c>
      <c r="E394" t="s">
        <v>20</v>
      </c>
      <c r="F394" t="s">
        <v>17</v>
      </c>
      <c r="G394">
        <v>2</v>
      </c>
      <c r="H394" t="s">
        <v>11</v>
      </c>
      <c r="I394" s="2">
        <v>50000</v>
      </c>
      <c r="J394" t="s">
        <v>12</v>
      </c>
      <c r="K394" s="3">
        <f t="shared" si="12"/>
        <v>100000</v>
      </c>
      <c r="L394" t="str">
        <f t="shared" si="13"/>
        <v>2025-08</v>
      </c>
    </row>
    <row r="395" spans="1:12" x14ac:dyDescent="0.25">
      <c r="A395">
        <v>1395</v>
      </c>
      <c r="B395">
        <v>84</v>
      </c>
      <c r="C395" t="str">
        <f>IFERROR(_xlfn.XLOOKUP(B395, Customer!A:A, Customer!B:B), "Unknown Customer")</f>
        <v>Setareh Moradi</v>
      </c>
      <c r="D395" s="1">
        <v>45710</v>
      </c>
      <c r="E395" t="s">
        <v>29</v>
      </c>
      <c r="F395" t="s">
        <v>14</v>
      </c>
      <c r="G395">
        <v>1</v>
      </c>
      <c r="H395" t="s">
        <v>11</v>
      </c>
      <c r="I395" s="2">
        <v>50000</v>
      </c>
      <c r="J395" t="s">
        <v>19</v>
      </c>
      <c r="K395" s="3">
        <f t="shared" si="12"/>
        <v>50000</v>
      </c>
      <c r="L395" t="str">
        <f t="shared" si="13"/>
        <v>2025-02</v>
      </c>
    </row>
    <row r="396" spans="1:12" x14ac:dyDescent="0.25">
      <c r="A396">
        <v>1396</v>
      </c>
      <c r="B396">
        <v>102</v>
      </c>
      <c r="C396" t="str">
        <f>IFERROR(_xlfn.XLOOKUP(B396, Customer!A:A, Customer!B:B), "Unknown Customer")</f>
        <v>Yasaman Yousefi</v>
      </c>
      <c r="D396" s="1">
        <v>45974</v>
      </c>
      <c r="E396" t="s">
        <v>20</v>
      </c>
      <c r="F396" t="s">
        <v>17</v>
      </c>
      <c r="G396">
        <v>2</v>
      </c>
      <c r="H396" t="s">
        <v>11</v>
      </c>
      <c r="I396" s="2">
        <v>55000</v>
      </c>
      <c r="J396" t="s">
        <v>21</v>
      </c>
      <c r="K396" s="3">
        <f t="shared" si="12"/>
        <v>110000</v>
      </c>
      <c r="L396" t="str">
        <f t="shared" si="13"/>
        <v>2025-11</v>
      </c>
    </row>
    <row r="397" spans="1:12" x14ac:dyDescent="0.25">
      <c r="A397">
        <v>1397</v>
      </c>
      <c r="B397">
        <v>47</v>
      </c>
      <c r="C397" t="str">
        <f>IFERROR(_xlfn.XLOOKUP(B397, Customer!A:A, Customer!B:B), "Unknown Customer")</f>
        <v>Mahsa Abbasi</v>
      </c>
      <c r="D397" s="1">
        <v>45772</v>
      </c>
      <c r="E397" t="s">
        <v>29</v>
      </c>
      <c r="F397" t="s">
        <v>14</v>
      </c>
      <c r="G397">
        <v>2</v>
      </c>
      <c r="H397" t="s">
        <v>11</v>
      </c>
      <c r="I397" s="2">
        <v>50000</v>
      </c>
      <c r="J397" t="s">
        <v>12</v>
      </c>
      <c r="K397" s="3">
        <f t="shared" si="12"/>
        <v>100000</v>
      </c>
      <c r="L397" t="str">
        <f t="shared" si="13"/>
        <v>2025-04</v>
      </c>
    </row>
    <row r="398" spans="1:12" x14ac:dyDescent="0.25">
      <c r="A398">
        <v>1398</v>
      </c>
      <c r="B398">
        <v>85</v>
      </c>
      <c r="C398" t="str">
        <f>IFERROR(_xlfn.XLOOKUP(B398, Customer!A:A, Customer!B:B), "Unknown Customer")</f>
        <v>Sepideh Yousefi</v>
      </c>
      <c r="D398" s="1">
        <v>45889</v>
      </c>
      <c r="E398" t="s">
        <v>25</v>
      </c>
      <c r="F398" t="s">
        <v>10</v>
      </c>
      <c r="G398">
        <v>4</v>
      </c>
      <c r="H398" t="s">
        <v>11</v>
      </c>
      <c r="I398" s="2">
        <v>65000</v>
      </c>
      <c r="J398" t="s">
        <v>21</v>
      </c>
      <c r="K398" s="3">
        <f t="shared" si="12"/>
        <v>260000</v>
      </c>
      <c r="L398" t="str">
        <f t="shared" si="13"/>
        <v>2025-08</v>
      </c>
    </row>
    <row r="399" spans="1:12" x14ac:dyDescent="0.25">
      <c r="A399">
        <v>1399</v>
      </c>
      <c r="B399">
        <v>107</v>
      </c>
      <c r="C399" t="str">
        <f>IFERROR(_xlfn.XLOOKUP(B399, Customer!A:A, Customer!B:B), "Unknown Customer")</f>
        <v>Mona Abbasi</v>
      </c>
      <c r="D399" s="1">
        <v>45807</v>
      </c>
      <c r="E399" t="s">
        <v>27</v>
      </c>
      <c r="F399" t="s">
        <v>14</v>
      </c>
      <c r="G399">
        <v>3</v>
      </c>
      <c r="H399" t="s">
        <v>11</v>
      </c>
      <c r="I399" s="2">
        <v>30000</v>
      </c>
      <c r="J399" t="s">
        <v>15</v>
      </c>
      <c r="K399" s="3">
        <f t="shared" si="12"/>
        <v>90000</v>
      </c>
      <c r="L399" t="str">
        <f t="shared" si="13"/>
        <v>2025-05</v>
      </c>
    </row>
    <row r="400" spans="1:12" x14ac:dyDescent="0.25">
      <c r="A400">
        <v>1400</v>
      </c>
      <c r="B400">
        <v>18</v>
      </c>
      <c r="C400" t="str">
        <f>IFERROR(_xlfn.XLOOKUP(B400, Customer!A:A, Customer!B:B), "Unknown Customer")</f>
        <v>Niloofar Abbasi</v>
      </c>
      <c r="D400" s="1">
        <v>45867</v>
      </c>
      <c r="E400" t="s">
        <v>22</v>
      </c>
      <c r="F400" t="s">
        <v>14</v>
      </c>
      <c r="G400">
        <v>2</v>
      </c>
      <c r="H400" t="s">
        <v>11</v>
      </c>
      <c r="I400" s="2">
        <v>60000</v>
      </c>
      <c r="J400" t="s">
        <v>15</v>
      </c>
      <c r="K400" s="3">
        <f t="shared" si="12"/>
        <v>120000</v>
      </c>
      <c r="L400" t="str">
        <f t="shared" si="13"/>
        <v>2025-07</v>
      </c>
    </row>
    <row r="401" spans="1:12" x14ac:dyDescent="0.25">
      <c r="A401">
        <v>1401</v>
      </c>
      <c r="B401">
        <v>28</v>
      </c>
      <c r="C401" t="str">
        <f>IFERROR(_xlfn.XLOOKUP(B401, Customer!A:A, Customer!B:B), "Unknown Customer")</f>
        <v>Yasaman Naderi</v>
      </c>
      <c r="D401" s="1">
        <v>45873</v>
      </c>
      <c r="E401" t="s">
        <v>16</v>
      </c>
      <c r="F401" t="s">
        <v>17</v>
      </c>
      <c r="G401">
        <v>1</v>
      </c>
      <c r="H401" t="s">
        <v>11</v>
      </c>
      <c r="I401" s="2">
        <v>75256.41025641025</v>
      </c>
      <c r="J401" t="s">
        <v>15</v>
      </c>
      <c r="K401" s="3">
        <f t="shared" si="12"/>
        <v>75256.41025641025</v>
      </c>
      <c r="L401" t="str">
        <f t="shared" si="13"/>
        <v>2025-08</v>
      </c>
    </row>
    <row r="402" spans="1:12" x14ac:dyDescent="0.25">
      <c r="A402">
        <v>1402</v>
      </c>
      <c r="B402">
        <v>59</v>
      </c>
      <c r="C402" t="str">
        <f>IFERROR(_xlfn.XLOOKUP(B402, Customer!A:A, Customer!B:B), "Unknown Customer")</f>
        <v>Niloofar Hosseini</v>
      </c>
      <c r="D402" s="1">
        <v>45959</v>
      </c>
      <c r="E402" t="s">
        <v>27</v>
      </c>
      <c r="F402" t="s">
        <v>14</v>
      </c>
      <c r="G402">
        <v>2</v>
      </c>
      <c r="H402" t="s">
        <v>11</v>
      </c>
      <c r="I402" s="2">
        <v>35000</v>
      </c>
      <c r="J402" t="s">
        <v>28</v>
      </c>
      <c r="K402" s="3">
        <f t="shared" si="12"/>
        <v>70000</v>
      </c>
      <c r="L402" t="str">
        <f t="shared" si="13"/>
        <v>2025-10</v>
      </c>
    </row>
    <row r="403" spans="1:12" x14ac:dyDescent="0.25">
      <c r="A403">
        <v>1403</v>
      </c>
      <c r="B403">
        <v>120</v>
      </c>
      <c r="C403" t="str">
        <f>IFERROR(_xlfn.XLOOKUP(B403, Customer!A:A, Customer!B:B), "Unknown Customer")</f>
        <v>Sepideh Abbasi</v>
      </c>
      <c r="D403" s="1">
        <v>45957</v>
      </c>
      <c r="E403" t="s">
        <v>31</v>
      </c>
      <c r="F403" t="s">
        <v>17</v>
      </c>
      <c r="G403">
        <v>3</v>
      </c>
      <c r="H403" t="s">
        <v>11</v>
      </c>
      <c r="I403" s="2">
        <v>45000</v>
      </c>
      <c r="J403" t="s">
        <v>19</v>
      </c>
      <c r="K403" s="3">
        <f t="shared" si="12"/>
        <v>135000</v>
      </c>
      <c r="L403" t="str">
        <f t="shared" si="13"/>
        <v>2025-10</v>
      </c>
    </row>
    <row r="404" spans="1:12" x14ac:dyDescent="0.25">
      <c r="A404">
        <v>1404</v>
      </c>
      <c r="B404">
        <v>50</v>
      </c>
      <c r="C404" t="str">
        <f>IFERROR(_xlfn.XLOOKUP(B404, Customer!A:A, Customer!B:B), "Unknown Customer")</f>
        <v>Mona Naderi</v>
      </c>
      <c r="D404" s="1">
        <v>45758</v>
      </c>
      <c r="E404" t="s">
        <v>27</v>
      </c>
      <c r="F404" t="s">
        <v>14</v>
      </c>
      <c r="G404">
        <v>2</v>
      </c>
      <c r="H404" t="s">
        <v>11</v>
      </c>
      <c r="I404" s="2">
        <v>35000</v>
      </c>
      <c r="J404" t="s">
        <v>21</v>
      </c>
      <c r="K404" s="3">
        <f t="shared" si="12"/>
        <v>70000</v>
      </c>
      <c r="L404" t="str">
        <f t="shared" si="13"/>
        <v>2025-04</v>
      </c>
    </row>
    <row r="405" spans="1:12" x14ac:dyDescent="0.25">
      <c r="A405">
        <v>1405</v>
      </c>
      <c r="B405">
        <v>51</v>
      </c>
      <c r="C405" t="str">
        <f>IFERROR(_xlfn.XLOOKUP(B405, Customer!A:A, Customer!B:B), "Unknown Customer")</f>
        <v>Azadeh Karimi</v>
      </c>
      <c r="D405" s="1">
        <v>45808</v>
      </c>
      <c r="E405" t="s">
        <v>25</v>
      </c>
      <c r="F405" t="s">
        <v>10</v>
      </c>
      <c r="G405">
        <v>1</v>
      </c>
      <c r="H405" t="s">
        <v>11</v>
      </c>
      <c r="I405" s="2">
        <v>65000</v>
      </c>
      <c r="J405" t="s">
        <v>12</v>
      </c>
      <c r="K405" s="3">
        <f t="shared" si="12"/>
        <v>65000</v>
      </c>
      <c r="L405" t="str">
        <f t="shared" si="13"/>
        <v>2025-05</v>
      </c>
    </row>
    <row r="406" spans="1:12" x14ac:dyDescent="0.25">
      <c r="A406">
        <v>1406</v>
      </c>
      <c r="B406">
        <v>71</v>
      </c>
      <c r="C406" t="str">
        <f>IFERROR(_xlfn.XLOOKUP(B406, Customer!A:A, Customer!B:B), "Unknown Customer")</f>
        <v>Milad Mousavi</v>
      </c>
      <c r="D406" s="1">
        <v>46022</v>
      </c>
      <c r="E406" t="s">
        <v>25</v>
      </c>
      <c r="F406" t="s">
        <v>10</v>
      </c>
      <c r="G406">
        <v>1</v>
      </c>
      <c r="H406" t="s">
        <v>11</v>
      </c>
      <c r="I406" s="2">
        <v>65000</v>
      </c>
      <c r="J406" t="s">
        <v>32</v>
      </c>
      <c r="K406" s="3">
        <f t="shared" si="12"/>
        <v>65000</v>
      </c>
      <c r="L406" t="str">
        <f t="shared" si="13"/>
        <v>2025-12</v>
      </c>
    </row>
    <row r="407" spans="1:12" x14ac:dyDescent="0.25">
      <c r="A407">
        <v>1407</v>
      </c>
      <c r="B407">
        <v>45</v>
      </c>
      <c r="C407" t="str">
        <f>IFERROR(_xlfn.XLOOKUP(B407, Customer!A:A, Customer!B:B), "Unknown Customer")</f>
        <v>Mona Vakili</v>
      </c>
      <c r="D407" s="1">
        <v>45725</v>
      </c>
      <c r="E407" t="s">
        <v>27</v>
      </c>
      <c r="F407" t="s">
        <v>14</v>
      </c>
      <c r="G407">
        <v>2</v>
      </c>
      <c r="H407" t="s">
        <v>11</v>
      </c>
      <c r="I407" s="2">
        <v>40000</v>
      </c>
      <c r="J407" t="s">
        <v>12</v>
      </c>
      <c r="K407" s="3">
        <f t="shared" si="12"/>
        <v>80000</v>
      </c>
      <c r="L407" t="str">
        <f t="shared" si="13"/>
        <v>2025-03</v>
      </c>
    </row>
    <row r="408" spans="1:12" x14ac:dyDescent="0.25">
      <c r="A408">
        <v>1408</v>
      </c>
      <c r="B408">
        <v>15</v>
      </c>
      <c r="C408" t="str">
        <f>IFERROR(_xlfn.XLOOKUP(B408, Customer!A:A, Customer!B:B), "Unknown Customer")</f>
        <v>Milad Zare</v>
      </c>
      <c r="D408" s="1">
        <v>45945</v>
      </c>
      <c r="E408" t="s">
        <v>25</v>
      </c>
      <c r="F408" t="s">
        <v>10</v>
      </c>
      <c r="G408">
        <v>3</v>
      </c>
      <c r="H408" t="s">
        <v>11</v>
      </c>
      <c r="I408" s="2">
        <v>70000</v>
      </c>
      <c r="J408" t="s">
        <v>19</v>
      </c>
      <c r="K408" s="3">
        <f t="shared" si="12"/>
        <v>210000</v>
      </c>
      <c r="L408" t="str">
        <f t="shared" si="13"/>
        <v>2025-10</v>
      </c>
    </row>
    <row r="409" spans="1:12" x14ac:dyDescent="0.25">
      <c r="A409">
        <v>1409</v>
      </c>
      <c r="B409">
        <v>67</v>
      </c>
      <c r="C409" t="str">
        <f>IFERROR(_xlfn.XLOOKUP(B409, Customer!A:A, Customer!B:B), "Unknown Customer")</f>
        <v>Reza Jafari</v>
      </c>
      <c r="D409" s="1">
        <v>45670</v>
      </c>
      <c r="E409" t="s">
        <v>18</v>
      </c>
      <c r="F409" t="s">
        <v>14</v>
      </c>
      <c r="G409">
        <v>1</v>
      </c>
      <c r="H409" t="s">
        <v>11</v>
      </c>
      <c r="I409" s="2">
        <v>50000</v>
      </c>
      <c r="J409" t="s">
        <v>24</v>
      </c>
      <c r="K409" s="3">
        <f t="shared" si="12"/>
        <v>50000</v>
      </c>
      <c r="L409" t="str">
        <f t="shared" si="13"/>
        <v>2025-01</v>
      </c>
    </row>
    <row r="410" spans="1:12" x14ac:dyDescent="0.25">
      <c r="A410">
        <v>1410</v>
      </c>
      <c r="B410">
        <v>37</v>
      </c>
      <c r="C410" t="str">
        <f>IFERROR(_xlfn.XLOOKUP(B410, Customer!A:A, Customer!B:B), "Unknown Customer")</f>
        <v>Omid Sadeghi</v>
      </c>
      <c r="D410" s="1">
        <v>45786</v>
      </c>
      <c r="E410" t="s">
        <v>27</v>
      </c>
      <c r="F410" t="s">
        <v>14</v>
      </c>
      <c r="G410">
        <v>3</v>
      </c>
      <c r="H410" t="s">
        <v>11</v>
      </c>
      <c r="I410" s="2">
        <v>35000</v>
      </c>
      <c r="J410" t="s">
        <v>21</v>
      </c>
      <c r="K410" s="3">
        <f t="shared" si="12"/>
        <v>105000</v>
      </c>
      <c r="L410" t="str">
        <f t="shared" si="13"/>
        <v>2025-05</v>
      </c>
    </row>
    <row r="411" spans="1:12" x14ac:dyDescent="0.25">
      <c r="A411">
        <v>1411</v>
      </c>
      <c r="B411">
        <v>105</v>
      </c>
      <c r="C411" t="str">
        <f>IFERROR(_xlfn.XLOOKUP(B411, Customer!A:A, Customer!B:B), "Unknown Customer")</f>
        <v>Tara Ghasemi</v>
      </c>
      <c r="D411" s="1">
        <v>45710</v>
      </c>
      <c r="E411" t="s">
        <v>16</v>
      </c>
      <c r="F411" t="s">
        <v>17</v>
      </c>
      <c r="G411">
        <v>3</v>
      </c>
      <c r="H411" t="s">
        <v>11</v>
      </c>
      <c r="I411" s="2">
        <v>80000</v>
      </c>
      <c r="J411" t="s">
        <v>28</v>
      </c>
      <c r="K411" s="3">
        <f t="shared" si="12"/>
        <v>240000</v>
      </c>
      <c r="L411" t="str">
        <f t="shared" si="13"/>
        <v>2025-02</v>
      </c>
    </row>
    <row r="412" spans="1:12" x14ac:dyDescent="0.25">
      <c r="A412">
        <v>1412</v>
      </c>
      <c r="B412">
        <v>101</v>
      </c>
      <c r="C412" t="str">
        <f>IFERROR(_xlfn.XLOOKUP(B412, Customer!A:A, Customer!B:B), "Unknown Customer")</f>
        <v>Niloofar Ghasemi</v>
      </c>
      <c r="D412" s="1">
        <v>45805</v>
      </c>
      <c r="E412" t="s">
        <v>22</v>
      </c>
      <c r="F412" t="s">
        <v>14</v>
      </c>
      <c r="G412">
        <v>2</v>
      </c>
      <c r="H412" t="s">
        <v>11</v>
      </c>
      <c r="I412" s="2">
        <v>60000</v>
      </c>
      <c r="J412" t="s">
        <v>28</v>
      </c>
      <c r="K412" s="3">
        <f t="shared" si="12"/>
        <v>120000</v>
      </c>
      <c r="L412" t="str">
        <f t="shared" si="13"/>
        <v>2025-05</v>
      </c>
    </row>
    <row r="413" spans="1:12" x14ac:dyDescent="0.25">
      <c r="A413">
        <v>1413</v>
      </c>
      <c r="B413">
        <v>7</v>
      </c>
      <c r="C413" t="str">
        <f>IFERROR(_xlfn.XLOOKUP(B413, Customer!A:A, Customer!B:B), "Unknown Customer")</f>
        <v>Farhad Vakili</v>
      </c>
      <c r="D413" s="1">
        <v>45905</v>
      </c>
      <c r="E413" t="s">
        <v>29</v>
      </c>
      <c r="F413" t="s">
        <v>14</v>
      </c>
      <c r="G413">
        <v>4</v>
      </c>
      <c r="H413" t="s">
        <v>11</v>
      </c>
      <c r="I413" s="2">
        <v>45353.535353535357</v>
      </c>
      <c r="J413" t="s">
        <v>28</v>
      </c>
      <c r="K413" s="3">
        <f t="shared" si="12"/>
        <v>181414.14141414143</v>
      </c>
      <c r="L413" t="str">
        <f t="shared" si="13"/>
        <v>2025-09</v>
      </c>
    </row>
    <row r="414" spans="1:12" x14ac:dyDescent="0.25">
      <c r="A414">
        <v>1414</v>
      </c>
      <c r="B414">
        <v>70</v>
      </c>
      <c r="C414" t="str">
        <f>IFERROR(_xlfn.XLOOKUP(B414, Customer!A:A, Customer!B:B), "Unknown Customer")</f>
        <v>Iman Naderi</v>
      </c>
      <c r="D414" s="1">
        <v>45966</v>
      </c>
      <c r="E414" t="s">
        <v>22</v>
      </c>
      <c r="F414" t="s">
        <v>14</v>
      </c>
      <c r="G414">
        <v>1</v>
      </c>
      <c r="H414" t="s">
        <v>11</v>
      </c>
      <c r="I414" s="2">
        <v>60000</v>
      </c>
      <c r="J414" t="s">
        <v>24</v>
      </c>
      <c r="K414" s="3">
        <f t="shared" si="12"/>
        <v>60000</v>
      </c>
      <c r="L414" t="str">
        <f t="shared" si="13"/>
        <v>2025-11</v>
      </c>
    </row>
    <row r="415" spans="1:12" x14ac:dyDescent="0.25">
      <c r="A415">
        <v>1415</v>
      </c>
      <c r="B415">
        <v>118</v>
      </c>
      <c r="C415" t="str">
        <f>IFERROR(_xlfn.XLOOKUP(B415, Customer!A:A, Customer!B:B), "Unknown Customer")</f>
        <v>Hamed Rezaei</v>
      </c>
      <c r="D415" s="1">
        <v>45921</v>
      </c>
      <c r="E415" t="s">
        <v>13</v>
      </c>
      <c r="F415" t="s">
        <v>14</v>
      </c>
      <c r="G415">
        <v>1</v>
      </c>
      <c r="H415" t="s">
        <v>11</v>
      </c>
      <c r="I415" s="2">
        <v>58000</v>
      </c>
      <c r="J415" t="s">
        <v>24</v>
      </c>
      <c r="K415" s="3">
        <f t="shared" si="12"/>
        <v>58000</v>
      </c>
      <c r="L415" t="str">
        <f t="shared" si="13"/>
        <v>2025-09</v>
      </c>
    </row>
    <row r="416" spans="1:12" x14ac:dyDescent="0.25">
      <c r="A416">
        <v>1416</v>
      </c>
      <c r="B416">
        <v>21</v>
      </c>
      <c r="C416" t="str">
        <f>IFERROR(_xlfn.XLOOKUP(B416, Customer!A:A, Customer!B:B), "Unknown Customer")</f>
        <v>Sina Naderi</v>
      </c>
      <c r="D416" s="1">
        <v>45966</v>
      </c>
      <c r="E416" t="s">
        <v>20</v>
      </c>
      <c r="F416" t="s">
        <v>17</v>
      </c>
      <c r="G416">
        <v>2</v>
      </c>
      <c r="H416" t="s">
        <v>11</v>
      </c>
      <c r="I416" s="2">
        <v>50000</v>
      </c>
      <c r="J416" t="s">
        <v>21</v>
      </c>
      <c r="K416" s="3">
        <f t="shared" si="12"/>
        <v>100000</v>
      </c>
      <c r="L416" t="str">
        <f t="shared" si="13"/>
        <v>2025-11</v>
      </c>
    </row>
    <row r="417" spans="1:12" x14ac:dyDescent="0.25">
      <c r="A417">
        <v>1417</v>
      </c>
      <c r="B417">
        <v>77</v>
      </c>
      <c r="C417" t="str">
        <f>IFERROR(_xlfn.XLOOKUP(B417, Customer!A:A, Customer!B:B), "Unknown Customer")</f>
        <v>Iman Sadeghi</v>
      </c>
      <c r="D417" s="1">
        <v>45978</v>
      </c>
      <c r="E417" t="s">
        <v>29</v>
      </c>
      <c r="F417" t="s">
        <v>14</v>
      </c>
      <c r="G417">
        <v>1</v>
      </c>
      <c r="H417" t="s">
        <v>11</v>
      </c>
      <c r="I417" s="2">
        <v>50000</v>
      </c>
      <c r="J417" t="s">
        <v>19</v>
      </c>
      <c r="K417" s="3">
        <f t="shared" si="12"/>
        <v>50000</v>
      </c>
      <c r="L417" t="str">
        <f t="shared" si="13"/>
        <v>2025-11</v>
      </c>
    </row>
    <row r="418" spans="1:12" x14ac:dyDescent="0.25">
      <c r="A418">
        <v>1418</v>
      </c>
      <c r="B418">
        <v>101</v>
      </c>
      <c r="C418" t="str">
        <f>IFERROR(_xlfn.XLOOKUP(B418, Customer!A:A, Customer!B:B), "Unknown Customer")</f>
        <v>Niloofar Ghasemi</v>
      </c>
      <c r="D418" s="1">
        <v>45820</v>
      </c>
      <c r="E418" t="s">
        <v>22</v>
      </c>
      <c r="F418" t="s">
        <v>14</v>
      </c>
      <c r="G418">
        <v>1</v>
      </c>
      <c r="H418" t="s">
        <v>11</v>
      </c>
      <c r="I418" s="2">
        <v>65000</v>
      </c>
      <c r="J418" t="s">
        <v>15</v>
      </c>
      <c r="K418" s="3">
        <f t="shared" si="12"/>
        <v>65000</v>
      </c>
      <c r="L418" t="str">
        <f t="shared" si="13"/>
        <v>2025-06</v>
      </c>
    </row>
    <row r="419" spans="1:12" x14ac:dyDescent="0.25">
      <c r="A419">
        <v>1419</v>
      </c>
      <c r="B419">
        <v>70</v>
      </c>
      <c r="C419" t="str">
        <f>IFERROR(_xlfn.XLOOKUP(B419, Customer!A:A, Customer!B:B), "Unknown Customer")</f>
        <v>Iman Naderi</v>
      </c>
      <c r="D419" s="1">
        <v>45864</v>
      </c>
      <c r="E419" t="s">
        <v>23</v>
      </c>
      <c r="F419" t="s">
        <v>17</v>
      </c>
      <c r="G419">
        <v>1</v>
      </c>
      <c r="H419" t="s">
        <v>11</v>
      </c>
      <c r="I419" s="2">
        <v>84857.142857142855</v>
      </c>
      <c r="J419" t="s">
        <v>21</v>
      </c>
      <c r="K419" s="3">
        <f t="shared" si="12"/>
        <v>84857.142857142855</v>
      </c>
      <c r="L419" t="str">
        <f t="shared" si="13"/>
        <v>2025-07</v>
      </c>
    </row>
    <row r="420" spans="1:12" x14ac:dyDescent="0.25">
      <c r="A420">
        <v>1420</v>
      </c>
      <c r="B420">
        <v>47</v>
      </c>
      <c r="C420" t="str">
        <f>IFERROR(_xlfn.XLOOKUP(B420, Customer!A:A, Customer!B:B), "Unknown Customer")</f>
        <v>Mahsa Abbasi</v>
      </c>
      <c r="D420" s="1">
        <v>45769</v>
      </c>
      <c r="E420" t="s">
        <v>9</v>
      </c>
      <c r="F420" t="s">
        <v>10</v>
      </c>
      <c r="G420">
        <v>2</v>
      </c>
      <c r="H420" t="s">
        <v>11</v>
      </c>
      <c r="I420" s="2">
        <v>57000</v>
      </c>
      <c r="J420" t="s">
        <v>15</v>
      </c>
      <c r="K420" s="3">
        <f t="shared" si="12"/>
        <v>114000</v>
      </c>
      <c r="L420" t="str">
        <f t="shared" si="13"/>
        <v>2025-04</v>
      </c>
    </row>
    <row r="421" spans="1:12" x14ac:dyDescent="0.25">
      <c r="A421">
        <v>1421</v>
      </c>
      <c r="B421">
        <v>31</v>
      </c>
      <c r="C421" t="str">
        <f>IFERROR(_xlfn.XLOOKUP(B421, Customer!A:A, Customer!B:B), "Unknown Customer")</f>
        <v>Sara Karimi</v>
      </c>
      <c r="D421" s="1">
        <v>45972</v>
      </c>
      <c r="E421" t="s">
        <v>27</v>
      </c>
      <c r="F421" t="s">
        <v>14</v>
      </c>
      <c r="G421">
        <v>1</v>
      </c>
      <c r="H421" t="s">
        <v>11</v>
      </c>
      <c r="I421" s="2">
        <v>35000</v>
      </c>
      <c r="J421" t="s">
        <v>15</v>
      </c>
      <c r="K421" s="3">
        <f t="shared" si="12"/>
        <v>35000</v>
      </c>
      <c r="L421" t="str">
        <f t="shared" si="13"/>
        <v>2025-11</v>
      </c>
    </row>
    <row r="422" spans="1:12" x14ac:dyDescent="0.25">
      <c r="A422">
        <v>1422</v>
      </c>
      <c r="B422">
        <v>33</v>
      </c>
      <c r="C422" t="str">
        <f>IFERROR(_xlfn.XLOOKUP(B422, Customer!A:A, Customer!B:B), "Unknown Customer")</f>
        <v>Niloofar Zare</v>
      </c>
      <c r="D422" s="1">
        <v>45802</v>
      </c>
      <c r="E422" t="s">
        <v>23</v>
      </c>
      <c r="F422" t="s">
        <v>17</v>
      </c>
      <c r="G422">
        <v>2</v>
      </c>
      <c r="H422" t="s">
        <v>11</v>
      </c>
      <c r="I422" s="2">
        <v>90000</v>
      </c>
      <c r="J422" t="s">
        <v>19</v>
      </c>
      <c r="K422" s="3">
        <f t="shared" si="12"/>
        <v>180000</v>
      </c>
      <c r="L422" t="str">
        <f t="shared" si="13"/>
        <v>2025-05</v>
      </c>
    </row>
    <row r="423" spans="1:12" x14ac:dyDescent="0.25">
      <c r="A423">
        <v>1423</v>
      </c>
      <c r="B423">
        <v>38</v>
      </c>
      <c r="C423" t="str">
        <f>IFERROR(_xlfn.XLOOKUP(B423, Customer!A:A, Customer!B:B), "Unknown Customer")</f>
        <v>Setareh Naderi</v>
      </c>
      <c r="D423" s="1">
        <v>45756</v>
      </c>
      <c r="E423" t="s">
        <v>27</v>
      </c>
      <c r="F423" t="s">
        <v>14</v>
      </c>
      <c r="G423">
        <v>1</v>
      </c>
      <c r="H423" t="s">
        <v>11</v>
      </c>
      <c r="I423" s="2">
        <v>35000</v>
      </c>
      <c r="J423" t="s">
        <v>12</v>
      </c>
      <c r="K423" s="3">
        <f t="shared" si="12"/>
        <v>35000</v>
      </c>
      <c r="L423" t="str">
        <f t="shared" si="13"/>
        <v>2025-04</v>
      </c>
    </row>
    <row r="424" spans="1:12" x14ac:dyDescent="0.25">
      <c r="A424">
        <v>1424</v>
      </c>
      <c r="B424">
        <v>9</v>
      </c>
      <c r="C424" t="str">
        <f>IFERROR(_xlfn.XLOOKUP(B424, Customer!A:A, Customer!B:B), "Unknown Customer")</f>
        <v>Farhad Zare</v>
      </c>
      <c r="D424" s="1">
        <v>46001</v>
      </c>
      <c r="E424" t="s">
        <v>30</v>
      </c>
      <c r="F424" t="s">
        <v>14</v>
      </c>
      <c r="G424">
        <v>4</v>
      </c>
      <c r="H424" t="s">
        <v>11</v>
      </c>
      <c r="I424" s="2">
        <v>48000</v>
      </c>
      <c r="J424" t="s">
        <v>28</v>
      </c>
      <c r="K424" s="3">
        <f t="shared" si="12"/>
        <v>192000</v>
      </c>
      <c r="L424" t="str">
        <f t="shared" si="13"/>
        <v>2025-12</v>
      </c>
    </row>
    <row r="425" spans="1:12" x14ac:dyDescent="0.25">
      <c r="A425">
        <v>1425</v>
      </c>
      <c r="B425">
        <v>107</v>
      </c>
      <c r="C425" t="str">
        <f>IFERROR(_xlfn.XLOOKUP(B425, Customer!A:A, Customer!B:B), "Unknown Customer")</f>
        <v>Mona Abbasi</v>
      </c>
      <c r="D425" s="1">
        <v>45880</v>
      </c>
      <c r="E425" t="s">
        <v>22</v>
      </c>
      <c r="F425" t="s">
        <v>14</v>
      </c>
      <c r="G425">
        <v>3</v>
      </c>
      <c r="H425" t="s">
        <v>11</v>
      </c>
      <c r="I425" s="2">
        <v>60000</v>
      </c>
      <c r="J425" t="s">
        <v>12</v>
      </c>
      <c r="K425" s="3">
        <f t="shared" si="12"/>
        <v>180000</v>
      </c>
      <c r="L425" t="str">
        <f t="shared" si="13"/>
        <v>2025-08</v>
      </c>
    </row>
    <row r="426" spans="1:12" x14ac:dyDescent="0.25">
      <c r="A426">
        <v>1426</v>
      </c>
      <c r="B426">
        <v>43</v>
      </c>
      <c r="C426" t="str">
        <f>IFERROR(_xlfn.XLOOKUP(B426, Customer!A:A, Customer!B:B), "Unknown Customer")</f>
        <v>Ali Mousavi</v>
      </c>
      <c r="D426" s="1">
        <v>45702</v>
      </c>
      <c r="E426" t="s">
        <v>29</v>
      </c>
      <c r="F426" t="s">
        <v>14</v>
      </c>
      <c r="G426">
        <v>1</v>
      </c>
      <c r="H426" t="s">
        <v>11</v>
      </c>
      <c r="I426" s="2">
        <v>45000</v>
      </c>
      <c r="J426" t="s">
        <v>28</v>
      </c>
      <c r="K426" s="3">
        <f t="shared" si="12"/>
        <v>45000</v>
      </c>
      <c r="L426" t="str">
        <f t="shared" si="13"/>
        <v>2025-02</v>
      </c>
    </row>
    <row r="427" spans="1:12" x14ac:dyDescent="0.25">
      <c r="A427">
        <v>1427</v>
      </c>
      <c r="B427">
        <v>106</v>
      </c>
      <c r="C427" t="str">
        <f>IFERROR(_xlfn.XLOOKUP(B427, Customer!A:A, Customer!B:B), "Unknown Customer")</f>
        <v>Iman Zare</v>
      </c>
      <c r="D427" s="1">
        <v>45790</v>
      </c>
      <c r="E427" t="s">
        <v>30</v>
      </c>
      <c r="F427" t="s">
        <v>14</v>
      </c>
      <c r="G427">
        <v>2</v>
      </c>
      <c r="H427" t="s">
        <v>11</v>
      </c>
      <c r="I427" s="2">
        <v>48000</v>
      </c>
      <c r="J427" t="s">
        <v>19</v>
      </c>
      <c r="K427" s="3">
        <f t="shared" si="12"/>
        <v>96000</v>
      </c>
      <c r="L427" t="str">
        <f t="shared" si="13"/>
        <v>2025-05</v>
      </c>
    </row>
    <row r="428" spans="1:12" x14ac:dyDescent="0.25">
      <c r="A428">
        <v>1428</v>
      </c>
      <c r="B428">
        <v>50</v>
      </c>
      <c r="C428" t="str">
        <f>IFERROR(_xlfn.XLOOKUP(B428, Customer!A:A, Customer!B:B), "Unknown Customer")</f>
        <v>Mona Naderi</v>
      </c>
      <c r="D428" s="1">
        <v>45718</v>
      </c>
      <c r="E428" t="s">
        <v>27</v>
      </c>
      <c r="F428" t="s">
        <v>14</v>
      </c>
      <c r="G428">
        <v>3</v>
      </c>
      <c r="H428" t="s">
        <v>11</v>
      </c>
      <c r="I428" s="2">
        <v>40000</v>
      </c>
      <c r="J428" t="s">
        <v>12</v>
      </c>
      <c r="K428" s="3">
        <f t="shared" si="12"/>
        <v>120000</v>
      </c>
      <c r="L428" t="str">
        <f t="shared" si="13"/>
        <v>2025-03</v>
      </c>
    </row>
    <row r="429" spans="1:12" x14ac:dyDescent="0.25">
      <c r="A429">
        <v>1429</v>
      </c>
      <c r="B429">
        <v>109</v>
      </c>
      <c r="C429" t="str">
        <f>IFERROR(_xlfn.XLOOKUP(B429, Customer!A:A, Customer!B:B), "Unknown Customer")</f>
        <v>Roya Jafari</v>
      </c>
      <c r="D429" s="1">
        <v>45841</v>
      </c>
      <c r="E429" t="s">
        <v>18</v>
      </c>
      <c r="F429" t="s">
        <v>14</v>
      </c>
      <c r="G429">
        <v>1</v>
      </c>
      <c r="H429" t="s">
        <v>11</v>
      </c>
      <c r="I429" s="2">
        <v>55000</v>
      </c>
      <c r="J429" t="s">
        <v>21</v>
      </c>
      <c r="K429" s="3">
        <f t="shared" si="12"/>
        <v>55000</v>
      </c>
      <c r="L429" t="str">
        <f t="shared" si="13"/>
        <v>2025-07</v>
      </c>
    </row>
    <row r="430" spans="1:12" x14ac:dyDescent="0.25">
      <c r="A430">
        <v>1430</v>
      </c>
      <c r="B430">
        <v>98</v>
      </c>
      <c r="C430" t="str">
        <f>IFERROR(_xlfn.XLOOKUP(B430, Customer!A:A, Customer!B:B), "Unknown Customer")</f>
        <v>Elham Mousavi</v>
      </c>
      <c r="D430" s="1">
        <v>45853</v>
      </c>
      <c r="E430" t="s">
        <v>16</v>
      </c>
      <c r="F430" t="s">
        <v>17</v>
      </c>
      <c r="G430">
        <v>2</v>
      </c>
      <c r="H430" t="s">
        <v>11</v>
      </c>
      <c r="I430" s="2">
        <v>75000</v>
      </c>
      <c r="J430" t="s">
        <v>24</v>
      </c>
      <c r="K430" s="3">
        <f t="shared" si="12"/>
        <v>150000</v>
      </c>
      <c r="L430" t="str">
        <f t="shared" si="13"/>
        <v>2025-07</v>
      </c>
    </row>
    <row r="431" spans="1:12" x14ac:dyDescent="0.25">
      <c r="A431">
        <v>1431</v>
      </c>
      <c r="B431">
        <v>96</v>
      </c>
      <c r="C431" t="str">
        <f>IFERROR(_xlfn.XLOOKUP(B431, Customer!A:A, Customer!B:B), "Unknown Customer")</f>
        <v>Milad Norouzi</v>
      </c>
      <c r="D431" s="1">
        <v>45937</v>
      </c>
      <c r="E431" t="s">
        <v>31</v>
      </c>
      <c r="F431" t="s">
        <v>17</v>
      </c>
      <c r="G431">
        <v>1</v>
      </c>
      <c r="H431" t="s">
        <v>11</v>
      </c>
      <c r="I431" s="2">
        <v>40000</v>
      </c>
      <c r="J431" t="s">
        <v>19</v>
      </c>
      <c r="K431" s="3">
        <f t="shared" si="12"/>
        <v>40000</v>
      </c>
      <c r="L431" t="str">
        <f t="shared" si="13"/>
        <v>2025-10</v>
      </c>
    </row>
    <row r="432" spans="1:12" x14ac:dyDescent="0.25">
      <c r="A432">
        <v>1432</v>
      </c>
      <c r="B432">
        <v>6</v>
      </c>
      <c r="C432" t="str">
        <f>IFERROR(_xlfn.XLOOKUP(B432, Customer!A:A, Customer!B:B), "Unknown Customer")</f>
        <v>Sepideh Mousavi</v>
      </c>
      <c r="D432" s="1">
        <v>45951</v>
      </c>
      <c r="E432" t="s">
        <v>29</v>
      </c>
      <c r="F432" t="s">
        <v>14</v>
      </c>
      <c r="G432">
        <v>2</v>
      </c>
      <c r="H432" t="s">
        <v>11</v>
      </c>
      <c r="I432" s="2">
        <v>50000</v>
      </c>
      <c r="J432" t="s">
        <v>24</v>
      </c>
      <c r="K432" s="3">
        <f t="shared" si="12"/>
        <v>100000</v>
      </c>
      <c r="L432" t="str">
        <f t="shared" si="13"/>
        <v>2025-10</v>
      </c>
    </row>
    <row r="433" spans="1:12" x14ac:dyDescent="0.25">
      <c r="A433">
        <v>1433</v>
      </c>
      <c r="B433">
        <v>96</v>
      </c>
      <c r="C433" t="str">
        <f>IFERROR(_xlfn.XLOOKUP(B433, Customer!A:A, Customer!B:B), "Unknown Customer")</f>
        <v>Milad Norouzi</v>
      </c>
      <c r="D433" s="1">
        <v>45834</v>
      </c>
      <c r="E433" t="s">
        <v>22</v>
      </c>
      <c r="F433" t="s">
        <v>14</v>
      </c>
      <c r="G433">
        <v>3</v>
      </c>
      <c r="H433" t="s">
        <v>11</v>
      </c>
      <c r="I433" s="2">
        <v>65000</v>
      </c>
      <c r="J433" t="s">
        <v>24</v>
      </c>
      <c r="K433" s="3">
        <f t="shared" si="12"/>
        <v>195000</v>
      </c>
      <c r="L433" t="str">
        <f t="shared" si="13"/>
        <v>2025-06</v>
      </c>
    </row>
    <row r="434" spans="1:12" x14ac:dyDescent="0.25">
      <c r="A434">
        <v>1434</v>
      </c>
      <c r="B434">
        <v>29</v>
      </c>
      <c r="C434" t="str">
        <f>IFERROR(_xlfn.XLOOKUP(B434, Customer!A:A, Customer!B:B), "Unknown Customer")</f>
        <v>Leila Kazemi</v>
      </c>
      <c r="D434" s="1">
        <v>45787</v>
      </c>
      <c r="E434" t="s">
        <v>20</v>
      </c>
      <c r="F434" t="s">
        <v>17</v>
      </c>
      <c r="G434">
        <v>1</v>
      </c>
      <c r="H434" t="s">
        <v>11</v>
      </c>
      <c r="I434" s="2">
        <v>55000</v>
      </c>
      <c r="J434" t="s">
        <v>12</v>
      </c>
      <c r="K434" s="3">
        <f t="shared" si="12"/>
        <v>55000</v>
      </c>
      <c r="L434" t="str">
        <f t="shared" si="13"/>
        <v>2025-05</v>
      </c>
    </row>
    <row r="435" spans="1:12" x14ac:dyDescent="0.25">
      <c r="A435">
        <v>1435</v>
      </c>
      <c r="B435">
        <v>71</v>
      </c>
      <c r="C435" t="str">
        <f>IFERROR(_xlfn.XLOOKUP(B435, Customer!A:A, Customer!B:B), "Unknown Customer")</f>
        <v>Milad Mousavi</v>
      </c>
      <c r="D435" s="1">
        <v>45806</v>
      </c>
      <c r="E435" t="s">
        <v>18</v>
      </c>
      <c r="F435" t="s">
        <v>14</v>
      </c>
      <c r="G435">
        <v>1</v>
      </c>
      <c r="H435" t="s">
        <v>11</v>
      </c>
      <c r="I435" s="2">
        <v>50000</v>
      </c>
      <c r="J435" t="s">
        <v>21</v>
      </c>
      <c r="K435" s="3">
        <f t="shared" si="12"/>
        <v>50000</v>
      </c>
      <c r="L435" t="str">
        <f t="shared" si="13"/>
        <v>2025-05</v>
      </c>
    </row>
    <row r="436" spans="1:12" x14ac:dyDescent="0.25">
      <c r="A436">
        <v>1436</v>
      </c>
      <c r="B436">
        <v>46</v>
      </c>
      <c r="C436" t="str">
        <f>IFERROR(_xlfn.XLOOKUP(B436, Customer!A:A, Customer!B:B), "Unknown Customer")</f>
        <v>Mahsa Ghasemi</v>
      </c>
      <c r="D436" s="1">
        <v>46001</v>
      </c>
      <c r="E436" t="s">
        <v>13</v>
      </c>
      <c r="F436" t="s">
        <v>14</v>
      </c>
      <c r="G436">
        <v>1</v>
      </c>
      <c r="H436" t="s">
        <v>11</v>
      </c>
      <c r="I436" s="2">
        <v>58000</v>
      </c>
      <c r="J436" t="s">
        <v>24</v>
      </c>
      <c r="K436" s="3">
        <f t="shared" si="12"/>
        <v>58000</v>
      </c>
      <c r="L436" t="str">
        <f t="shared" si="13"/>
        <v>2025-12</v>
      </c>
    </row>
    <row r="437" spans="1:12" x14ac:dyDescent="0.25">
      <c r="A437">
        <v>1437</v>
      </c>
      <c r="B437">
        <v>41</v>
      </c>
      <c r="C437" t="str">
        <f>IFERROR(_xlfn.XLOOKUP(B437, Customer!A:A, Customer!B:B), "Unknown Customer")</f>
        <v>Iman Yousefi</v>
      </c>
      <c r="D437" s="1">
        <v>45888</v>
      </c>
      <c r="E437" t="s">
        <v>16</v>
      </c>
      <c r="F437" t="s">
        <v>17</v>
      </c>
      <c r="G437">
        <v>3</v>
      </c>
      <c r="H437" t="s">
        <v>11</v>
      </c>
      <c r="I437" s="2">
        <v>75256.41025641025</v>
      </c>
      <c r="J437" t="s">
        <v>21</v>
      </c>
      <c r="K437" s="3">
        <f t="shared" si="12"/>
        <v>225769.23076923075</v>
      </c>
      <c r="L437" t="str">
        <f t="shared" si="13"/>
        <v>2025-08</v>
      </c>
    </row>
    <row r="438" spans="1:12" x14ac:dyDescent="0.25">
      <c r="A438">
        <v>1438</v>
      </c>
      <c r="B438">
        <v>60</v>
      </c>
      <c r="C438" t="str">
        <f>IFERROR(_xlfn.XLOOKUP(B438, Customer!A:A, Customer!B:B), "Unknown Customer")</f>
        <v>Sina Ghasemi</v>
      </c>
      <c r="D438" s="1">
        <v>45744</v>
      </c>
      <c r="E438" t="s">
        <v>31</v>
      </c>
      <c r="F438" t="s">
        <v>17</v>
      </c>
      <c r="G438">
        <v>1</v>
      </c>
      <c r="H438" t="s">
        <v>11</v>
      </c>
      <c r="I438" s="2">
        <v>40000</v>
      </c>
      <c r="J438" t="s">
        <v>21</v>
      </c>
      <c r="K438" s="3">
        <f t="shared" si="12"/>
        <v>40000</v>
      </c>
      <c r="L438" t="str">
        <f t="shared" si="13"/>
        <v>2025-03</v>
      </c>
    </row>
    <row r="439" spans="1:12" x14ac:dyDescent="0.25">
      <c r="A439">
        <v>1439</v>
      </c>
      <c r="B439">
        <v>108</v>
      </c>
      <c r="C439" t="str">
        <f>IFERROR(_xlfn.XLOOKUP(B439, Customer!A:A, Customer!B:B), "Unknown Customer")</f>
        <v>Omid Kazemi</v>
      </c>
      <c r="D439" s="1">
        <v>45933</v>
      </c>
      <c r="E439" t="s">
        <v>25</v>
      </c>
      <c r="F439" t="s">
        <v>10</v>
      </c>
      <c r="G439">
        <v>2</v>
      </c>
      <c r="H439" t="s">
        <v>11</v>
      </c>
      <c r="I439" s="2">
        <v>65000</v>
      </c>
      <c r="J439" t="s">
        <v>21</v>
      </c>
      <c r="K439" s="3">
        <f t="shared" si="12"/>
        <v>130000</v>
      </c>
      <c r="L439" t="str">
        <f t="shared" si="13"/>
        <v>2025-10</v>
      </c>
    </row>
    <row r="440" spans="1:12" x14ac:dyDescent="0.25">
      <c r="A440">
        <v>1440</v>
      </c>
      <c r="B440">
        <v>63</v>
      </c>
      <c r="C440" t="str">
        <f>IFERROR(_xlfn.XLOOKUP(B440, Customer!A:A, Customer!B:B), "Unknown Customer")</f>
        <v>Golnaz Rezaei</v>
      </c>
      <c r="D440" s="1">
        <v>45713</v>
      </c>
      <c r="E440" t="s">
        <v>23</v>
      </c>
      <c r="F440" t="s">
        <v>17</v>
      </c>
      <c r="G440">
        <v>4</v>
      </c>
      <c r="H440" t="s">
        <v>11</v>
      </c>
      <c r="I440" s="2">
        <v>85000</v>
      </c>
      <c r="J440" t="s">
        <v>21</v>
      </c>
      <c r="K440" s="3">
        <f t="shared" si="12"/>
        <v>340000</v>
      </c>
      <c r="L440" t="str">
        <f t="shared" si="13"/>
        <v>2025-02</v>
      </c>
    </row>
    <row r="441" spans="1:12" x14ac:dyDescent="0.25">
      <c r="A441">
        <v>1441</v>
      </c>
      <c r="B441">
        <v>94</v>
      </c>
      <c r="C441" t="str">
        <f>IFERROR(_xlfn.XLOOKUP(B441, Customer!A:A, Customer!B:B), "Unknown Customer")</f>
        <v>Hamed Fallahi</v>
      </c>
      <c r="D441" s="1">
        <v>45697</v>
      </c>
      <c r="E441" t="s">
        <v>27</v>
      </c>
      <c r="F441" t="s">
        <v>14</v>
      </c>
      <c r="G441">
        <v>1</v>
      </c>
      <c r="H441" t="s">
        <v>11</v>
      </c>
      <c r="I441" s="2">
        <v>40000</v>
      </c>
      <c r="J441" t="s">
        <v>28</v>
      </c>
      <c r="K441" s="3">
        <f t="shared" si="12"/>
        <v>40000</v>
      </c>
      <c r="L441" t="str">
        <f t="shared" si="13"/>
        <v>2025-02</v>
      </c>
    </row>
    <row r="442" spans="1:12" x14ac:dyDescent="0.25">
      <c r="A442">
        <v>1442</v>
      </c>
      <c r="B442">
        <v>75</v>
      </c>
      <c r="C442" t="str">
        <f>IFERROR(_xlfn.XLOOKUP(B442, Customer!A:A, Customer!B:B), "Unknown Customer")</f>
        <v>Kian Ebrahimi</v>
      </c>
      <c r="D442" s="1">
        <v>45960</v>
      </c>
      <c r="E442" t="s">
        <v>31</v>
      </c>
      <c r="F442" t="s">
        <v>17</v>
      </c>
      <c r="G442">
        <v>2</v>
      </c>
      <c r="H442" t="s">
        <v>11</v>
      </c>
      <c r="I442" s="2">
        <v>40000</v>
      </c>
      <c r="J442" t="s">
        <v>12</v>
      </c>
      <c r="K442" s="3">
        <f t="shared" si="12"/>
        <v>80000</v>
      </c>
      <c r="L442" t="str">
        <f t="shared" si="13"/>
        <v>2025-10</v>
      </c>
    </row>
    <row r="443" spans="1:12" x14ac:dyDescent="0.25">
      <c r="A443">
        <v>1443</v>
      </c>
      <c r="B443">
        <v>100</v>
      </c>
      <c r="C443" t="str">
        <f>IFERROR(_xlfn.XLOOKUP(B443, Customer!A:A, Customer!B:B), "Unknown Customer")</f>
        <v>Leila Hosseini</v>
      </c>
      <c r="D443" s="1">
        <v>45845</v>
      </c>
      <c r="E443" t="s">
        <v>13</v>
      </c>
      <c r="F443" t="s">
        <v>14</v>
      </c>
      <c r="G443">
        <v>4</v>
      </c>
      <c r="H443" t="s">
        <v>11</v>
      </c>
      <c r="I443" s="2">
        <v>63000</v>
      </c>
      <c r="J443" t="s">
        <v>24</v>
      </c>
      <c r="K443" s="3">
        <f t="shared" si="12"/>
        <v>252000</v>
      </c>
      <c r="L443" t="str">
        <f t="shared" si="13"/>
        <v>2025-07</v>
      </c>
    </row>
    <row r="444" spans="1:12" x14ac:dyDescent="0.25">
      <c r="A444">
        <v>1444</v>
      </c>
      <c r="B444">
        <v>60</v>
      </c>
      <c r="C444" t="str">
        <f>IFERROR(_xlfn.XLOOKUP(B444, Customer!A:A, Customer!B:B), "Unknown Customer")</f>
        <v>Sina Ghasemi</v>
      </c>
      <c r="D444" s="1">
        <v>45919</v>
      </c>
      <c r="E444" t="s">
        <v>23</v>
      </c>
      <c r="F444" t="s">
        <v>17</v>
      </c>
      <c r="G444">
        <v>1</v>
      </c>
      <c r="H444" t="s">
        <v>11</v>
      </c>
      <c r="I444" s="2">
        <v>90000</v>
      </c>
      <c r="J444" t="s">
        <v>28</v>
      </c>
      <c r="K444" s="3">
        <f t="shared" si="12"/>
        <v>90000</v>
      </c>
      <c r="L444" t="str">
        <f t="shared" si="13"/>
        <v>2025-09</v>
      </c>
    </row>
    <row r="445" spans="1:12" x14ac:dyDescent="0.25">
      <c r="A445">
        <v>1445</v>
      </c>
      <c r="B445">
        <v>88</v>
      </c>
      <c r="C445" t="str">
        <f>IFERROR(_xlfn.XLOOKUP(B445, Customer!A:A, Customer!B:B), "Unknown Customer")</f>
        <v>Golnaz Rostami</v>
      </c>
      <c r="D445" s="1">
        <v>45921</v>
      </c>
      <c r="E445" t="s">
        <v>13</v>
      </c>
      <c r="F445" t="s">
        <v>14</v>
      </c>
      <c r="G445">
        <v>-1</v>
      </c>
      <c r="H445" t="s">
        <v>26</v>
      </c>
      <c r="I445" s="2">
        <v>58000</v>
      </c>
      <c r="J445" t="s">
        <v>12</v>
      </c>
      <c r="K445" s="3">
        <f t="shared" si="12"/>
        <v>-58000</v>
      </c>
      <c r="L445" t="str">
        <f t="shared" si="13"/>
        <v>2025-09</v>
      </c>
    </row>
    <row r="446" spans="1:12" x14ac:dyDescent="0.25">
      <c r="A446">
        <v>1446</v>
      </c>
      <c r="B446">
        <v>94</v>
      </c>
      <c r="C446" t="str">
        <f>IFERROR(_xlfn.XLOOKUP(B446, Customer!A:A, Customer!B:B), "Unknown Customer")</f>
        <v>Hamed Fallahi</v>
      </c>
      <c r="D446" s="1">
        <v>45841</v>
      </c>
      <c r="E446" t="s">
        <v>16</v>
      </c>
      <c r="F446" t="s">
        <v>17</v>
      </c>
      <c r="G446">
        <v>4</v>
      </c>
      <c r="H446" t="s">
        <v>11</v>
      </c>
      <c r="I446" s="2">
        <v>75000</v>
      </c>
      <c r="J446" t="s">
        <v>21</v>
      </c>
      <c r="K446" s="3">
        <f t="shared" si="12"/>
        <v>300000</v>
      </c>
      <c r="L446" t="str">
        <f t="shared" si="13"/>
        <v>2025-07</v>
      </c>
    </row>
    <row r="447" spans="1:12" x14ac:dyDescent="0.25">
      <c r="A447">
        <v>1447</v>
      </c>
      <c r="B447">
        <v>48</v>
      </c>
      <c r="C447" t="str">
        <f>IFERROR(_xlfn.XLOOKUP(B447, Customer!A:A, Customer!B:B), "Unknown Customer")</f>
        <v>Hamed Jafari</v>
      </c>
      <c r="D447" s="1">
        <v>45679</v>
      </c>
      <c r="E447" t="s">
        <v>30</v>
      </c>
      <c r="F447" t="s">
        <v>14</v>
      </c>
      <c r="G447">
        <v>2</v>
      </c>
      <c r="H447" t="s">
        <v>11</v>
      </c>
      <c r="I447" s="2">
        <v>48000</v>
      </c>
      <c r="J447" t="s">
        <v>15</v>
      </c>
      <c r="K447" s="3">
        <f t="shared" si="12"/>
        <v>96000</v>
      </c>
      <c r="L447" t="str">
        <f t="shared" si="13"/>
        <v>2025-01</v>
      </c>
    </row>
    <row r="448" spans="1:12" x14ac:dyDescent="0.25">
      <c r="A448">
        <v>1448</v>
      </c>
      <c r="B448">
        <v>113</v>
      </c>
      <c r="C448" t="str">
        <f>IFERROR(_xlfn.XLOOKUP(B448, Customer!A:A, Customer!B:B), "Unknown Customer")</f>
        <v>Arman Jafari</v>
      </c>
      <c r="D448" s="1">
        <v>45678</v>
      </c>
      <c r="E448" t="s">
        <v>29</v>
      </c>
      <c r="F448" t="s">
        <v>14</v>
      </c>
      <c r="G448">
        <v>1</v>
      </c>
      <c r="H448" t="s">
        <v>11</v>
      </c>
      <c r="I448" s="2">
        <v>50000</v>
      </c>
      <c r="J448" t="s">
        <v>12</v>
      </c>
      <c r="K448" s="3">
        <f t="shared" si="12"/>
        <v>50000</v>
      </c>
      <c r="L448" t="str">
        <f t="shared" si="13"/>
        <v>2025-01</v>
      </c>
    </row>
    <row r="449" spans="1:12" x14ac:dyDescent="0.25">
      <c r="A449">
        <v>1449</v>
      </c>
      <c r="B449">
        <v>34</v>
      </c>
      <c r="C449" t="str">
        <f>IFERROR(_xlfn.XLOOKUP(B449, Customer!A:A, Customer!B:B), "Unknown Customer")</f>
        <v>Reza Rezaei</v>
      </c>
      <c r="D449" s="1">
        <v>45936</v>
      </c>
      <c r="E449" t="s">
        <v>20</v>
      </c>
      <c r="F449" t="s">
        <v>17</v>
      </c>
      <c r="G449">
        <v>2</v>
      </c>
      <c r="H449" t="s">
        <v>11</v>
      </c>
      <c r="I449" s="2">
        <v>50000</v>
      </c>
      <c r="J449" t="s">
        <v>28</v>
      </c>
      <c r="K449" s="3">
        <f t="shared" si="12"/>
        <v>100000</v>
      </c>
      <c r="L449" t="str">
        <f t="shared" si="13"/>
        <v>2025-10</v>
      </c>
    </row>
    <row r="450" spans="1:12" x14ac:dyDescent="0.25">
      <c r="A450">
        <v>1450</v>
      </c>
      <c r="B450">
        <v>33</v>
      </c>
      <c r="C450" t="str">
        <f>IFERROR(_xlfn.XLOOKUP(B450, Customer!A:A, Customer!B:B), "Unknown Customer")</f>
        <v>Niloofar Zare</v>
      </c>
      <c r="D450" s="1">
        <v>45772</v>
      </c>
      <c r="E450" t="s">
        <v>31</v>
      </c>
      <c r="F450" t="s">
        <v>17</v>
      </c>
      <c r="G450">
        <v>1</v>
      </c>
      <c r="H450" t="s">
        <v>11</v>
      </c>
      <c r="I450" s="2">
        <v>40000</v>
      </c>
      <c r="J450" t="s">
        <v>28</v>
      </c>
      <c r="K450" s="3">
        <f t="shared" si="12"/>
        <v>40000</v>
      </c>
      <c r="L450" t="str">
        <f t="shared" si="13"/>
        <v>2025-04</v>
      </c>
    </row>
    <row r="451" spans="1:12" x14ac:dyDescent="0.25">
      <c r="A451">
        <v>1451</v>
      </c>
      <c r="B451">
        <v>1</v>
      </c>
      <c r="C451" t="str">
        <f>IFERROR(_xlfn.XLOOKUP(B451, Customer!A:A, Customer!B:B), "Unknown Customer")</f>
        <v>Leila Rezaei</v>
      </c>
      <c r="D451" s="1">
        <v>45729</v>
      </c>
      <c r="E451" t="s">
        <v>23</v>
      </c>
      <c r="F451" t="s">
        <v>17</v>
      </c>
      <c r="G451">
        <v>1</v>
      </c>
      <c r="H451" t="s">
        <v>11</v>
      </c>
      <c r="I451" s="2">
        <v>80000</v>
      </c>
      <c r="J451" t="s">
        <v>24</v>
      </c>
      <c r="K451" s="3">
        <f t="shared" ref="K451:K514" si="14">G451*I451</f>
        <v>80000</v>
      </c>
      <c r="L451" t="str">
        <f t="shared" ref="L451:L514" si="15">TEXT(D451,"YYYY-MM")</f>
        <v>2025-03</v>
      </c>
    </row>
    <row r="452" spans="1:12" x14ac:dyDescent="0.25">
      <c r="A452">
        <v>1452</v>
      </c>
      <c r="B452">
        <v>20</v>
      </c>
      <c r="C452" t="str">
        <f>IFERROR(_xlfn.XLOOKUP(B452, Customer!A:A, Customer!B:B), "Unknown Customer")</f>
        <v>Setareh Abbasi</v>
      </c>
      <c r="D452" s="1">
        <v>45738</v>
      </c>
      <c r="E452" t="s">
        <v>13</v>
      </c>
      <c r="F452" t="s">
        <v>14</v>
      </c>
      <c r="G452">
        <v>3</v>
      </c>
      <c r="H452" t="s">
        <v>11</v>
      </c>
      <c r="I452" s="2">
        <v>58000</v>
      </c>
      <c r="J452" t="s">
        <v>12</v>
      </c>
      <c r="K452" s="3">
        <f t="shared" si="14"/>
        <v>174000</v>
      </c>
      <c r="L452" t="str">
        <f t="shared" si="15"/>
        <v>2025-03</v>
      </c>
    </row>
    <row r="453" spans="1:12" x14ac:dyDescent="0.25">
      <c r="A453">
        <v>1453</v>
      </c>
      <c r="B453">
        <v>15</v>
      </c>
      <c r="C453" t="str">
        <f>IFERROR(_xlfn.XLOOKUP(B453, Customer!A:A, Customer!B:B), "Unknown Customer")</f>
        <v>Milad Zare</v>
      </c>
      <c r="D453" s="1">
        <v>46003</v>
      </c>
      <c r="E453" t="s">
        <v>16</v>
      </c>
      <c r="F453" t="s">
        <v>17</v>
      </c>
      <c r="G453">
        <v>1</v>
      </c>
      <c r="H453" t="s">
        <v>11</v>
      </c>
      <c r="I453" s="2">
        <v>80000</v>
      </c>
      <c r="J453" t="s">
        <v>19</v>
      </c>
      <c r="K453" s="3">
        <f t="shared" si="14"/>
        <v>80000</v>
      </c>
      <c r="L453" t="str">
        <f t="shared" si="15"/>
        <v>2025-12</v>
      </c>
    </row>
    <row r="454" spans="1:12" x14ac:dyDescent="0.25">
      <c r="A454">
        <v>1454</v>
      </c>
      <c r="B454">
        <v>32</v>
      </c>
      <c r="C454" t="str">
        <f>IFERROR(_xlfn.XLOOKUP(B454, Customer!A:A, Customer!B:B), "Unknown Customer")</f>
        <v>Elham Karimi</v>
      </c>
      <c r="D454" s="1">
        <v>45723</v>
      </c>
      <c r="E454" t="s">
        <v>29</v>
      </c>
      <c r="F454" t="s">
        <v>14</v>
      </c>
      <c r="G454">
        <v>1</v>
      </c>
      <c r="H454" t="s">
        <v>11</v>
      </c>
      <c r="I454" s="2">
        <v>50000</v>
      </c>
      <c r="J454" t="s">
        <v>19</v>
      </c>
      <c r="K454" s="3">
        <f t="shared" si="14"/>
        <v>50000</v>
      </c>
      <c r="L454" t="str">
        <f t="shared" si="15"/>
        <v>2025-03</v>
      </c>
    </row>
    <row r="455" spans="1:12" x14ac:dyDescent="0.25">
      <c r="A455">
        <v>1455</v>
      </c>
      <c r="B455">
        <v>22</v>
      </c>
      <c r="C455" t="str">
        <f>IFERROR(_xlfn.XLOOKUP(B455, Customer!A:A, Customer!B:B), "Unknown Customer")</f>
        <v>Amir Yousefi</v>
      </c>
      <c r="D455" s="1">
        <v>45720</v>
      </c>
      <c r="E455" t="s">
        <v>9</v>
      </c>
      <c r="F455" t="s">
        <v>10</v>
      </c>
      <c r="G455">
        <v>2</v>
      </c>
      <c r="H455" t="s">
        <v>11</v>
      </c>
      <c r="I455" s="2">
        <v>67000</v>
      </c>
      <c r="J455" t="s">
        <v>12</v>
      </c>
      <c r="K455" s="3">
        <f t="shared" si="14"/>
        <v>134000</v>
      </c>
      <c r="L455" t="str">
        <f t="shared" si="15"/>
        <v>2025-03</v>
      </c>
    </row>
    <row r="456" spans="1:12" x14ac:dyDescent="0.25">
      <c r="A456">
        <v>1456</v>
      </c>
      <c r="B456">
        <v>94</v>
      </c>
      <c r="C456" t="str">
        <f>IFERROR(_xlfn.XLOOKUP(B456, Customer!A:A, Customer!B:B), "Unknown Customer")</f>
        <v>Hamed Fallahi</v>
      </c>
      <c r="D456" s="1">
        <v>45803</v>
      </c>
      <c r="E456" t="s">
        <v>27</v>
      </c>
      <c r="F456" t="s">
        <v>14</v>
      </c>
      <c r="G456">
        <v>2</v>
      </c>
      <c r="H456" t="s">
        <v>11</v>
      </c>
      <c r="I456" s="2">
        <v>40000</v>
      </c>
      <c r="J456" t="s">
        <v>24</v>
      </c>
      <c r="K456" s="3">
        <f t="shared" si="14"/>
        <v>80000</v>
      </c>
      <c r="L456" t="str">
        <f t="shared" si="15"/>
        <v>2025-05</v>
      </c>
    </row>
    <row r="457" spans="1:12" x14ac:dyDescent="0.25">
      <c r="A457">
        <v>1457</v>
      </c>
      <c r="B457">
        <v>29</v>
      </c>
      <c r="C457" t="str">
        <f>IFERROR(_xlfn.XLOOKUP(B457, Customer!A:A, Customer!B:B), "Unknown Customer")</f>
        <v>Leila Kazemi</v>
      </c>
      <c r="D457" s="1">
        <v>45965</v>
      </c>
      <c r="E457" t="s">
        <v>31</v>
      </c>
      <c r="F457" t="s">
        <v>17</v>
      </c>
      <c r="G457">
        <v>2</v>
      </c>
      <c r="H457" t="s">
        <v>11</v>
      </c>
      <c r="I457" s="2">
        <v>45000</v>
      </c>
      <c r="J457" t="s">
        <v>12</v>
      </c>
      <c r="K457" s="3">
        <f t="shared" si="14"/>
        <v>90000</v>
      </c>
      <c r="L457" t="str">
        <f t="shared" si="15"/>
        <v>2025-11</v>
      </c>
    </row>
    <row r="458" spans="1:12" x14ac:dyDescent="0.25">
      <c r="A458">
        <v>1458</v>
      </c>
      <c r="B458">
        <v>88</v>
      </c>
      <c r="C458" t="str">
        <f>IFERROR(_xlfn.XLOOKUP(B458, Customer!A:A, Customer!B:B), "Unknown Customer")</f>
        <v>Golnaz Rostami</v>
      </c>
      <c r="D458" s="1">
        <v>45890</v>
      </c>
      <c r="E458" t="s">
        <v>25</v>
      </c>
      <c r="F458" t="s">
        <v>10</v>
      </c>
      <c r="G458">
        <v>1</v>
      </c>
      <c r="H458" t="s">
        <v>11</v>
      </c>
      <c r="I458" s="2">
        <v>65000</v>
      </c>
      <c r="J458" t="s">
        <v>19</v>
      </c>
      <c r="K458" s="3">
        <f t="shared" si="14"/>
        <v>65000</v>
      </c>
      <c r="L458" t="str">
        <f t="shared" si="15"/>
        <v>2025-08</v>
      </c>
    </row>
    <row r="459" spans="1:12" x14ac:dyDescent="0.25">
      <c r="A459">
        <v>1459</v>
      </c>
      <c r="B459">
        <v>3</v>
      </c>
      <c r="C459" t="str">
        <f>IFERROR(_xlfn.XLOOKUP(B459, Customer!A:A, Customer!B:B), "Unknown Customer")</f>
        <v>Hamed Abbasi</v>
      </c>
      <c r="D459" s="1">
        <v>45925</v>
      </c>
      <c r="E459" t="s">
        <v>30</v>
      </c>
      <c r="F459" t="s">
        <v>14</v>
      </c>
      <c r="G459">
        <v>4</v>
      </c>
      <c r="H459" t="s">
        <v>11</v>
      </c>
      <c r="I459" s="2">
        <v>48000</v>
      </c>
      <c r="J459" t="s">
        <v>24</v>
      </c>
      <c r="K459" s="3">
        <f t="shared" si="14"/>
        <v>192000</v>
      </c>
      <c r="L459" t="str">
        <f t="shared" si="15"/>
        <v>2025-09</v>
      </c>
    </row>
    <row r="460" spans="1:12" x14ac:dyDescent="0.25">
      <c r="A460">
        <v>1460</v>
      </c>
      <c r="B460">
        <v>61</v>
      </c>
      <c r="C460" t="str">
        <f>IFERROR(_xlfn.XLOOKUP(B460, Customer!A:A, Customer!B:B), "Unknown Customer")</f>
        <v>Arman Moradi</v>
      </c>
      <c r="D460" s="1">
        <v>45965</v>
      </c>
      <c r="E460" t="s">
        <v>20</v>
      </c>
      <c r="F460" t="s">
        <v>17</v>
      </c>
      <c r="G460">
        <v>1</v>
      </c>
      <c r="H460" t="s">
        <v>11</v>
      </c>
      <c r="I460" s="2">
        <v>50000</v>
      </c>
      <c r="J460" t="s">
        <v>28</v>
      </c>
      <c r="K460" s="3">
        <f t="shared" si="14"/>
        <v>50000</v>
      </c>
      <c r="L460" t="str">
        <f t="shared" si="15"/>
        <v>2025-11</v>
      </c>
    </row>
    <row r="461" spans="1:12" x14ac:dyDescent="0.25">
      <c r="A461">
        <v>1461</v>
      </c>
      <c r="B461">
        <v>70</v>
      </c>
      <c r="C461" t="str">
        <f>IFERROR(_xlfn.XLOOKUP(B461, Customer!A:A, Customer!B:B), "Unknown Customer")</f>
        <v>Iman Naderi</v>
      </c>
      <c r="D461" s="1">
        <v>46005</v>
      </c>
      <c r="E461" t="s">
        <v>29</v>
      </c>
      <c r="F461" t="s">
        <v>14</v>
      </c>
      <c r="G461">
        <v>2</v>
      </c>
      <c r="H461" t="s">
        <v>11</v>
      </c>
      <c r="I461" s="2">
        <v>45000</v>
      </c>
      <c r="J461" t="s">
        <v>12</v>
      </c>
      <c r="K461" s="3">
        <f t="shared" si="14"/>
        <v>90000</v>
      </c>
      <c r="L461" t="str">
        <f t="shared" si="15"/>
        <v>2025-12</v>
      </c>
    </row>
    <row r="462" spans="1:12" x14ac:dyDescent="0.25">
      <c r="A462">
        <v>1462</v>
      </c>
      <c r="B462">
        <v>68</v>
      </c>
      <c r="C462" t="str">
        <f>IFERROR(_xlfn.XLOOKUP(B462, Customer!A:A, Customer!B:B), "Unknown Customer")</f>
        <v>Farhad Mousavi</v>
      </c>
      <c r="D462" s="1">
        <v>45775</v>
      </c>
      <c r="E462" t="s">
        <v>31</v>
      </c>
      <c r="F462" t="s">
        <v>17</v>
      </c>
      <c r="G462">
        <v>1</v>
      </c>
      <c r="H462" t="s">
        <v>11</v>
      </c>
      <c r="I462" s="2">
        <v>40428.571428571428</v>
      </c>
      <c r="J462" t="s">
        <v>15</v>
      </c>
      <c r="K462" s="3">
        <f t="shared" si="14"/>
        <v>40428.571428571428</v>
      </c>
      <c r="L462" t="str">
        <f t="shared" si="15"/>
        <v>2025-04</v>
      </c>
    </row>
    <row r="463" spans="1:12" x14ac:dyDescent="0.25">
      <c r="A463">
        <v>1463</v>
      </c>
      <c r="B463">
        <v>18</v>
      </c>
      <c r="C463" t="str">
        <f>IFERROR(_xlfn.XLOOKUP(B463, Customer!A:A, Customer!B:B), "Unknown Customer")</f>
        <v>Niloofar Abbasi</v>
      </c>
      <c r="D463" s="1">
        <v>45902</v>
      </c>
      <c r="E463" t="s">
        <v>9</v>
      </c>
      <c r="F463" t="s">
        <v>10</v>
      </c>
      <c r="G463">
        <v>1</v>
      </c>
      <c r="H463" t="s">
        <v>11</v>
      </c>
      <c r="I463" s="2">
        <v>67000</v>
      </c>
      <c r="J463" t="s">
        <v>21</v>
      </c>
      <c r="K463" s="3">
        <f t="shared" si="14"/>
        <v>67000</v>
      </c>
      <c r="L463" t="str">
        <f t="shared" si="15"/>
        <v>2025-09</v>
      </c>
    </row>
    <row r="464" spans="1:12" x14ac:dyDescent="0.25">
      <c r="A464">
        <v>1464</v>
      </c>
      <c r="B464">
        <v>25</v>
      </c>
      <c r="C464" t="str">
        <f>IFERROR(_xlfn.XLOOKUP(B464, Customer!A:A, Customer!B:B), "Unknown Customer")</f>
        <v>Milad Kazemi</v>
      </c>
      <c r="D464" s="1">
        <v>46021</v>
      </c>
      <c r="E464" t="s">
        <v>29</v>
      </c>
      <c r="F464" t="s">
        <v>14</v>
      </c>
      <c r="G464">
        <v>2</v>
      </c>
      <c r="H464" t="s">
        <v>11</v>
      </c>
      <c r="I464" s="2">
        <v>45353.535353535357</v>
      </c>
      <c r="J464" t="s">
        <v>15</v>
      </c>
      <c r="K464" s="3">
        <f t="shared" si="14"/>
        <v>90707.070707070714</v>
      </c>
      <c r="L464" t="str">
        <f t="shared" si="15"/>
        <v>2025-12</v>
      </c>
    </row>
    <row r="465" spans="1:12" x14ac:dyDescent="0.25">
      <c r="A465">
        <v>1465</v>
      </c>
      <c r="B465">
        <v>84</v>
      </c>
      <c r="C465" t="str">
        <f>IFERROR(_xlfn.XLOOKUP(B465, Customer!A:A, Customer!B:B), "Unknown Customer")</f>
        <v>Setareh Moradi</v>
      </c>
      <c r="D465" s="1">
        <v>46010</v>
      </c>
      <c r="E465" t="s">
        <v>30</v>
      </c>
      <c r="F465" t="s">
        <v>14</v>
      </c>
      <c r="G465">
        <v>1</v>
      </c>
      <c r="H465" t="s">
        <v>11</v>
      </c>
      <c r="I465" s="2">
        <v>43000</v>
      </c>
      <c r="J465" t="s">
        <v>12</v>
      </c>
      <c r="K465" s="3">
        <f t="shared" si="14"/>
        <v>43000</v>
      </c>
      <c r="L465" t="str">
        <f t="shared" si="15"/>
        <v>2025-12</v>
      </c>
    </row>
    <row r="466" spans="1:12" x14ac:dyDescent="0.25">
      <c r="A466">
        <v>1466</v>
      </c>
      <c r="B466">
        <v>75</v>
      </c>
      <c r="C466" t="str">
        <f>IFERROR(_xlfn.XLOOKUP(B466, Customer!A:A, Customer!B:B), "Unknown Customer")</f>
        <v>Kian Ebrahimi</v>
      </c>
      <c r="D466" s="1">
        <v>45791</v>
      </c>
      <c r="E466" t="s">
        <v>9</v>
      </c>
      <c r="F466" t="s">
        <v>10</v>
      </c>
      <c r="G466">
        <v>2</v>
      </c>
      <c r="H466" t="s">
        <v>11</v>
      </c>
      <c r="I466" s="2">
        <v>62000</v>
      </c>
      <c r="J466" t="s">
        <v>12</v>
      </c>
      <c r="K466" s="3">
        <f t="shared" si="14"/>
        <v>124000</v>
      </c>
      <c r="L466" t="str">
        <f t="shared" si="15"/>
        <v>2025-05</v>
      </c>
    </row>
    <row r="467" spans="1:12" x14ac:dyDescent="0.25">
      <c r="A467">
        <v>1467</v>
      </c>
      <c r="B467">
        <v>51</v>
      </c>
      <c r="C467" t="str">
        <f>IFERROR(_xlfn.XLOOKUP(B467, Customer!A:A, Customer!B:B), "Unknown Customer")</f>
        <v>Azadeh Karimi</v>
      </c>
      <c r="D467" s="1">
        <v>45869</v>
      </c>
      <c r="E467" t="s">
        <v>30</v>
      </c>
      <c r="F467" t="s">
        <v>14</v>
      </c>
      <c r="G467">
        <v>1</v>
      </c>
      <c r="H467" t="s">
        <v>11</v>
      </c>
      <c r="I467" s="2">
        <v>48000</v>
      </c>
      <c r="J467" t="s">
        <v>21</v>
      </c>
      <c r="K467" s="3">
        <f t="shared" si="14"/>
        <v>48000</v>
      </c>
      <c r="L467" t="str">
        <f t="shared" si="15"/>
        <v>2025-07</v>
      </c>
    </row>
    <row r="468" spans="1:12" x14ac:dyDescent="0.25">
      <c r="A468">
        <v>1468</v>
      </c>
      <c r="B468">
        <v>40</v>
      </c>
      <c r="C468" t="str">
        <f>IFERROR(_xlfn.XLOOKUP(B468, Customer!A:A, Customer!B:B), "Unknown Customer")</f>
        <v>Nazanin Hosseini</v>
      </c>
      <c r="D468" s="1">
        <v>45834</v>
      </c>
      <c r="E468" t="s">
        <v>20</v>
      </c>
      <c r="F468" t="s">
        <v>17</v>
      </c>
      <c r="G468">
        <v>3</v>
      </c>
      <c r="H468" t="s">
        <v>11</v>
      </c>
      <c r="I468" s="2">
        <v>50000</v>
      </c>
      <c r="J468" t="s">
        <v>12</v>
      </c>
      <c r="K468" s="3">
        <f t="shared" si="14"/>
        <v>150000</v>
      </c>
      <c r="L468" t="str">
        <f t="shared" si="15"/>
        <v>2025-06</v>
      </c>
    </row>
    <row r="469" spans="1:12" x14ac:dyDescent="0.25">
      <c r="A469">
        <v>1469</v>
      </c>
      <c r="B469">
        <v>30</v>
      </c>
      <c r="C469" t="str">
        <f>IFERROR(_xlfn.XLOOKUP(B469, Customer!A:A, Customer!B:B), "Unknown Customer")</f>
        <v>Mona Mousavi</v>
      </c>
      <c r="D469" s="1">
        <v>46016</v>
      </c>
      <c r="E469" t="s">
        <v>16</v>
      </c>
      <c r="F469" t="s">
        <v>17</v>
      </c>
      <c r="G469">
        <v>1</v>
      </c>
      <c r="H469" t="s">
        <v>11</v>
      </c>
      <c r="I469" s="2">
        <v>80000</v>
      </c>
      <c r="J469" t="s">
        <v>28</v>
      </c>
      <c r="K469" s="3">
        <f t="shared" si="14"/>
        <v>80000</v>
      </c>
      <c r="L469" t="str">
        <f t="shared" si="15"/>
        <v>2025-12</v>
      </c>
    </row>
    <row r="470" spans="1:12" x14ac:dyDescent="0.25">
      <c r="A470">
        <v>1470</v>
      </c>
      <c r="B470">
        <v>79</v>
      </c>
      <c r="C470" t="str">
        <f>IFERROR(_xlfn.XLOOKUP(B470, Customer!A:A, Customer!B:B), "Unknown Customer")</f>
        <v>Niloofar Ahmadi</v>
      </c>
      <c r="D470" s="1">
        <v>46008</v>
      </c>
      <c r="E470" t="s">
        <v>22</v>
      </c>
      <c r="F470" t="s">
        <v>14</v>
      </c>
      <c r="G470">
        <v>1</v>
      </c>
      <c r="H470" t="s">
        <v>11</v>
      </c>
      <c r="I470" s="2">
        <v>60000</v>
      </c>
      <c r="J470" t="s">
        <v>19</v>
      </c>
      <c r="K470" s="3">
        <f t="shared" si="14"/>
        <v>60000</v>
      </c>
      <c r="L470" t="str">
        <f t="shared" si="15"/>
        <v>2025-12</v>
      </c>
    </row>
    <row r="471" spans="1:12" x14ac:dyDescent="0.25">
      <c r="A471">
        <v>1471</v>
      </c>
      <c r="B471">
        <v>106</v>
      </c>
      <c r="C471" t="str">
        <f>IFERROR(_xlfn.XLOOKUP(B471, Customer!A:A, Customer!B:B), "Unknown Customer")</f>
        <v>Iman Zare</v>
      </c>
      <c r="D471" s="1">
        <v>45899</v>
      </c>
      <c r="E471" t="s">
        <v>13</v>
      </c>
      <c r="F471" t="s">
        <v>14</v>
      </c>
      <c r="G471">
        <v>1</v>
      </c>
      <c r="H471" t="s">
        <v>11</v>
      </c>
      <c r="I471" s="2">
        <v>53000</v>
      </c>
      <c r="J471" t="s">
        <v>21</v>
      </c>
      <c r="K471" s="3">
        <f t="shared" si="14"/>
        <v>53000</v>
      </c>
      <c r="L471" t="str">
        <f t="shared" si="15"/>
        <v>2025-08</v>
      </c>
    </row>
    <row r="472" spans="1:12" x14ac:dyDescent="0.25">
      <c r="A472">
        <v>1472</v>
      </c>
      <c r="B472">
        <v>11</v>
      </c>
      <c r="C472" t="str">
        <f>IFERROR(_xlfn.XLOOKUP(B472, Customer!A:A, Customer!B:B), "Unknown Customer")</f>
        <v>Leila Kazemi</v>
      </c>
      <c r="D472" s="1">
        <v>45677</v>
      </c>
      <c r="E472" t="s">
        <v>20</v>
      </c>
      <c r="F472" t="s">
        <v>17</v>
      </c>
      <c r="G472">
        <v>2</v>
      </c>
      <c r="H472" t="s">
        <v>11</v>
      </c>
      <c r="I472" s="2">
        <v>55000</v>
      </c>
      <c r="J472" t="s">
        <v>12</v>
      </c>
      <c r="K472" s="3">
        <f t="shared" si="14"/>
        <v>110000</v>
      </c>
      <c r="L472" t="str">
        <f t="shared" si="15"/>
        <v>2025-01</v>
      </c>
    </row>
    <row r="473" spans="1:12" x14ac:dyDescent="0.25">
      <c r="A473">
        <v>1473</v>
      </c>
      <c r="B473">
        <v>118</v>
      </c>
      <c r="C473" t="str">
        <f>IFERROR(_xlfn.XLOOKUP(B473, Customer!A:A, Customer!B:B), "Unknown Customer")</f>
        <v>Hamed Rezaei</v>
      </c>
      <c r="D473" s="1">
        <v>45687</v>
      </c>
      <c r="E473" t="s">
        <v>20</v>
      </c>
      <c r="F473" t="s">
        <v>17</v>
      </c>
      <c r="G473">
        <v>2</v>
      </c>
      <c r="H473" t="s">
        <v>11</v>
      </c>
      <c r="I473" s="2">
        <v>45000</v>
      </c>
      <c r="J473" t="s">
        <v>24</v>
      </c>
      <c r="K473" s="3">
        <f t="shared" si="14"/>
        <v>90000</v>
      </c>
      <c r="L473" t="str">
        <f t="shared" si="15"/>
        <v>2025-01</v>
      </c>
    </row>
    <row r="474" spans="1:12" x14ac:dyDescent="0.25">
      <c r="A474">
        <v>1474</v>
      </c>
      <c r="B474">
        <v>5</v>
      </c>
      <c r="C474" t="str">
        <f>IFERROR(_xlfn.XLOOKUP(B474, Customer!A:A, Customer!B:B), "Unknown Customer")</f>
        <v>Sara Sadeghi</v>
      </c>
      <c r="D474" s="1">
        <v>45919</v>
      </c>
      <c r="E474" t="s">
        <v>20</v>
      </c>
      <c r="F474" t="s">
        <v>17</v>
      </c>
      <c r="G474">
        <v>2</v>
      </c>
      <c r="H474" t="s">
        <v>11</v>
      </c>
      <c r="I474" s="2">
        <v>50000</v>
      </c>
      <c r="J474" t="s">
        <v>21</v>
      </c>
      <c r="K474" s="3">
        <f t="shared" si="14"/>
        <v>100000</v>
      </c>
      <c r="L474" t="str">
        <f t="shared" si="15"/>
        <v>2025-09</v>
      </c>
    </row>
    <row r="475" spans="1:12" x14ac:dyDescent="0.25">
      <c r="A475">
        <v>1475</v>
      </c>
      <c r="B475">
        <v>31</v>
      </c>
      <c r="C475" t="str">
        <f>IFERROR(_xlfn.XLOOKUP(B475, Customer!A:A, Customer!B:B), "Unknown Customer")</f>
        <v>Sara Karimi</v>
      </c>
      <c r="D475" s="1">
        <v>45658</v>
      </c>
      <c r="E475" t="s">
        <v>27</v>
      </c>
      <c r="F475" t="s">
        <v>14</v>
      </c>
      <c r="G475">
        <v>1</v>
      </c>
      <c r="H475" t="s">
        <v>11</v>
      </c>
      <c r="I475" s="2">
        <v>35000</v>
      </c>
      <c r="J475" t="s">
        <v>15</v>
      </c>
      <c r="K475" s="3">
        <f t="shared" si="14"/>
        <v>35000</v>
      </c>
      <c r="L475" t="str">
        <f t="shared" si="15"/>
        <v>2025-01</v>
      </c>
    </row>
    <row r="476" spans="1:12" x14ac:dyDescent="0.25">
      <c r="A476">
        <v>1476</v>
      </c>
      <c r="B476">
        <v>76</v>
      </c>
      <c r="C476" t="str">
        <f>IFERROR(_xlfn.XLOOKUP(B476, Customer!A:A, Customer!B:B), "Unknown Customer")</f>
        <v>Setareh Yousefi</v>
      </c>
      <c r="D476" s="1">
        <v>45923</v>
      </c>
      <c r="E476" t="s">
        <v>30</v>
      </c>
      <c r="F476" t="s">
        <v>14</v>
      </c>
      <c r="G476">
        <v>1</v>
      </c>
      <c r="H476" t="s">
        <v>11</v>
      </c>
      <c r="I476" s="2">
        <v>53000</v>
      </c>
      <c r="J476" t="s">
        <v>21</v>
      </c>
      <c r="K476" s="3">
        <f t="shared" si="14"/>
        <v>53000</v>
      </c>
      <c r="L476" t="str">
        <f t="shared" si="15"/>
        <v>2025-09</v>
      </c>
    </row>
    <row r="477" spans="1:12" x14ac:dyDescent="0.25">
      <c r="A477">
        <v>1477</v>
      </c>
      <c r="B477">
        <v>118</v>
      </c>
      <c r="C477" t="str">
        <f>IFERROR(_xlfn.XLOOKUP(B477, Customer!A:A, Customer!B:B), "Unknown Customer")</f>
        <v>Hamed Rezaei</v>
      </c>
      <c r="D477" s="1">
        <v>45773</v>
      </c>
      <c r="E477" t="s">
        <v>9</v>
      </c>
      <c r="F477" t="s">
        <v>10</v>
      </c>
      <c r="G477">
        <v>2</v>
      </c>
      <c r="H477" t="s">
        <v>11</v>
      </c>
      <c r="I477" s="2">
        <v>62000</v>
      </c>
      <c r="J477" t="s">
        <v>21</v>
      </c>
      <c r="K477" s="3">
        <f t="shared" si="14"/>
        <v>124000</v>
      </c>
      <c r="L477" t="str">
        <f t="shared" si="15"/>
        <v>2025-04</v>
      </c>
    </row>
    <row r="478" spans="1:12" x14ac:dyDescent="0.25">
      <c r="A478">
        <v>1478</v>
      </c>
      <c r="B478">
        <v>23</v>
      </c>
      <c r="C478" t="str">
        <f>IFERROR(_xlfn.XLOOKUP(B478, Customer!A:A, Customer!B:B), "Unknown Customer")</f>
        <v>Milad Rezaei</v>
      </c>
      <c r="D478" s="1">
        <v>45917</v>
      </c>
      <c r="E478" t="s">
        <v>31</v>
      </c>
      <c r="F478" t="s">
        <v>17</v>
      </c>
      <c r="G478">
        <v>2</v>
      </c>
      <c r="H478" t="s">
        <v>11</v>
      </c>
      <c r="I478" s="2">
        <v>40000</v>
      </c>
      <c r="J478" t="s">
        <v>28</v>
      </c>
      <c r="K478" s="3">
        <f t="shared" si="14"/>
        <v>80000</v>
      </c>
      <c r="L478" t="str">
        <f t="shared" si="15"/>
        <v>2025-09</v>
      </c>
    </row>
    <row r="479" spans="1:12" x14ac:dyDescent="0.25">
      <c r="A479">
        <v>1479</v>
      </c>
      <c r="B479">
        <v>60</v>
      </c>
      <c r="C479" t="str">
        <f>IFERROR(_xlfn.XLOOKUP(B479, Customer!A:A, Customer!B:B), "Unknown Customer")</f>
        <v>Sina Ghasemi</v>
      </c>
      <c r="D479" s="1">
        <v>45726</v>
      </c>
      <c r="E479" t="s">
        <v>9</v>
      </c>
      <c r="F479" t="s">
        <v>10</v>
      </c>
      <c r="G479">
        <v>3</v>
      </c>
      <c r="H479" t="s">
        <v>11</v>
      </c>
      <c r="I479" s="2">
        <v>62000</v>
      </c>
      <c r="J479" t="s">
        <v>24</v>
      </c>
      <c r="K479" s="3">
        <f t="shared" si="14"/>
        <v>186000</v>
      </c>
      <c r="L479" t="str">
        <f t="shared" si="15"/>
        <v>2025-03</v>
      </c>
    </row>
    <row r="480" spans="1:12" x14ac:dyDescent="0.25">
      <c r="A480">
        <v>1480</v>
      </c>
      <c r="B480">
        <v>97</v>
      </c>
      <c r="C480" t="str">
        <f>IFERROR(_xlfn.XLOOKUP(B480, Customer!A:A, Customer!B:B), "Unknown Customer")</f>
        <v>Setareh Sadeghi</v>
      </c>
      <c r="D480" s="1">
        <v>45892</v>
      </c>
      <c r="E480" t="s">
        <v>25</v>
      </c>
      <c r="F480" t="s">
        <v>10</v>
      </c>
      <c r="G480">
        <v>2</v>
      </c>
      <c r="H480" t="s">
        <v>11</v>
      </c>
      <c r="I480" s="2">
        <v>60000</v>
      </c>
      <c r="J480" t="s">
        <v>21</v>
      </c>
      <c r="K480" s="3">
        <f t="shared" si="14"/>
        <v>120000</v>
      </c>
      <c r="L480" t="str">
        <f t="shared" si="15"/>
        <v>2025-08</v>
      </c>
    </row>
    <row r="481" spans="1:12" x14ac:dyDescent="0.25">
      <c r="A481">
        <v>1481</v>
      </c>
      <c r="B481">
        <v>9</v>
      </c>
      <c r="C481" t="str">
        <f>IFERROR(_xlfn.XLOOKUP(B481, Customer!A:A, Customer!B:B), "Unknown Customer")</f>
        <v>Farhad Zare</v>
      </c>
      <c r="D481" s="1">
        <v>45982</v>
      </c>
      <c r="E481" t="s">
        <v>31</v>
      </c>
      <c r="F481" t="s">
        <v>17</v>
      </c>
      <c r="G481">
        <v>4</v>
      </c>
      <c r="H481" t="s">
        <v>11</v>
      </c>
      <c r="I481" s="2">
        <v>40000</v>
      </c>
      <c r="J481" t="s">
        <v>28</v>
      </c>
      <c r="K481" s="3">
        <f t="shared" si="14"/>
        <v>160000</v>
      </c>
      <c r="L481" t="str">
        <f t="shared" si="15"/>
        <v>2025-11</v>
      </c>
    </row>
    <row r="482" spans="1:12" x14ac:dyDescent="0.25">
      <c r="A482">
        <v>1482</v>
      </c>
      <c r="B482">
        <v>69</v>
      </c>
      <c r="C482" t="str">
        <f>IFERROR(_xlfn.XLOOKUP(B482, Customer!A:A, Customer!B:B), "Unknown Customer")</f>
        <v>Mahsa Ebrahimi</v>
      </c>
      <c r="D482" s="1">
        <v>46016</v>
      </c>
      <c r="E482" t="s">
        <v>29</v>
      </c>
      <c r="F482" t="s">
        <v>14</v>
      </c>
      <c r="G482">
        <v>1</v>
      </c>
      <c r="H482" t="s">
        <v>11</v>
      </c>
      <c r="I482" s="2">
        <v>40000</v>
      </c>
      <c r="J482" t="s">
        <v>19</v>
      </c>
      <c r="K482" s="3">
        <f t="shared" si="14"/>
        <v>40000</v>
      </c>
      <c r="L482" t="str">
        <f t="shared" si="15"/>
        <v>2025-12</v>
      </c>
    </row>
    <row r="483" spans="1:12" x14ac:dyDescent="0.25">
      <c r="A483">
        <v>1483</v>
      </c>
      <c r="B483">
        <v>71</v>
      </c>
      <c r="C483" t="str">
        <f>IFERROR(_xlfn.XLOOKUP(B483, Customer!A:A, Customer!B:B), "Unknown Customer")</f>
        <v>Milad Mousavi</v>
      </c>
      <c r="D483" s="1">
        <v>45666</v>
      </c>
      <c r="E483" t="s">
        <v>13</v>
      </c>
      <c r="F483" t="s">
        <v>14</v>
      </c>
      <c r="G483">
        <v>1</v>
      </c>
      <c r="H483" t="s">
        <v>11</v>
      </c>
      <c r="I483" s="2">
        <v>63000</v>
      </c>
      <c r="J483" t="s">
        <v>12</v>
      </c>
      <c r="K483" s="3">
        <f t="shared" si="14"/>
        <v>63000</v>
      </c>
      <c r="L483" t="str">
        <f t="shared" si="15"/>
        <v>2025-01</v>
      </c>
    </row>
    <row r="484" spans="1:12" x14ac:dyDescent="0.25">
      <c r="A484">
        <v>1484</v>
      </c>
      <c r="B484">
        <v>88</v>
      </c>
      <c r="C484" t="str">
        <f>IFERROR(_xlfn.XLOOKUP(B484, Customer!A:A, Customer!B:B), "Unknown Customer")</f>
        <v>Golnaz Rostami</v>
      </c>
      <c r="D484" s="1">
        <v>45913</v>
      </c>
      <c r="E484" t="s">
        <v>30</v>
      </c>
      <c r="F484" t="s">
        <v>14</v>
      </c>
      <c r="G484">
        <v>1</v>
      </c>
      <c r="H484" t="s">
        <v>11</v>
      </c>
      <c r="I484" s="2">
        <v>48000</v>
      </c>
      <c r="J484" t="s">
        <v>24</v>
      </c>
      <c r="K484" s="3">
        <f t="shared" si="14"/>
        <v>48000</v>
      </c>
      <c r="L484" t="str">
        <f t="shared" si="15"/>
        <v>2025-09</v>
      </c>
    </row>
    <row r="485" spans="1:12" x14ac:dyDescent="0.25">
      <c r="A485">
        <v>1485</v>
      </c>
      <c r="B485">
        <v>26</v>
      </c>
      <c r="C485" t="str">
        <f>IFERROR(_xlfn.XLOOKUP(B485, Customer!A:A, Customer!B:B), "Unknown Customer")</f>
        <v>Mona Karimi</v>
      </c>
      <c r="D485" s="1">
        <v>45974</v>
      </c>
      <c r="E485" t="s">
        <v>30</v>
      </c>
      <c r="F485" t="s">
        <v>14</v>
      </c>
      <c r="G485">
        <v>4</v>
      </c>
      <c r="H485" t="s">
        <v>11</v>
      </c>
      <c r="I485" s="2">
        <v>43000</v>
      </c>
      <c r="J485" t="s">
        <v>12</v>
      </c>
      <c r="K485" s="3">
        <f t="shared" si="14"/>
        <v>172000</v>
      </c>
      <c r="L485" t="str">
        <f t="shared" si="15"/>
        <v>2025-11</v>
      </c>
    </row>
    <row r="486" spans="1:12" x14ac:dyDescent="0.25">
      <c r="A486">
        <v>1486</v>
      </c>
      <c r="B486">
        <v>60</v>
      </c>
      <c r="C486" t="str">
        <f>IFERROR(_xlfn.XLOOKUP(B486, Customer!A:A, Customer!B:B), "Unknown Customer")</f>
        <v>Sina Ghasemi</v>
      </c>
      <c r="D486" s="1">
        <v>45910</v>
      </c>
      <c r="E486" t="s">
        <v>27</v>
      </c>
      <c r="F486" t="s">
        <v>14</v>
      </c>
      <c r="G486">
        <v>4</v>
      </c>
      <c r="H486" t="s">
        <v>11</v>
      </c>
      <c r="I486" s="2">
        <v>40000</v>
      </c>
      <c r="J486" t="s">
        <v>21</v>
      </c>
      <c r="K486" s="3">
        <f t="shared" si="14"/>
        <v>160000</v>
      </c>
      <c r="L486" t="str">
        <f t="shared" si="15"/>
        <v>2025-09</v>
      </c>
    </row>
    <row r="487" spans="1:12" x14ac:dyDescent="0.25">
      <c r="A487">
        <v>1487</v>
      </c>
      <c r="B487">
        <v>80</v>
      </c>
      <c r="C487" t="str">
        <f>IFERROR(_xlfn.XLOOKUP(B487, Customer!A:A, Customer!B:B), "Unknown Customer")</f>
        <v>Mona Yousefi</v>
      </c>
      <c r="D487" s="1">
        <v>45939</v>
      </c>
      <c r="E487" t="s">
        <v>25</v>
      </c>
      <c r="F487" t="s">
        <v>10</v>
      </c>
      <c r="G487">
        <v>2</v>
      </c>
      <c r="H487" t="s">
        <v>11</v>
      </c>
      <c r="I487" s="2">
        <v>65000</v>
      </c>
      <c r="J487" t="s">
        <v>15</v>
      </c>
      <c r="K487" s="3">
        <f t="shared" si="14"/>
        <v>130000</v>
      </c>
      <c r="L487" t="str">
        <f t="shared" si="15"/>
        <v>2025-10</v>
      </c>
    </row>
    <row r="488" spans="1:12" x14ac:dyDescent="0.25">
      <c r="A488">
        <v>1488</v>
      </c>
      <c r="B488">
        <v>29</v>
      </c>
      <c r="C488" t="str">
        <f>IFERROR(_xlfn.XLOOKUP(B488, Customer!A:A, Customer!B:B), "Unknown Customer")</f>
        <v>Leila Kazemi</v>
      </c>
      <c r="D488" s="1">
        <v>45841</v>
      </c>
      <c r="E488" t="s">
        <v>20</v>
      </c>
      <c r="F488" t="s">
        <v>17</v>
      </c>
      <c r="G488">
        <v>2</v>
      </c>
      <c r="H488" t="s">
        <v>11</v>
      </c>
      <c r="I488" s="2">
        <v>55000</v>
      </c>
      <c r="J488" t="s">
        <v>15</v>
      </c>
      <c r="K488" s="3">
        <f t="shared" si="14"/>
        <v>110000</v>
      </c>
      <c r="L488" t="str">
        <f t="shared" si="15"/>
        <v>2025-07</v>
      </c>
    </row>
    <row r="489" spans="1:12" x14ac:dyDescent="0.25">
      <c r="A489">
        <v>1489</v>
      </c>
      <c r="B489">
        <v>111</v>
      </c>
      <c r="C489" t="str">
        <f>IFERROR(_xlfn.XLOOKUP(B489, Customer!A:A, Customer!B:B), "Unknown Customer")</f>
        <v>Sepideh Yousefi</v>
      </c>
      <c r="D489" s="1">
        <v>45747</v>
      </c>
      <c r="E489" t="s">
        <v>27</v>
      </c>
      <c r="F489" t="s">
        <v>14</v>
      </c>
      <c r="G489">
        <v>3</v>
      </c>
      <c r="H489" t="s">
        <v>11</v>
      </c>
      <c r="I489" s="2">
        <v>40000</v>
      </c>
      <c r="J489" t="s">
        <v>12</v>
      </c>
      <c r="K489" s="3">
        <f t="shared" si="14"/>
        <v>120000</v>
      </c>
      <c r="L489" t="str">
        <f t="shared" si="15"/>
        <v>2025-03</v>
      </c>
    </row>
    <row r="490" spans="1:12" x14ac:dyDescent="0.25">
      <c r="A490">
        <v>1490</v>
      </c>
      <c r="B490">
        <v>2</v>
      </c>
      <c r="C490" t="str">
        <f>IFERROR(_xlfn.XLOOKUP(B490, Customer!A:A, Customer!B:B), "Unknown Customer")</f>
        <v>Reza Naderi</v>
      </c>
      <c r="D490" s="1">
        <v>46003</v>
      </c>
      <c r="E490" t="s">
        <v>29</v>
      </c>
      <c r="F490" t="s">
        <v>14</v>
      </c>
      <c r="G490">
        <v>2</v>
      </c>
      <c r="H490" t="s">
        <v>11</v>
      </c>
      <c r="I490" s="2">
        <v>40000</v>
      </c>
      <c r="J490" t="s">
        <v>28</v>
      </c>
      <c r="K490" s="3">
        <f t="shared" si="14"/>
        <v>80000</v>
      </c>
      <c r="L490" t="str">
        <f t="shared" si="15"/>
        <v>2025-12</v>
      </c>
    </row>
    <row r="491" spans="1:12" x14ac:dyDescent="0.25">
      <c r="A491">
        <v>1491</v>
      </c>
      <c r="B491">
        <v>111</v>
      </c>
      <c r="C491" t="str">
        <f>IFERROR(_xlfn.XLOOKUP(B491, Customer!A:A, Customer!B:B), "Unknown Customer")</f>
        <v>Sepideh Yousefi</v>
      </c>
      <c r="D491" s="1">
        <v>45812</v>
      </c>
      <c r="E491" t="s">
        <v>9</v>
      </c>
      <c r="F491" t="s">
        <v>10</v>
      </c>
      <c r="G491">
        <v>1</v>
      </c>
      <c r="H491" t="s">
        <v>11</v>
      </c>
      <c r="I491" s="2">
        <v>62000</v>
      </c>
      <c r="J491" t="s">
        <v>21</v>
      </c>
      <c r="K491" s="3">
        <f t="shared" si="14"/>
        <v>62000</v>
      </c>
      <c r="L491" t="str">
        <f t="shared" si="15"/>
        <v>2025-06</v>
      </c>
    </row>
    <row r="492" spans="1:12" x14ac:dyDescent="0.25">
      <c r="A492">
        <v>1492</v>
      </c>
      <c r="B492">
        <v>24</v>
      </c>
      <c r="C492" t="str">
        <f>IFERROR(_xlfn.XLOOKUP(B492, Customer!A:A, Customer!B:B), "Unknown Customer")</f>
        <v>Farhad Sadeghi</v>
      </c>
      <c r="D492" s="1">
        <v>45816</v>
      </c>
      <c r="E492" t="s">
        <v>16</v>
      </c>
      <c r="F492" t="s">
        <v>17</v>
      </c>
      <c r="G492">
        <v>3</v>
      </c>
      <c r="H492" t="s">
        <v>11</v>
      </c>
      <c r="I492" s="2">
        <v>75000</v>
      </c>
      <c r="J492" t="s">
        <v>21</v>
      </c>
      <c r="K492" s="3">
        <f t="shared" si="14"/>
        <v>225000</v>
      </c>
      <c r="L492" t="str">
        <f t="shared" si="15"/>
        <v>2025-06</v>
      </c>
    </row>
    <row r="493" spans="1:12" x14ac:dyDescent="0.25">
      <c r="A493">
        <v>1493</v>
      </c>
      <c r="B493">
        <v>58</v>
      </c>
      <c r="C493" t="str">
        <f>IFERROR(_xlfn.XLOOKUP(B493, Customer!A:A, Customer!B:B), "Unknown Customer")</f>
        <v>Mona Moradi</v>
      </c>
      <c r="D493" s="1">
        <v>45950</v>
      </c>
      <c r="E493" t="s">
        <v>13</v>
      </c>
      <c r="F493" t="s">
        <v>14</v>
      </c>
      <c r="G493">
        <v>4</v>
      </c>
      <c r="H493" t="s">
        <v>11</v>
      </c>
      <c r="I493" s="2">
        <v>53000</v>
      </c>
      <c r="J493" t="s">
        <v>24</v>
      </c>
      <c r="K493" s="3">
        <f t="shared" si="14"/>
        <v>212000</v>
      </c>
      <c r="L493" t="str">
        <f t="shared" si="15"/>
        <v>2025-10</v>
      </c>
    </row>
    <row r="494" spans="1:12" x14ac:dyDescent="0.25">
      <c r="A494">
        <v>1494</v>
      </c>
      <c r="B494">
        <v>72</v>
      </c>
      <c r="C494" t="str">
        <f>IFERROR(_xlfn.XLOOKUP(B494, Customer!A:A, Customer!B:B), "Unknown Customer")</f>
        <v>Roya Rostami</v>
      </c>
      <c r="D494" s="1">
        <v>45853</v>
      </c>
      <c r="E494" t="s">
        <v>31</v>
      </c>
      <c r="F494" t="s">
        <v>17</v>
      </c>
      <c r="G494">
        <v>4</v>
      </c>
      <c r="H494" t="s">
        <v>11</v>
      </c>
      <c r="I494" s="2">
        <v>40000</v>
      </c>
      <c r="J494" t="s">
        <v>24</v>
      </c>
      <c r="K494" s="3">
        <f t="shared" si="14"/>
        <v>160000</v>
      </c>
      <c r="L494" t="str">
        <f t="shared" si="15"/>
        <v>2025-07</v>
      </c>
    </row>
    <row r="495" spans="1:12" x14ac:dyDescent="0.25">
      <c r="A495">
        <v>1495</v>
      </c>
      <c r="B495">
        <v>54</v>
      </c>
      <c r="C495" t="str">
        <f>IFERROR(_xlfn.XLOOKUP(B495, Customer!A:A, Customer!B:B), "Unknown Customer")</f>
        <v>Parisa Rostami</v>
      </c>
      <c r="D495" s="1">
        <v>45933</v>
      </c>
      <c r="E495" t="s">
        <v>16</v>
      </c>
      <c r="F495" t="s">
        <v>17</v>
      </c>
      <c r="G495">
        <v>4</v>
      </c>
      <c r="H495" t="s">
        <v>11</v>
      </c>
      <c r="I495" s="2">
        <v>75000</v>
      </c>
      <c r="J495" t="s">
        <v>28</v>
      </c>
      <c r="K495" s="3">
        <f t="shared" si="14"/>
        <v>300000</v>
      </c>
      <c r="L495" t="str">
        <f t="shared" si="15"/>
        <v>2025-10</v>
      </c>
    </row>
    <row r="496" spans="1:12" x14ac:dyDescent="0.25">
      <c r="A496">
        <v>1496</v>
      </c>
      <c r="B496">
        <v>110</v>
      </c>
      <c r="C496" t="str">
        <f>IFERROR(_xlfn.XLOOKUP(B496, Customer!A:A, Customer!B:B), "Unknown Customer")</f>
        <v>Parisa Mousavi</v>
      </c>
      <c r="D496" s="1">
        <v>45682</v>
      </c>
      <c r="E496" t="s">
        <v>20</v>
      </c>
      <c r="F496" t="s">
        <v>17</v>
      </c>
      <c r="G496">
        <v>3</v>
      </c>
      <c r="H496" t="s">
        <v>11</v>
      </c>
      <c r="I496" s="2">
        <v>50000</v>
      </c>
      <c r="J496" t="s">
        <v>21</v>
      </c>
      <c r="K496" s="3">
        <f t="shared" si="14"/>
        <v>150000</v>
      </c>
      <c r="L496" t="str">
        <f t="shared" si="15"/>
        <v>2025-01</v>
      </c>
    </row>
    <row r="497" spans="1:12" x14ac:dyDescent="0.25">
      <c r="A497">
        <v>1497</v>
      </c>
      <c r="B497">
        <v>61</v>
      </c>
      <c r="C497" t="str">
        <f>IFERROR(_xlfn.XLOOKUP(B497, Customer!A:A, Customer!B:B), "Unknown Customer")</f>
        <v>Arman Moradi</v>
      </c>
      <c r="D497" s="1">
        <v>45707</v>
      </c>
      <c r="E497" t="s">
        <v>27</v>
      </c>
      <c r="F497" t="s">
        <v>14</v>
      </c>
      <c r="G497">
        <v>1</v>
      </c>
      <c r="H497" t="s">
        <v>11</v>
      </c>
      <c r="I497" s="2">
        <v>35000</v>
      </c>
      <c r="J497" t="s">
        <v>21</v>
      </c>
      <c r="K497" s="3">
        <f t="shared" si="14"/>
        <v>35000</v>
      </c>
      <c r="L497" t="str">
        <f t="shared" si="15"/>
        <v>2025-02</v>
      </c>
    </row>
    <row r="498" spans="1:12" x14ac:dyDescent="0.25">
      <c r="A498">
        <v>1498</v>
      </c>
      <c r="B498">
        <v>3</v>
      </c>
      <c r="C498" t="str">
        <f>IFERROR(_xlfn.XLOOKUP(B498, Customer!A:A, Customer!B:B), "Unknown Customer")</f>
        <v>Hamed Abbasi</v>
      </c>
      <c r="D498" s="1">
        <v>45720</v>
      </c>
      <c r="E498" t="s">
        <v>31</v>
      </c>
      <c r="F498" t="s">
        <v>17</v>
      </c>
      <c r="G498">
        <v>2</v>
      </c>
      <c r="H498" t="s">
        <v>11</v>
      </c>
      <c r="I498" s="2">
        <v>45000</v>
      </c>
      <c r="J498" t="s">
        <v>21</v>
      </c>
      <c r="K498" s="3">
        <f t="shared" si="14"/>
        <v>90000</v>
      </c>
      <c r="L498" t="str">
        <f t="shared" si="15"/>
        <v>2025-03</v>
      </c>
    </row>
    <row r="499" spans="1:12" x14ac:dyDescent="0.25">
      <c r="A499">
        <v>1499</v>
      </c>
      <c r="B499">
        <v>46</v>
      </c>
      <c r="C499" t="str">
        <f>IFERROR(_xlfn.XLOOKUP(B499, Customer!A:A, Customer!B:B), "Unknown Customer")</f>
        <v>Mahsa Ghasemi</v>
      </c>
      <c r="D499" s="1">
        <v>45973</v>
      </c>
      <c r="E499" t="s">
        <v>25</v>
      </c>
      <c r="F499" t="s">
        <v>10</v>
      </c>
      <c r="G499">
        <v>4</v>
      </c>
      <c r="H499" t="s">
        <v>11</v>
      </c>
      <c r="I499" s="2">
        <v>65000</v>
      </c>
      <c r="J499" t="s">
        <v>32</v>
      </c>
      <c r="K499" s="3">
        <f t="shared" si="14"/>
        <v>260000</v>
      </c>
      <c r="L499" t="str">
        <f t="shared" si="15"/>
        <v>2025-11</v>
      </c>
    </row>
    <row r="500" spans="1:12" x14ac:dyDescent="0.25">
      <c r="A500">
        <v>1500</v>
      </c>
      <c r="B500">
        <v>37</v>
      </c>
      <c r="C500" t="str">
        <f>IFERROR(_xlfn.XLOOKUP(B500, Customer!A:A, Customer!B:B), "Unknown Customer")</f>
        <v>Omid Sadeghi</v>
      </c>
      <c r="D500" s="1">
        <v>45981</v>
      </c>
      <c r="E500" t="s">
        <v>16</v>
      </c>
      <c r="F500" t="s">
        <v>17</v>
      </c>
      <c r="G500">
        <v>3</v>
      </c>
      <c r="H500" t="s">
        <v>11</v>
      </c>
      <c r="I500" s="2">
        <v>75000</v>
      </c>
      <c r="J500" t="s">
        <v>19</v>
      </c>
      <c r="K500" s="3">
        <f t="shared" si="14"/>
        <v>225000</v>
      </c>
      <c r="L500" t="str">
        <f t="shared" si="15"/>
        <v>2025-11</v>
      </c>
    </row>
    <row r="501" spans="1:12" x14ac:dyDescent="0.25">
      <c r="A501">
        <v>1501</v>
      </c>
      <c r="B501">
        <v>11</v>
      </c>
      <c r="C501" t="str">
        <f>IFERROR(_xlfn.XLOOKUP(B501, Customer!A:A, Customer!B:B), "Unknown Customer")</f>
        <v>Leila Kazemi</v>
      </c>
      <c r="D501" s="1">
        <v>45833</v>
      </c>
      <c r="E501" t="s">
        <v>13</v>
      </c>
      <c r="F501" t="s">
        <v>14</v>
      </c>
      <c r="G501">
        <v>1</v>
      </c>
      <c r="H501" t="s">
        <v>11</v>
      </c>
      <c r="I501" s="2">
        <v>58000</v>
      </c>
      <c r="J501" t="s">
        <v>28</v>
      </c>
      <c r="K501" s="3">
        <f t="shared" si="14"/>
        <v>58000</v>
      </c>
      <c r="L501" t="str">
        <f t="shared" si="15"/>
        <v>2025-06</v>
      </c>
    </row>
    <row r="502" spans="1:12" x14ac:dyDescent="0.25">
      <c r="A502">
        <v>1502</v>
      </c>
      <c r="B502">
        <v>83</v>
      </c>
      <c r="C502" t="str">
        <f>IFERROR(_xlfn.XLOOKUP(B502, Customer!A:A, Customer!B:B), "Unknown Customer")</f>
        <v>Roya Yousefi</v>
      </c>
      <c r="D502" s="1">
        <v>45796</v>
      </c>
      <c r="E502" t="s">
        <v>31</v>
      </c>
      <c r="F502" t="s">
        <v>17</v>
      </c>
      <c r="G502">
        <v>3</v>
      </c>
      <c r="H502" t="s">
        <v>11</v>
      </c>
      <c r="I502" s="2">
        <v>45000</v>
      </c>
      <c r="J502" t="s">
        <v>15</v>
      </c>
      <c r="K502" s="3">
        <f t="shared" si="14"/>
        <v>135000</v>
      </c>
      <c r="L502" t="str">
        <f t="shared" si="15"/>
        <v>2025-05</v>
      </c>
    </row>
    <row r="503" spans="1:12" x14ac:dyDescent="0.25">
      <c r="A503">
        <v>1503</v>
      </c>
      <c r="B503">
        <v>22</v>
      </c>
      <c r="C503" t="str">
        <f>IFERROR(_xlfn.XLOOKUP(B503, Customer!A:A, Customer!B:B), "Unknown Customer")</f>
        <v>Amir Yousefi</v>
      </c>
      <c r="D503" s="1">
        <v>45669</v>
      </c>
      <c r="E503" t="s">
        <v>13</v>
      </c>
      <c r="F503" t="s">
        <v>14</v>
      </c>
      <c r="G503">
        <v>3</v>
      </c>
      <c r="H503" t="s">
        <v>11</v>
      </c>
      <c r="I503" s="2">
        <v>58000</v>
      </c>
      <c r="J503" t="s">
        <v>24</v>
      </c>
      <c r="K503" s="3">
        <f t="shared" si="14"/>
        <v>174000</v>
      </c>
      <c r="L503" t="str">
        <f t="shared" si="15"/>
        <v>2025-01</v>
      </c>
    </row>
    <row r="504" spans="1:12" x14ac:dyDescent="0.25">
      <c r="A504">
        <v>1504</v>
      </c>
      <c r="B504">
        <v>22</v>
      </c>
      <c r="C504" t="str">
        <f>IFERROR(_xlfn.XLOOKUP(B504, Customer!A:A, Customer!B:B), "Unknown Customer")</f>
        <v>Amir Yousefi</v>
      </c>
      <c r="D504" s="1">
        <v>45710</v>
      </c>
      <c r="E504" t="s">
        <v>31</v>
      </c>
      <c r="F504" t="s">
        <v>17</v>
      </c>
      <c r="G504">
        <v>2</v>
      </c>
      <c r="H504" t="s">
        <v>11</v>
      </c>
      <c r="I504" s="2">
        <v>45000</v>
      </c>
      <c r="J504" t="s">
        <v>15</v>
      </c>
      <c r="K504" s="3">
        <f t="shared" si="14"/>
        <v>90000</v>
      </c>
      <c r="L504" t="str">
        <f t="shared" si="15"/>
        <v>2025-02</v>
      </c>
    </row>
    <row r="505" spans="1:12" x14ac:dyDescent="0.25">
      <c r="A505">
        <v>1505</v>
      </c>
      <c r="B505">
        <v>68</v>
      </c>
      <c r="C505" t="str">
        <f>IFERROR(_xlfn.XLOOKUP(B505, Customer!A:A, Customer!B:B), "Unknown Customer")</f>
        <v>Farhad Mousavi</v>
      </c>
      <c r="D505" s="1">
        <v>45711</v>
      </c>
      <c r="E505" t="s">
        <v>18</v>
      </c>
      <c r="F505" t="s">
        <v>14</v>
      </c>
      <c r="G505">
        <v>1</v>
      </c>
      <c r="H505" t="s">
        <v>11</v>
      </c>
      <c r="I505" s="2">
        <v>55000</v>
      </c>
      <c r="J505" t="s">
        <v>24</v>
      </c>
      <c r="K505" s="3">
        <f t="shared" si="14"/>
        <v>55000</v>
      </c>
      <c r="L505" t="str">
        <f t="shared" si="15"/>
        <v>2025-02</v>
      </c>
    </row>
    <row r="506" spans="1:12" x14ac:dyDescent="0.25">
      <c r="A506">
        <v>1506</v>
      </c>
      <c r="B506">
        <v>95</v>
      </c>
      <c r="C506" t="str">
        <f>IFERROR(_xlfn.XLOOKUP(B506, Customer!A:A, Customer!B:B), "Unknown Customer")</f>
        <v>Elham Norouzi</v>
      </c>
      <c r="D506" s="1">
        <v>45884</v>
      </c>
      <c r="E506" t="s">
        <v>9</v>
      </c>
      <c r="F506" t="s">
        <v>10</v>
      </c>
      <c r="G506">
        <v>1</v>
      </c>
      <c r="H506" t="s">
        <v>11</v>
      </c>
      <c r="I506" s="2">
        <v>67000</v>
      </c>
      <c r="J506" t="s">
        <v>19</v>
      </c>
      <c r="K506" s="3">
        <f t="shared" si="14"/>
        <v>67000</v>
      </c>
      <c r="L506" t="str">
        <f t="shared" si="15"/>
        <v>2025-08</v>
      </c>
    </row>
    <row r="507" spans="1:12" x14ac:dyDescent="0.25">
      <c r="A507">
        <v>1507</v>
      </c>
      <c r="B507">
        <v>85</v>
      </c>
      <c r="C507" t="str">
        <f>IFERROR(_xlfn.XLOOKUP(B507, Customer!A:A, Customer!B:B), "Unknown Customer")</f>
        <v>Sepideh Yousefi</v>
      </c>
      <c r="D507" s="1">
        <v>45824</v>
      </c>
      <c r="E507" t="s">
        <v>25</v>
      </c>
      <c r="F507" t="s">
        <v>10</v>
      </c>
      <c r="G507">
        <v>4</v>
      </c>
      <c r="H507" t="s">
        <v>11</v>
      </c>
      <c r="I507" s="2">
        <v>70000</v>
      </c>
      <c r="J507" t="s">
        <v>24</v>
      </c>
      <c r="K507" s="3">
        <f t="shared" si="14"/>
        <v>280000</v>
      </c>
      <c r="L507" t="str">
        <f t="shared" si="15"/>
        <v>2025-06</v>
      </c>
    </row>
    <row r="508" spans="1:12" x14ac:dyDescent="0.25">
      <c r="A508">
        <v>1508</v>
      </c>
      <c r="B508">
        <v>78</v>
      </c>
      <c r="C508" t="str">
        <f>IFERROR(_xlfn.XLOOKUP(B508, Customer!A:A, Customer!B:B), "Unknown Customer")</f>
        <v>Elham Karimi</v>
      </c>
      <c r="D508" s="1">
        <v>45757</v>
      </c>
      <c r="E508" t="s">
        <v>22</v>
      </c>
      <c r="F508" t="s">
        <v>14</v>
      </c>
      <c r="G508">
        <v>3</v>
      </c>
      <c r="H508" t="s">
        <v>11</v>
      </c>
      <c r="I508" s="2">
        <v>65000</v>
      </c>
      <c r="J508" t="s">
        <v>21</v>
      </c>
      <c r="K508" s="3">
        <f t="shared" si="14"/>
        <v>195000</v>
      </c>
      <c r="L508" t="str">
        <f t="shared" si="15"/>
        <v>2025-04</v>
      </c>
    </row>
    <row r="509" spans="1:12" x14ac:dyDescent="0.25">
      <c r="A509">
        <v>1509</v>
      </c>
      <c r="B509">
        <v>62</v>
      </c>
      <c r="C509" t="str">
        <f>IFERROR(_xlfn.XLOOKUP(B509, Customer!A:A, Customer!B:B), "Unknown Customer")</f>
        <v>Amir Mousavi</v>
      </c>
      <c r="D509" s="1">
        <v>45774</v>
      </c>
      <c r="E509" t="s">
        <v>23</v>
      </c>
      <c r="F509" t="s">
        <v>17</v>
      </c>
      <c r="G509">
        <v>1</v>
      </c>
      <c r="H509" t="s">
        <v>11</v>
      </c>
      <c r="I509" s="2">
        <v>85000</v>
      </c>
      <c r="J509" t="s">
        <v>24</v>
      </c>
      <c r="K509" s="3">
        <f t="shared" si="14"/>
        <v>85000</v>
      </c>
      <c r="L509" t="str">
        <f t="shared" si="15"/>
        <v>2025-04</v>
      </c>
    </row>
    <row r="510" spans="1:12" x14ac:dyDescent="0.25">
      <c r="A510">
        <v>1510</v>
      </c>
      <c r="B510">
        <v>39</v>
      </c>
      <c r="C510" t="str">
        <f>IFERROR(_xlfn.XLOOKUP(B510, Customer!A:A, Customer!B:B), "Unknown Customer")</f>
        <v>Mona Ghasemi</v>
      </c>
      <c r="D510" s="1">
        <v>45658</v>
      </c>
      <c r="E510" t="s">
        <v>29</v>
      </c>
      <c r="F510" t="s">
        <v>14</v>
      </c>
      <c r="G510">
        <v>1</v>
      </c>
      <c r="H510" t="s">
        <v>11</v>
      </c>
      <c r="I510" s="2">
        <v>45000</v>
      </c>
      <c r="J510" t="s">
        <v>12</v>
      </c>
      <c r="K510" s="3">
        <f t="shared" si="14"/>
        <v>45000</v>
      </c>
      <c r="L510" t="str">
        <f t="shared" si="15"/>
        <v>2025-01</v>
      </c>
    </row>
    <row r="511" spans="1:12" x14ac:dyDescent="0.25">
      <c r="A511">
        <v>1511</v>
      </c>
      <c r="B511">
        <v>119</v>
      </c>
      <c r="C511" t="str">
        <f>IFERROR(_xlfn.XLOOKUP(B511, Customer!A:A, Customer!B:B), "Unknown Customer")</f>
        <v>Sepideh Sadeghi</v>
      </c>
      <c r="D511" s="1">
        <v>45902</v>
      </c>
      <c r="E511" t="s">
        <v>16</v>
      </c>
      <c r="F511" t="s">
        <v>17</v>
      </c>
      <c r="G511">
        <v>4</v>
      </c>
      <c r="H511" t="s">
        <v>11</v>
      </c>
      <c r="I511" s="2">
        <v>75000</v>
      </c>
      <c r="J511" t="s">
        <v>19</v>
      </c>
      <c r="K511" s="3">
        <f t="shared" si="14"/>
        <v>300000</v>
      </c>
      <c r="L511" t="str">
        <f t="shared" si="15"/>
        <v>2025-09</v>
      </c>
    </row>
    <row r="512" spans="1:12" x14ac:dyDescent="0.25">
      <c r="A512">
        <v>1512</v>
      </c>
      <c r="B512">
        <v>71</v>
      </c>
      <c r="C512" t="str">
        <f>IFERROR(_xlfn.XLOOKUP(B512, Customer!A:A, Customer!B:B), "Unknown Customer")</f>
        <v>Milad Mousavi</v>
      </c>
      <c r="D512" s="1">
        <v>45842</v>
      </c>
      <c r="E512" t="s">
        <v>25</v>
      </c>
      <c r="F512" t="s">
        <v>10</v>
      </c>
      <c r="G512">
        <v>2</v>
      </c>
      <c r="H512" t="s">
        <v>11</v>
      </c>
      <c r="I512" s="2">
        <v>65000</v>
      </c>
      <c r="J512" t="s">
        <v>15</v>
      </c>
      <c r="K512" s="3">
        <f t="shared" si="14"/>
        <v>130000</v>
      </c>
      <c r="L512" t="str">
        <f t="shared" si="15"/>
        <v>2025-07</v>
      </c>
    </row>
    <row r="513" spans="1:12" x14ac:dyDescent="0.25">
      <c r="A513">
        <v>1513</v>
      </c>
      <c r="B513">
        <v>29</v>
      </c>
      <c r="C513" t="str">
        <f>IFERROR(_xlfn.XLOOKUP(B513, Customer!A:A, Customer!B:B), "Unknown Customer")</f>
        <v>Leila Kazemi</v>
      </c>
      <c r="D513" s="1">
        <v>45698</v>
      </c>
      <c r="E513" t="s">
        <v>9</v>
      </c>
      <c r="F513" t="s">
        <v>10</v>
      </c>
      <c r="G513">
        <v>-2</v>
      </c>
      <c r="H513" t="s">
        <v>26</v>
      </c>
      <c r="I513" s="2">
        <v>67000</v>
      </c>
      <c r="J513" t="s">
        <v>21</v>
      </c>
      <c r="K513" s="3">
        <f t="shared" si="14"/>
        <v>-134000</v>
      </c>
      <c r="L513" t="str">
        <f t="shared" si="15"/>
        <v>2025-02</v>
      </c>
    </row>
    <row r="514" spans="1:12" x14ac:dyDescent="0.25">
      <c r="A514">
        <v>1514</v>
      </c>
      <c r="B514">
        <v>84</v>
      </c>
      <c r="C514" t="str">
        <f>IFERROR(_xlfn.XLOOKUP(B514, Customer!A:A, Customer!B:B), "Unknown Customer")</f>
        <v>Setareh Moradi</v>
      </c>
      <c r="D514" s="1">
        <v>45930</v>
      </c>
      <c r="E514" t="s">
        <v>22</v>
      </c>
      <c r="F514" t="s">
        <v>14</v>
      </c>
      <c r="G514">
        <v>1</v>
      </c>
      <c r="H514" t="s">
        <v>11</v>
      </c>
      <c r="I514" s="2">
        <v>55000</v>
      </c>
      <c r="J514" t="s">
        <v>21</v>
      </c>
      <c r="K514" s="3">
        <f t="shared" si="14"/>
        <v>55000</v>
      </c>
      <c r="L514" t="str">
        <f t="shared" si="15"/>
        <v>2025-09</v>
      </c>
    </row>
    <row r="515" spans="1:12" x14ac:dyDescent="0.25">
      <c r="A515">
        <v>1515</v>
      </c>
      <c r="B515">
        <v>15</v>
      </c>
      <c r="C515" t="str">
        <f>IFERROR(_xlfn.XLOOKUP(B515, Customer!A:A, Customer!B:B), "Unknown Customer")</f>
        <v>Milad Zare</v>
      </c>
      <c r="D515" s="1">
        <v>45891</v>
      </c>
      <c r="E515" t="s">
        <v>27</v>
      </c>
      <c r="F515" t="s">
        <v>14</v>
      </c>
      <c r="G515">
        <v>1</v>
      </c>
      <c r="H515" t="s">
        <v>11</v>
      </c>
      <c r="I515" s="2">
        <v>40000</v>
      </c>
      <c r="J515" t="s">
        <v>21</v>
      </c>
      <c r="K515" s="3">
        <f t="shared" ref="K515:K578" si="16">G515*I515</f>
        <v>40000</v>
      </c>
      <c r="L515" t="str">
        <f t="shared" ref="L515:L578" si="17">TEXT(D515,"YYYY-MM")</f>
        <v>2025-08</v>
      </c>
    </row>
    <row r="516" spans="1:12" x14ac:dyDescent="0.25">
      <c r="A516">
        <v>1516</v>
      </c>
      <c r="B516">
        <v>3</v>
      </c>
      <c r="C516" t="str">
        <f>IFERROR(_xlfn.XLOOKUP(B516, Customer!A:A, Customer!B:B), "Unknown Customer")</f>
        <v>Hamed Abbasi</v>
      </c>
      <c r="D516" s="1">
        <v>45683</v>
      </c>
      <c r="E516" t="s">
        <v>13</v>
      </c>
      <c r="F516" t="s">
        <v>14</v>
      </c>
      <c r="G516">
        <v>1</v>
      </c>
      <c r="H516" t="s">
        <v>11</v>
      </c>
      <c r="I516" s="2">
        <v>53000</v>
      </c>
      <c r="J516" t="s">
        <v>24</v>
      </c>
      <c r="K516" s="3">
        <f t="shared" si="16"/>
        <v>53000</v>
      </c>
      <c r="L516" t="str">
        <f t="shared" si="17"/>
        <v>2025-01</v>
      </c>
    </row>
    <row r="517" spans="1:12" x14ac:dyDescent="0.25">
      <c r="A517">
        <v>1517</v>
      </c>
      <c r="B517">
        <v>92</v>
      </c>
      <c r="C517" t="str">
        <f>IFERROR(_xlfn.XLOOKUP(B517, Customer!A:A, Customer!B:B), "Unknown Customer")</f>
        <v>Payam Zare</v>
      </c>
      <c r="D517" s="1">
        <v>45662</v>
      </c>
      <c r="E517" t="s">
        <v>16</v>
      </c>
      <c r="F517" t="s">
        <v>17</v>
      </c>
      <c r="G517">
        <v>1</v>
      </c>
      <c r="H517" t="s">
        <v>11</v>
      </c>
      <c r="I517" s="2">
        <v>70000</v>
      </c>
      <c r="J517" t="s">
        <v>21</v>
      </c>
      <c r="K517" s="3">
        <f t="shared" si="16"/>
        <v>70000</v>
      </c>
      <c r="L517" t="str">
        <f t="shared" si="17"/>
        <v>2025-01</v>
      </c>
    </row>
    <row r="518" spans="1:12" x14ac:dyDescent="0.25">
      <c r="A518">
        <v>1518</v>
      </c>
      <c r="B518">
        <v>54</v>
      </c>
      <c r="C518" t="str">
        <f>IFERROR(_xlfn.XLOOKUP(B518, Customer!A:A, Customer!B:B), "Unknown Customer")</f>
        <v>Parisa Rostami</v>
      </c>
      <c r="D518" s="1">
        <v>45913</v>
      </c>
      <c r="E518" t="s">
        <v>9</v>
      </c>
      <c r="F518" t="s">
        <v>10</v>
      </c>
      <c r="G518">
        <v>3</v>
      </c>
      <c r="H518" t="s">
        <v>11</v>
      </c>
      <c r="I518" s="2">
        <v>57000</v>
      </c>
      <c r="J518" t="s">
        <v>24</v>
      </c>
      <c r="K518" s="3">
        <f t="shared" si="16"/>
        <v>171000</v>
      </c>
      <c r="L518" t="str">
        <f t="shared" si="17"/>
        <v>2025-09</v>
      </c>
    </row>
    <row r="519" spans="1:12" x14ac:dyDescent="0.25">
      <c r="A519">
        <v>1519</v>
      </c>
      <c r="B519">
        <v>8</v>
      </c>
      <c r="C519" t="str">
        <f>IFERROR(_xlfn.XLOOKUP(B519, Customer!A:A, Customer!B:B), "Unknown Customer")</f>
        <v>Milad Norouzi</v>
      </c>
      <c r="D519" s="1">
        <v>45858</v>
      </c>
      <c r="E519" t="s">
        <v>9</v>
      </c>
      <c r="F519" t="s">
        <v>10</v>
      </c>
      <c r="G519">
        <v>1</v>
      </c>
      <c r="H519" t="s">
        <v>11</v>
      </c>
      <c r="I519" s="2">
        <v>62000</v>
      </c>
      <c r="J519" t="s">
        <v>19</v>
      </c>
      <c r="K519" s="3">
        <f t="shared" si="16"/>
        <v>62000</v>
      </c>
      <c r="L519" t="str">
        <f t="shared" si="17"/>
        <v>2025-07</v>
      </c>
    </row>
    <row r="520" spans="1:12" x14ac:dyDescent="0.25">
      <c r="A520">
        <v>1520</v>
      </c>
      <c r="B520">
        <v>16</v>
      </c>
      <c r="C520" t="str">
        <f>IFERROR(_xlfn.XLOOKUP(B520, Customer!A:A, Customer!B:B), "Unknown Customer")</f>
        <v>Milad Yousefi</v>
      </c>
      <c r="D520" s="1">
        <v>45874</v>
      </c>
      <c r="E520" t="s">
        <v>22</v>
      </c>
      <c r="F520" t="s">
        <v>14</v>
      </c>
      <c r="G520">
        <v>1</v>
      </c>
      <c r="H520" t="s">
        <v>11</v>
      </c>
      <c r="I520" s="2">
        <v>55000</v>
      </c>
      <c r="J520" t="s">
        <v>12</v>
      </c>
      <c r="K520" s="3">
        <f t="shared" si="16"/>
        <v>55000</v>
      </c>
      <c r="L520" t="str">
        <f t="shared" si="17"/>
        <v>2025-08</v>
      </c>
    </row>
    <row r="521" spans="1:12" x14ac:dyDescent="0.25">
      <c r="A521">
        <v>1521</v>
      </c>
      <c r="B521">
        <v>99</v>
      </c>
      <c r="C521" t="str">
        <f>IFERROR(_xlfn.XLOOKUP(B521, Customer!A:A, Customer!B:B), "Unknown Customer")</f>
        <v>Behnam Ahmadi</v>
      </c>
      <c r="D521" s="1">
        <v>45924</v>
      </c>
      <c r="E521" t="s">
        <v>18</v>
      </c>
      <c r="F521" t="s">
        <v>14</v>
      </c>
      <c r="G521">
        <v>2</v>
      </c>
      <c r="H521" t="s">
        <v>11</v>
      </c>
      <c r="I521" s="2">
        <v>55000</v>
      </c>
      <c r="J521" t="s">
        <v>21</v>
      </c>
      <c r="K521" s="3">
        <f t="shared" si="16"/>
        <v>110000</v>
      </c>
      <c r="L521" t="str">
        <f t="shared" si="17"/>
        <v>2025-09</v>
      </c>
    </row>
    <row r="522" spans="1:12" x14ac:dyDescent="0.25">
      <c r="A522">
        <v>1522</v>
      </c>
      <c r="B522">
        <v>21</v>
      </c>
      <c r="C522" t="str">
        <f>IFERROR(_xlfn.XLOOKUP(B522, Customer!A:A, Customer!B:B), "Unknown Customer")</f>
        <v>Sina Naderi</v>
      </c>
      <c r="D522" s="1">
        <v>45679</v>
      </c>
      <c r="E522" t="s">
        <v>27</v>
      </c>
      <c r="F522" t="s">
        <v>14</v>
      </c>
      <c r="G522">
        <v>1</v>
      </c>
      <c r="H522" t="s">
        <v>11</v>
      </c>
      <c r="I522" s="2">
        <v>35000</v>
      </c>
      <c r="J522" t="s">
        <v>24</v>
      </c>
      <c r="K522" s="3">
        <f t="shared" si="16"/>
        <v>35000</v>
      </c>
      <c r="L522" t="str">
        <f t="shared" si="17"/>
        <v>2025-01</v>
      </c>
    </row>
    <row r="523" spans="1:12" x14ac:dyDescent="0.25">
      <c r="A523">
        <v>1523</v>
      </c>
      <c r="B523">
        <v>47</v>
      </c>
      <c r="C523" t="str">
        <f>IFERROR(_xlfn.XLOOKUP(B523, Customer!A:A, Customer!B:B), "Unknown Customer")</f>
        <v>Mahsa Abbasi</v>
      </c>
      <c r="D523" s="1">
        <v>45999</v>
      </c>
      <c r="E523" t="s">
        <v>29</v>
      </c>
      <c r="F523" t="s">
        <v>14</v>
      </c>
      <c r="G523">
        <v>1</v>
      </c>
      <c r="H523" t="s">
        <v>11</v>
      </c>
      <c r="I523" s="2">
        <v>45000</v>
      </c>
      <c r="J523" t="s">
        <v>24</v>
      </c>
      <c r="K523" s="3">
        <f t="shared" si="16"/>
        <v>45000</v>
      </c>
      <c r="L523" t="str">
        <f t="shared" si="17"/>
        <v>2025-12</v>
      </c>
    </row>
    <row r="524" spans="1:12" x14ac:dyDescent="0.25">
      <c r="A524">
        <v>1524</v>
      </c>
      <c r="B524">
        <v>102</v>
      </c>
      <c r="C524" t="str">
        <f>IFERROR(_xlfn.XLOOKUP(B524, Customer!A:A, Customer!B:B), "Unknown Customer")</f>
        <v>Yasaman Yousefi</v>
      </c>
      <c r="D524" s="1">
        <v>45957</v>
      </c>
      <c r="E524" t="s">
        <v>9</v>
      </c>
      <c r="F524" t="s">
        <v>10</v>
      </c>
      <c r="G524">
        <v>4</v>
      </c>
      <c r="H524" t="s">
        <v>11</v>
      </c>
      <c r="I524" s="2">
        <v>62000</v>
      </c>
      <c r="J524" t="s">
        <v>28</v>
      </c>
      <c r="K524" s="3">
        <f t="shared" si="16"/>
        <v>248000</v>
      </c>
      <c r="L524" t="str">
        <f t="shared" si="17"/>
        <v>2025-10</v>
      </c>
    </row>
    <row r="525" spans="1:12" x14ac:dyDescent="0.25">
      <c r="A525">
        <v>1525</v>
      </c>
      <c r="B525">
        <v>101</v>
      </c>
      <c r="C525" t="str">
        <f>IFERROR(_xlfn.XLOOKUP(B525, Customer!A:A, Customer!B:B), "Unknown Customer")</f>
        <v>Niloofar Ghasemi</v>
      </c>
      <c r="D525" s="1">
        <v>45901</v>
      </c>
      <c r="E525" t="s">
        <v>22</v>
      </c>
      <c r="F525" t="s">
        <v>14</v>
      </c>
      <c r="G525">
        <v>1</v>
      </c>
      <c r="H525" t="s">
        <v>11</v>
      </c>
      <c r="I525" s="2">
        <v>59954.128440366971</v>
      </c>
      <c r="J525" t="s">
        <v>15</v>
      </c>
      <c r="K525" s="3">
        <f t="shared" si="16"/>
        <v>59954.128440366971</v>
      </c>
      <c r="L525" t="str">
        <f t="shared" si="17"/>
        <v>2025-09</v>
      </c>
    </row>
    <row r="526" spans="1:12" x14ac:dyDescent="0.25">
      <c r="A526">
        <v>1526</v>
      </c>
      <c r="B526">
        <v>12</v>
      </c>
      <c r="C526" t="str">
        <f>IFERROR(_xlfn.XLOOKUP(B526, Customer!A:A, Customer!B:B), "Unknown Customer")</f>
        <v>Golnaz Karimi</v>
      </c>
      <c r="D526" s="1">
        <v>45974</v>
      </c>
      <c r="E526" t="s">
        <v>27</v>
      </c>
      <c r="F526" t="s">
        <v>14</v>
      </c>
      <c r="G526">
        <v>1</v>
      </c>
      <c r="H526" t="s">
        <v>11</v>
      </c>
      <c r="I526" s="2">
        <v>35000</v>
      </c>
      <c r="J526" t="s">
        <v>12</v>
      </c>
      <c r="K526" s="3">
        <f t="shared" si="16"/>
        <v>35000</v>
      </c>
      <c r="L526" t="str">
        <f t="shared" si="17"/>
        <v>2025-11</v>
      </c>
    </row>
    <row r="527" spans="1:12" x14ac:dyDescent="0.25">
      <c r="A527">
        <v>1527</v>
      </c>
      <c r="B527">
        <v>69</v>
      </c>
      <c r="C527" t="str">
        <f>IFERROR(_xlfn.XLOOKUP(B527, Customer!A:A, Customer!B:B), "Unknown Customer")</f>
        <v>Mahsa Ebrahimi</v>
      </c>
      <c r="D527" s="1">
        <v>45722</v>
      </c>
      <c r="E527" t="s">
        <v>18</v>
      </c>
      <c r="F527" t="s">
        <v>14</v>
      </c>
      <c r="G527">
        <v>1</v>
      </c>
      <c r="H527" t="s">
        <v>11</v>
      </c>
      <c r="I527" s="2">
        <v>55320</v>
      </c>
      <c r="J527" t="s">
        <v>15</v>
      </c>
      <c r="K527" s="3">
        <f t="shared" si="16"/>
        <v>55320</v>
      </c>
      <c r="L527" t="str">
        <f t="shared" si="17"/>
        <v>2025-03</v>
      </c>
    </row>
    <row r="528" spans="1:12" x14ac:dyDescent="0.25">
      <c r="A528">
        <v>1528</v>
      </c>
      <c r="B528">
        <v>94</v>
      </c>
      <c r="C528" t="str">
        <f>IFERROR(_xlfn.XLOOKUP(B528, Customer!A:A, Customer!B:B), "Unknown Customer")</f>
        <v>Hamed Fallahi</v>
      </c>
      <c r="D528" s="1">
        <v>45962</v>
      </c>
      <c r="E528" t="s">
        <v>30</v>
      </c>
      <c r="F528" t="s">
        <v>14</v>
      </c>
      <c r="G528">
        <v>1</v>
      </c>
      <c r="H528" t="s">
        <v>11</v>
      </c>
      <c r="I528" s="2">
        <v>48000</v>
      </c>
      <c r="J528" t="s">
        <v>15</v>
      </c>
      <c r="K528" s="3">
        <f t="shared" si="16"/>
        <v>48000</v>
      </c>
      <c r="L528" t="str">
        <f t="shared" si="17"/>
        <v>2025-11</v>
      </c>
    </row>
    <row r="529" spans="1:12" x14ac:dyDescent="0.25">
      <c r="A529">
        <v>1529</v>
      </c>
      <c r="B529">
        <v>91</v>
      </c>
      <c r="C529" t="str">
        <f>IFERROR(_xlfn.XLOOKUP(B529, Customer!A:A, Customer!B:B), "Unknown Customer")</f>
        <v>Ali Ebrahimi</v>
      </c>
      <c r="D529" s="1">
        <v>45944</v>
      </c>
      <c r="E529" t="s">
        <v>16</v>
      </c>
      <c r="F529" t="s">
        <v>17</v>
      </c>
      <c r="G529">
        <v>1</v>
      </c>
      <c r="H529" t="s">
        <v>11</v>
      </c>
      <c r="I529" s="2">
        <v>80000</v>
      </c>
      <c r="J529" t="s">
        <v>21</v>
      </c>
      <c r="K529" s="3">
        <f t="shared" si="16"/>
        <v>80000</v>
      </c>
      <c r="L529" t="str">
        <f t="shared" si="17"/>
        <v>2025-10</v>
      </c>
    </row>
    <row r="530" spans="1:12" x14ac:dyDescent="0.25">
      <c r="A530">
        <v>1530</v>
      </c>
      <c r="B530">
        <v>94</v>
      </c>
      <c r="C530" t="str">
        <f>IFERROR(_xlfn.XLOOKUP(B530, Customer!A:A, Customer!B:B), "Unknown Customer")</f>
        <v>Hamed Fallahi</v>
      </c>
      <c r="D530" s="1">
        <v>45798</v>
      </c>
      <c r="E530" t="s">
        <v>16</v>
      </c>
      <c r="F530" t="s">
        <v>17</v>
      </c>
      <c r="G530">
        <v>-1</v>
      </c>
      <c r="H530" t="s">
        <v>26</v>
      </c>
      <c r="I530" s="2">
        <v>80000</v>
      </c>
      <c r="J530" t="s">
        <v>21</v>
      </c>
      <c r="K530" s="3">
        <f t="shared" si="16"/>
        <v>-80000</v>
      </c>
      <c r="L530" t="str">
        <f t="shared" si="17"/>
        <v>2025-05</v>
      </c>
    </row>
    <row r="531" spans="1:12" x14ac:dyDescent="0.25">
      <c r="A531">
        <v>1531</v>
      </c>
      <c r="B531">
        <v>105</v>
      </c>
      <c r="C531" t="str">
        <f>IFERROR(_xlfn.XLOOKUP(B531, Customer!A:A, Customer!B:B), "Unknown Customer")</f>
        <v>Tara Ghasemi</v>
      </c>
      <c r="D531" s="1">
        <v>45787</v>
      </c>
      <c r="E531" t="s">
        <v>9</v>
      </c>
      <c r="F531" t="s">
        <v>10</v>
      </c>
      <c r="G531">
        <v>1</v>
      </c>
      <c r="H531" t="s">
        <v>11</v>
      </c>
      <c r="I531" s="2">
        <v>67000</v>
      </c>
      <c r="J531" t="s">
        <v>19</v>
      </c>
      <c r="K531" s="3">
        <f t="shared" si="16"/>
        <v>67000</v>
      </c>
      <c r="L531" t="str">
        <f t="shared" si="17"/>
        <v>2025-05</v>
      </c>
    </row>
    <row r="532" spans="1:12" x14ac:dyDescent="0.25">
      <c r="A532">
        <v>1532</v>
      </c>
      <c r="B532">
        <v>80</v>
      </c>
      <c r="C532" t="str">
        <f>IFERROR(_xlfn.XLOOKUP(B532, Customer!A:A, Customer!B:B), "Unknown Customer")</f>
        <v>Mona Yousefi</v>
      </c>
      <c r="D532" s="1">
        <v>45975</v>
      </c>
      <c r="E532" t="s">
        <v>25</v>
      </c>
      <c r="F532" t="s">
        <v>10</v>
      </c>
      <c r="G532">
        <v>3</v>
      </c>
      <c r="H532" t="s">
        <v>11</v>
      </c>
      <c r="I532" s="2">
        <v>60000</v>
      </c>
      <c r="J532" t="s">
        <v>24</v>
      </c>
      <c r="K532" s="3">
        <f t="shared" si="16"/>
        <v>180000</v>
      </c>
      <c r="L532" t="str">
        <f t="shared" si="17"/>
        <v>2025-11</v>
      </c>
    </row>
    <row r="533" spans="1:12" x14ac:dyDescent="0.25">
      <c r="A533">
        <v>1533</v>
      </c>
      <c r="B533">
        <v>68</v>
      </c>
      <c r="C533" t="str">
        <f>IFERROR(_xlfn.XLOOKUP(B533, Customer!A:A, Customer!B:B), "Unknown Customer")</f>
        <v>Farhad Mousavi</v>
      </c>
      <c r="D533" s="1">
        <v>45912</v>
      </c>
      <c r="E533" t="s">
        <v>27</v>
      </c>
      <c r="F533" t="s">
        <v>14</v>
      </c>
      <c r="G533">
        <v>2</v>
      </c>
      <c r="H533" t="s">
        <v>11</v>
      </c>
      <c r="I533" s="2">
        <v>35000</v>
      </c>
      <c r="J533" t="s">
        <v>12</v>
      </c>
      <c r="K533" s="3">
        <f t="shared" si="16"/>
        <v>70000</v>
      </c>
      <c r="L533" t="str">
        <f t="shared" si="17"/>
        <v>2025-09</v>
      </c>
    </row>
    <row r="534" spans="1:12" x14ac:dyDescent="0.25">
      <c r="A534">
        <v>1534</v>
      </c>
      <c r="B534">
        <v>42</v>
      </c>
      <c r="C534" t="str">
        <f>IFERROR(_xlfn.XLOOKUP(B534, Customer!A:A, Customer!B:B), "Unknown Customer")</f>
        <v>Niloofar Ebrahimi</v>
      </c>
      <c r="D534" s="1">
        <v>45707</v>
      </c>
      <c r="E534" t="s">
        <v>18</v>
      </c>
      <c r="F534" t="s">
        <v>14</v>
      </c>
      <c r="G534">
        <v>1</v>
      </c>
      <c r="H534" t="s">
        <v>11</v>
      </c>
      <c r="I534" s="2">
        <v>55000</v>
      </c>
      <c r="J534" t="s">
        <v>24</v>
      </c>
      <c r="K534" s="3">
        <f t="shared" si="16"/>
        <v>55000</v>
      </c>
      <c r="L534" t="str">
        <f t="shared" si="17"/>
        <v>2025-02</v>
      </c>
    </row>
    <row r="535" spans="1:12" x14ac:dyDescent="0.25">
      <c r="A535">
        <v>1535</v>
      </c>
      <c r="B535">
        <v>14</v>
      </c>
      <c r="C535" t="str">
        <f>IFERROR(_xlfn.XLOOKUP(B535, Customer!A:A, Customer!B:B), "Unknown Customer")</f>
        <v>Ali Ghasemi</v>
      </c>
      <c r="D535" s="1">
        <v>45756</v>
      </c>
      <c r="E535" t="s">
        <v>16</v>
      </c>
      <c r="F535" t="s">
        <v>17</v>
      </c>
      <c r="G535">
        <v>2</v>
      </c>
      <c r="H535" t="s">
        <v>11</v>
      </c>
      <c r="I535" s="2">
        <v>75000</v>
      </c>
      <c r="J535" t="s">
        <v>28</v>
      </c>
      <c r="K535" s="3">
        <f t="shared" si="16"/>
        <v>150000</v>
      </c>
      <c r="L535" t="str">
        <f t="shared" si="17"/>
        <v>2025-04</v>
      </c>
    </row>
    <row r="536" spans="1:12" x14ac:dyDescent="0.25">
      <c r="A536">
        <v>1536</v>
      </c>
      <c r="B536">
        <v>80</v>
      </c>
      <c r="C536" t="str">
        <f>IFERROR(_xlfn.XLOOKUP(B536, Customer!A:A, Customer!B:B), "Unknown Customer")</f>
        <v>Mona Yousefi</v>
      </c>
      <c r="D536" s="1">
        <v>45960</v>
      </c>
      <c r="E536" t="s">
        <v>22</v>
      </c>
      <c r="F536" t="s">
        <v>14</v>
      </c>
      <c r="G536">
        <v>1</v>
      </c>
      <c r="H536" t="s">
        <v>11</v>
      </c>
      <c r="I536" s="2">
        <v>60000</v>
      </c>
      <c r="J536" t="s">
        <v>19</v>
      </c>
      <c r="K536" s="3">
        <f t="shared" si="16"/>
        <v>60000</v>
      </c>
      <c r="L536" t="str">
        <f t="shared" si="17"/>
        <v>2025-10</v>
      </c>
    </row>
    <row r="537" spans="1:12" x14ac:dyDescent="0.25">
      <c r="A537">
        <v>1537</v>
      </c>
      <c r="B537">
        <v>120</v>
      </c>
      <c r="C537" t="str">
        <f>IFERROR(_xlfn.XLOOKUP(B537, Customer!A:A, Customer!B:B), "Unknown Customer")</f>
        <v>Sepideh Abbasi</v>
      </c>
      <c r="D537" s="1">
        <v>45993</v>
      </c>
      <c r="E537" t="s">
        <v>30</v>
      </c>
      <c r="F537" t="s">
        <v>14</v>
      </c>
      <c r="G537">
        <v>2</v>
      </c>
      <c r="H537" t="s">
        <v>11</v>
      </c>
      <c r="I537" s="2">
        <v>43000</v>
      </c>
      <c r="J537" t="s">
        <v>21</v>
      </c>
      <c r="K537" s="3">
        <f t="shared" si="16"/>
        <v>86000</v>
      </c>
      <c r="L537" t="str">
        <f t="shared" si="17"/>
        <v>2025-12</v>
      </c>
    </row>
    <row r="538" spans="1:12" x14ac:dyDescent="0.25">
      <c r="A538">
        <v>1538</v>
      </c>
      <c r="B538">
        <v>102</v>
      </c>
      <c r="C538" t="str">
        <f>IFERROR(_xlfn.XLOOKUP(B538, Customer!A:A, Customer!B:B), "Unknown Customer")</f>
        <v>Yasaman Yousefi</v>
      </c>
      <c r="D538" s="1">
        <v>45687</v>
      </c>
      <c r="E538" t="s">
        <v>22</v>
      </c>
      <c r="F538" t="s">
        <v>14</v>
      </c>
      <c r="G538">
        <v>2</v>
      </c>
      <c r="H538" t="s">
        <v>11</v>
      </c>
      <c r="I538" s="2">
        <v>55000</v>
      </c>
      <c r="J538" t="s">
        <v>21</v>
      </c>
      <c r="K538" s="3">
        <f t="shared" si="16"/>
        <v>110000</v>
      </c>
      <c r="L538" t="str">
        <f t="shared" si="17"/>
        <v>2025-01</v>
      </c>
    </row>
    <row r="539" spans="1:12" x14ac:dyDescent="0.25">
      <c r="A539">
        <v>1539</v>
      </c>
      <c r="B539">
        <v>10</v>
      </c>
      <c r="C539" t="str">
        <f>IFERROR(_xlfn.XLOOKUP(B539, Customer!A:A, Customer!B:B), "Unknown Customer")</f>
        <v>Sepideh Rostami</v>
      </c>
      <c r="D539" s="1">
        <v>45923</v>
      </c>
      <c r="E539" t="s">
        <v>30</v>
      </c>
      <c r="F539" t="s">
        <v>14</v>
      </c>
      <c r="G539">
        <v>3</v>
      </c>
      <c r="H539" t="s">
        <v>11</v>
      </c>
      <c r="I539" s="2">
        <v>48053.763440860217</v>
      </c>
      <c r="J539" t="s">
        <v>24</v>
      </c>
      <c r="K539" s="3">
        <f t="shared" si="16"/>
        <v>144161.29032258067</v>
      </c>
      <c r="L539" t="str">
        <f t="shared" si="17"/>
        <v>2025-09</v>
      </c>
    </row>
    <row r="540" spans="1:12" x14ac:dyDescent="0.25">
      <c r="A540">
        <v>1540</v>
      </c>
      <c r="B540">
        <v>25</v>
      </c>
      <c r="C540" t="str">
        <f>IFERROR(_xlfn.XLOOKUP(B540, Customer!A:A, Customer!B:B), "Unknown Customer")</f>
        <v>Milad Kazemi</v>
      </c>
      <c r="D540" s="1">
        <v>45994</v>
      </c>
      <c r="E540" t="s">
        <v>23</v>
      </c>
      <c r="F540" t="s">
        <v>17</v>
      </c>
      <c r="G540">
        <v>2</v>
      </c>
      <c r="H540" t="s">
        <v>11</v>
      </c>
      <c r="I540" s="2">
        <v>90000</v>
      </c>
      <c r="J540" t="s">
        <v>12</v>
      </c>
      <c r="K540" s="3">
        <f t="shared" si="16"/>
        <v>180000</v>
      </c>
      <c r="L540" t="str">
        <f t="shared" si="17"/>
        <v>2025-12</v>
      </c>
    </row>
    <row r="541" spans="1:12" x14ac:dyDescent="0.25">
      <c r="A541">
        <v>1541</v>
      </c>
      <c r="B541">
        <v>74</v>
      </c>
      <c r="C541" t="str">
        <f>IFERROR(_xlfn.XLOOKUP(B541, Customer!A:A, Customer!B:B), "Unknown Customer")</f>
        <v>Amir Vakili</v>
      </c>
      <c r="D541" s="1">
        <v>46003</v>
      </c>
      <c r="E541" t="s">
        <v>25</v>
      </c>
      <c r="F541" t="s">
        <v>10</v>
      </c>
      <c r="G541">
        <v>1</v>
      </c>
      <c r="H541" t="s">
        <v>11</v>
      </c>
      <c r="I541" s="2">
        <v>65000</v>
      </c>
      <c r="J541" t="s">
        <v>28</v>
      </c>
      <c r="K541" s="3">
        <f t="shared" si="16"/>
        <v>65000</v>
      </c>
      <c r="L541" t="str">
        <f t="shared" si="17"/>
        <v>2025-12</v>
      </c>
    </row>
    <row r="542" spans="1:12" x14ac:dyDescent="0.25">
      <c r="A542">
        <v>1542</v>
      </c>
      <c r="B542">
        <v>44</v>
      </c>
      <c r="C542" t="str">
        <f>IFERROR(_xlfn.XLOOKUP(B542, Customer!A:A, Customer!B:B), "Unknown Customer")</f>
        <v>Payam Abbasi</v>
      </c>
      <c r="D542" s="1">
        <v>45738</v>
      </c>
      <c r="E542" t="s">
        <v>27</v>
      </c>
      <c r="F542" t="s">
        <v>14</v>
      </c>
      <c r="G542">
        <v>1</v>
      </c>
      <c r="H542" t="s">
        <v>11</v>
      </c>
      <c r="I542" s="2">
        <v>35000</v>
      </c>
      <c r="J542" t="s">
        <v>21</v>
      </c>
      <c r="K542" s="3">
        <f t="shared" si="16"/>
        <v>35000</v>
      </c>
      <c r="L542" t="str">
        <f t="shared" si="17"/>
        <v>2025-03</v>
      </c>
    </row>
    <row r="543" spans="1:12" x14ac:dyDescent="0.25">
      <c r="A543">
        <v>1543</v>
      </c>
      <c r="B543">
        <v>53</v>
      </c>
      <c r="C543" t="str">
        <f>IFERROR(_xlfn.XLOOKUP(B543, Customer!A:A, Customer!B:B), "Unknown Customer")</f>
        <v>Azadeh Moradi</v>
      </c>
      <c r="D543" s="1">
        <v>45908</v>
      </c>
      <c r="E543" t="s">
        <v>27</v>
      </c>
      <c r="F543" t="s">
        <v>14</v>
      </c>
      <c r="G543">
        <v>1</v>
      </c>
      <c r="H543" t="s">
        <v>11</v>
      </c>
      <c r="I543" s="2">
        <v>35000</v>
      </c>
      <c r="J543" t="s">
        <v>15</v>
      </c>
      <c r="K543" s="3">
        <f t="shared" si="16"/>
        <v>35000</v>
      </c>
      <c r="L543" t="str">
        <f t="shared" si="17"/>
        <v>2025-09</v>
      </c>
    </row>
    <row r="544" spans="1:12" x14ac:dyDescent="0.25">
      <c r="A544">
        <v>1544</v>
      </c>
      <c r="B544">
        <v>99</v>
      </c>
      <c r="C544" t="str">
        <f>IFERROR(_xlfn.XLOOKUP(B544, Customer!A:A, Customer!B:B), "Unknown Customer")</f>
        <v>Behnam Ahmadi</v>
      </c>
      <c r="D544" s="1">
        <v>45966</v>
      </c>
      <c r="E544" t="s">
        <v>23</v>
      </c>
      <c r="F544" t="s">
        <v>17</v>
      </c>
      <c r="G544">
        <v>2</v>
      </c>
      <c r="H544" t="s">
        <v>11</v>
      </c>
      <c r="I544" s="2">
        <v>85000</v>
      </c>
      <c r="J544" t="s">
        <v>21</v>
      </c>
      <c r="K544" s="3">
        <f t="shared" si="16"/>
        <v>170000</v>
      </c>
      <c r="L544" t="str">
        <f t="shared" si="17"/>
        <v>2025-11</v>
      </c>
    </row>
    <row r="545" spans="1:12" x14ac:dyDescent="0.25">
      <c r="A545">
        <v>1545</v>
      </c>
      <c r="B545">
        <v>77</v>
      </c>
      <c r="C545" t="str">
        <f>IFERROR(_xlfn.XLOOKUP(B545, Customer!A:A, Customer!B:B), "Unknown Customer")</f>
        <v>Iman Sadeghi</v>
      </c>
      <c r="D545" s="1">
        <v>45923</v>
      </c>
      <c r="E545" t="s">
        <v>29</v>
      </c>
      <c r="F545" t="s">
        <v>14</v>
      </c>
      <c r="G545">
        <v>1</v>
      </c>
      <c r="H545" t="s">
        <v>11</v>
      </c>
      <c r="I545" s="2">
        <v>45000</v>
      </c>
      <c r="J545" t="s">
        <v>21</v>
      </c>
      <c r="K545" s="3">
        <f t="shared" si="16"/>
        <v>45000</v>
      </c>
      <c r="L545" t="str">
        <f t="shared" si="17"/>
        <v>2025-09</v>
      </c>
    </row>
    <row r="546" spans="1:12" x14ac:dyDescent="0.25">
      <c r="A546">
        <v>1546</v>
      </c>
      <c r="B546">
        <v>3</v>
      </c>
      <c r="C546" t="str">
        <f>IFERROR(_xlfn.XLOOKUP(B546, Customer!A:A, Customer!B:B), "Unknown Customer")</f>
        <v>Hamed Abbasi</v>
      </c>
      <c r="D546" s="1">
        <v>45799</v>
      </c>
      <c r="E546" t="s">
        <v>22</v>
      </c>
      <c r="F546" t="s">
        <v>14</v>
      </c>
      <c r="G546">
        <v>1</v>
      </c>
      <c r="H546" t="s">
        <v>11</v>
      </c>
      <c r="I546" s="2">
        <v>55000</v>
      </c>
      <c r="J546" t="s">
        <v>24</v>
      </c>
      <c r="K546" s="3">
        <f t="shared" si="16"/>
        <v>55000</v>
      </c>
      <c r="L546" t="str">
        <f t="shared" si="17"/>
        <v>2025-05</v>
      </c>
    </row>
    <row r="547" spans="1:12" x14ac:dyDescent="0.25">
      <c r="A547">
        <v>1547</v>
      </c>
      <c r="B547">
        <v>18</v>
      </c>
      <c r="C547" t="str">
        <f>IFERROR(_xlfn.XLOOKUP(B547, Customer!A:A, Customer!B:B), "Unknown Customer")</f>
        <v>Niloofar Abbasi</v>
      </c>
      <c r="D547" s="1">
        <v>45845</v>
      </c>
      <c r="E547" t="s">
        <v>9</v>
      </c>
      <c r="F547" t="s">
        <v>10</v>
      </c>
      <c r="G547">
        <v>1</v>
      </c>
      <c r="H547" t="s">
        <v>11</v>
      </c>
      <c r="I547" s="2">
        <v>62000</v>
      </c>
      <c r="J547" t="s">
        <v>28</v>
      </c>
      <c r="K547" s="3">
        <f t="shared" si="16"/>
        <v>62000</v>
      </c>
      <c r="L547" t="str">
        <f t="shared" si="17"/>
        <v>2025-07</v>
      </c>
    </row>
    <row r="548" spans="1:12" x14ac:dyDescent="0.25">
      <c r="A548">
        <v>1548</v>
      </c>
      <c r="B548">
        <v>52</v>
      </c>
      <c r="C548" t="str">
        <f>IFERROR(_xlfn.XLOOKUP(B548, Customer!A:A, Customer!B:B), "Unknown Customer")</f>
        <v>Kaveh Rostami</v>
      </c>
      <c r="D548" s="1">
        <v>45769</v>
      </c>
      <c r="E548" t="s">
        <v>20</v>
      </c>
      <c r="F548" t="s">
        <v>17</v>
      </c>
      <c r="G548">
        <v>3</v>
      </c>
      <c r="H548" t="s">
        <v>11</v>
      </c>
      <c r="I548" s="2">
        <v>50000</v>
      </c>
      <c r="J548" t="s">
        <v>15</v>
      </c>
      <c r="K548" s="3">
        <f t="shared" si="16"/>
        <v>150000</v>
      </c>
      <c r="L548" t="str">
        <f t="shared" si="17"/>
        <v>2025-04</v>
      </c>
    </row>
    <row r="549" spans="1:12" x14ac:dyDescent="0.25">
      <c r="A549">
        <v>1549</v>
      </c>
      <c r="B549">
        <v>106</v>
      </c>
      <c r="C549" t="str">
        <f>IFERROR(_xlfn.XLOOKUP(B549, Customer!A:A, Customer!B:B), "Unknown Customer")</f>
        <v>Iman Zare</v>
      </c>
      <c r="D549" s="1">
        <v>46017</v>
      </c>
      <c r="E549" t="s">
        <v>22</v>
      </c>
      <c r="F549" t="s">
        <v>14</v>
      </c>
      <c r="G549">
        <v>2</v>
      </c>
      <c r="H549" t="s">
        <v>11</v>
      </c>
      <c r="I549" s="2">
        <v>60000</v>
      </c>
      <c r="J549" t="s">
        <v>19</v>
      </c>
      <c r="K549" s="3">
        <f t="shared" si="16"/>
        <v>120000</v>
      </c>
      <c r="L549" t="str">
        <f t="shared" si="17"/>
        <v>2025-12</v>
      </c>
    </row>
    <row r="550" spans="1:12" x14ac:dyDescent="0.25">
      <c r="A550">
        <v>1550</v>
      </c>
      <c r="B550">
        <v>100</v>
      </c>
      <c r="C550" t="str">
        <f>IFERROR(_xlfn.XLOOKUP(B550, Customer!A:A, Customer!B:B), "Unknown Customer")</f>
        <v>Leila Hosseini</v>
      </c>
      <c r="D550" s="1">
        <v>45829</v>
      </c>
      <c r="E550" t="s">
        <v>29</v>
      </c>
      <c r="F550" t="s">
        <v>14</v>
      </c>
      <c r="G550">
        <v>2</v>
      </c>
      <c r="H550" t="s">
        <v>11</v>
      </c>
      <c r="I550" s="2">
        <v>40000</v>
      </c>
      <c r="J550" t="s">
        <v>12</v>
      </c>
      <c r="K550" s="3">
        <f t="shared" si="16"/>
        <v>80000</v>
      </c>
      <c r="L550" t="str">
        <f t="shared" si="17"/>
        <v>2025-06</v>
      </c>
    </row>
    <row r="551" spans="1:12" x14ac:dyDescent="0.25">
      <c r="A551">
        <v>1551</v>
      </c>
      <c r="B551">
        <v>100</v>
      </c>
      <c r="C551" t="str">
        <f>IFERROR(_xlfn.XLOOKUP(B551, Customer!A:A, Customer!B:B), "Unknown Customer")</f>
        <v>Leila Hosseini</v>
      </c>
      <c r="D551" s="1">
        <v>45853</v>
      </c>
      <c r="E551" t="s">
        <v>27</v>
      </c>
      <c r="F551" t="s">
        <v>14</v>
      </c>
      <c r="G551">
        <v>2</v>
      </c>
      <c r="H551" t="s">
        <v>11</v>
      </c>
      <c r="I551" s="2">
        <v>30000</v>
      </c>
      <c r="J551" t="s">
        <v>21</v>
      </c>
      <c r="K551" s="3">
        <f t="shared" si="16"/>
        <v>60000</v>
      </c>
      <c r="L551" t="str">
        <f t="shared" si="17"/>
        <v>2025-07</v>
      </c>
    </row>
    <row r="552" spans="1:12" x14ac:dyDescent="0.25">
      <c r="A552">
        <v>1552</v>
      </c>
      <c r="B552">
        <v>65</v>
      </c>
      <c r="C552" t="str">
        <f>IFERROR(_xlfn.XLOOKUP(B552, Customer!A:A, Customer!B:B), "Unknown Customer")</f>
        <v>Yasaman Norouzi</v>
      </c>
      <c r="D552" s="1">
        <v>45771</v>
      </c>
      <c r="E552" t="s">
        <v>22</v>
      </c>
      <c r="F552" t="s">
        <v>14</v>
      </c>
      <c r="G552">
        <v>3</v>
      </c>
      <c r="H552" t="s">
        <v>11</v>
      </c>
      <c r="I552" s="2">
        <v>60000</v>
      </c>
      <c r="J552" t="s">
        <v>24</v>
      </c>
      <c r="K552" s="3">
        <f t="shared" si="16"/>
        <v>180000</v>
      </c>
      <c r="L552" t="str">
        <f t="shared" si="17"/>
        <v>2025-04</v>
      </c>
    </row>
    <row r="553" spans="1:12" x14ac:dyDescent="0.25">
      <c r="A553">
        <v>1553</v>
      </c>
      <c r="B553">
        <v>56</v>
      </c>
      <c r="C553" t="str">
        <f>IFERROR(_xlfn.XLOOKUP(B553, Customer!A:A, Customer!B:B), "Unknown Customer")</f>
        <v>Tara Jafari</v>
      </c>
      <c r="D553" s="1">
        <v>45859</v>
      </c>
      <c r="E553" t="s">
        <v>9</v>
      </c>
      <c r="F553" t="s">
        <v>10</v>
      </c>
      <c r="G553">
        <v>1</v>
      </c>
      <c r="H553" t="s">
        <v>11</v>
      </c>
      <c r="I553" s="2">
        <v>57000</v>
      </c>
      <c r="J553" t="s">
        <v>28</v>
      </c>
      <c r="K553" s="3">
        <f t="shared" si="16"/>
        <v>57000</v>
      </c>
      <c r="L553" t="str">
        <f t="shared" si="17"/>
        <v>2025-07</v>
      </c>
    </row>
    <row r="554" spans="1:12" x14ac:dyDescent="0.25">
      <c r="A554">
        <v>1554</v>
      </c>
      <c r="B554">
        <v>52</v>
      </c>
      <c r="C554" t="str">
        <f>IFERROR(_xlfn.XLOOKUP(B554, Customer!A:A, Customer!B:B), "Unknown Customer")</f>
        <v>Kaveh Rostami</v>
      </c>
      <c r="D554" s="1">
        <v>45701</v>
      </c>
      <c r="E554" t="s">
        <v>9</v>
      </c>
      <c r="F554" t="s">
        <v>10</v>
      </c>
      <c r="G554">
        <v>4</v>
      </c>
      <c r="H554" t="s">
        <v>11</v>
      </c>
      <c r="I554" s="2">
        <v>62000</v>
      </c>
      <c r="J554" t="s">
        <v>28</v>
      </c>
      <c r="K554" s="3">
        <f t="shared" si="16"/>
        <v>248000</v>
      </c>
      <c r="L554" t="str">
        <f t="shared" si="17"/>
        <v>2025-02</v>
      </c>
    </row>
    <row r="555" spans="1:12" x14ac:dyDescent="0.25">
      <c r="A555">
        <v>1555</v>
      </c>
      <c r="B555">
        <v>26</v>
      </c>
      <c r="C555" t="str">
        <f>IFERROR(_xlfn.XLOOKUP(B555, Customer!A:A, Customer!B:B), "Unknown Customer")</f>
        <v>Mona Karimi</v>
      </c>
      <c r="D555" s="1">
        <v>45860</v>
      </c>
      <c r="E555" t="s">
        <v>16</v>
      </c>
      <c r="F555" t="s">
        <v>17</v>
      </c>
      <c r="G555">
        <v>2</v>
      </c>
      <c r="H555" t="s">
        <v>11</v>
      </c>
      <c r="I555" s="2">
        <v>80000</v>
      </c>
      <c r="J555" t="s">
        <v>24</v>
      </c>
      <c r="K555" s="3">
        <f t="shared" si="16"/>
        <v>160000</v>
      </c>
      <c r="L555" t="str">
        <f t="shared" si="17"/>
        <v>2025-07</v>
      </c>
    </row>
    <row r="556" spans="1:12" x14ac:dyDescent="0.25">
      <c r="A556">
        <v>1556</v>
      </c>
      <c r="B556">
        <v>10</v>
      </c>
      <c r="C556" t="str">
        <f>IFERROR(_xlfn.XLOOKUP(B556, Customer!A:A, Customer!B:B), "Unknown Customer")</f>
        <v>Sepideh Rostami</v>
      </c>
      <c r="D556" s="1">
        <v>45878</v>
      </c>
      <c r="E556" t="s">
        <v>9</v>
      </c>
      <c r="F556" t="s">
        <v>10</v>
      </c>
      <c r="G556">
        <v>1</v>
      </c>
      <c r="H556" t="s">
        <v>11</v>
      </c>
      <c r="I556" s="2">
        <v>62000</v>
      </c>
      <c r="J556" t="s">
        <v>21</v>
      </c>
      <c r="K556" s="3">
        <f t="shared" si="16"/>
        <v>62000</v>
      </c>
      <c r="L556" t="str">
        <f t="shared" si="17"/>
        <v>2025-08</v>
      </c>
    </row>
    <row r="557" spans="1:12" x14ac:dyDescent="0.25">
      <c r="A557">
        <v>1557</v>
      </c>
      <c r="B557">
        <v>25</v>
      </c>
      <c r="C557" t="str">
        <f>IFERROR(_xlfn.XLOOKUP(B557, Customer!A:A, Customer!B:B), "Unknown Customer")</f>
        <v>Milad Kazemi</v>
      </c>
      <c r="D557" s="1">
        <v>45834</v>
      </c>
      <c r="E557" t="s">
        <v>25</v>
      </c>
      <c r="F557" t="s">
        <v>10</v>
      </c>
      <c r="G557">
        <v>4</v>
      </c>
      <c r="H557" t="s">
        <v>11</v>
      </c>
      <c r="I557" s="2">
        <v>65000</v>
      </c>
      <c r="J557" t="s">
        <v>28</v>
      </c>
      <c r="K557" s="3">
        <f t="shared" si="16"/>
        <v>260000</v>
      </c>
      <c r="L557" t="str">
        <f t="shared" si="17"/>
        <v>2025-06</v>
      </c>
    </row>
    <row r="558" spans="1:12" x14ac:dyDescent="0.25">
      <c r="A558">
        <v>1558</v>
      </c>
      <c r="B558">
        <v>106</v>
      </c>
      <c r="C558" t="str">
        <f>IFERROR(_xlfn.XLOOKUP(B558, Customer!A:A, Customer!B:B), "Unknown Customer")</f>
        <v>Iman Zare</v>
      </c>
      <c r="D558" s="1">
        <v>45977</v>
      </c>
      <c r="E558" t="s">
        <v>16</v>
      </c>
      <c r="F558" t="s">
        <v>17</v>
      </c>
      <c r="G558">
        <v>1</v>
      </c>
      <c r="H558" t="s">
        <v>11</v>
      </c>
      <c r="I558" s="2">
        <v>75000</v>
      </c>
      <c r="J558" t="s">
        <v>24</v>
      </c>
      <c r="K558" s="3">
        <f t="shared" si="16"/>
        <v>75000</v>
      </c>
      <c r="L558" t="str">
        <f t="shared" si="17"/>
        <v>2025-11</v>
      </c>
    </row>
    <row r="559" spans="1:12" x14ac:dyDescent="0.25">
      <c r="A559">
        <v>1559</v>
      </c>
      <c r="B559">
        <v>97</v>
      </c>
      <c r="C559" t="str">
        <f>IFERROR(_xlfn.XLOOKUP(B559, Customer!A:A, Customer!B:B), "Unknown Customer")</f>
        <v>Setareh Sadeghi</v>
      </c>
      <c r="D559" s="1">
        <v>45701</v>
      </c>
      <c r="E559" t="s">
        <v>22</v>
      </c>
      <c r="F559" t="s">
        <v>14</v>
      </c>
      <c r="G559">
        <v>1</v>
      </c>
      <c r="H559" t="s">
        <v>11</v>
      </c>
      <c r="I559" s="2">
        <v>65000</v>
      </c>
      <c r="J559" t="s">
        <v>19</v>
      </c>
      <c r="K559" s="3">
        <f t="shared" si="16"/>
        <v>65000</v>
      </c>
      <c r="L559" t="str">
        <f t="shared" si="17"/>
        <v>2025-02</v>
      </c>
    </row>
    <row r="560" spans="1:12" x14ac:dyDescent="0.25">
      <c r="A560">
        <v>1560</v>
      </c>
      <c r="B560">
        <v>44</v>
      </c>
      <c r="C560" t="str">
        <f>IFERROR(_xlfn.XLOOKUP(B560, Customer!A:A, Customer!B:B), "Unknown Customer")</f>
        <v>Payam Abbasi</v>
      </c>
      <c r="D560" s="1">
        <v>45714</v>
      </c>
      <c r="E560" t="s">
        <v>22</v>
      </c>
      <c r="F560" t="s">
        <v>14</v>
      </c>
      <c r="G560">
        <v>2</v>
      </c>
      <c r="H560" t="s">
        <v>11</v>
      </c>
      <c r="I560" s="2">
        <v>55000</v>
      </c>
      <c r="J560" t="s">
        <v>12</v>
      </c>
      <c r="K560" s="3">
        <f t="shared" si="16"/>
        <v>110000</v>
      </c>
      <c r="L560" t="str">
        <f t="shared" si="17"/>
        <v>2025-02</v>
      </c>
    </row>
    <row r="561" spans="1:12" x14ac:dyDescent="0.25">
      <c r="A561">
        <v>1561</v>
      </c>
      <c r="B561">
        <v>69</v>
      </c>
      <c r="C561" t="str">
        <f>IFERROR(_xlfn.XLOOKUP(B561, Customer!A:A, Customer!B:B), "Unknown Customer")</f>
        <v>Mahsa Ebrahimi</v>
      </c>
      <c r="D561" s="1">
        <v>45762</v>
      </c>
      <c r="E561" t="s">
        <v>30</v>
      </c>
      <c r="F561" t="s">
        <v>14</v>
      </c>
      <c r="G561">
        <v>2</v>
      </c>
      <c r="H561" t="s">
        <v>11</v>
      </c>
      <c r="I561" s="2">
        <v>48000</v>
      </c>
      <c r="J561" t="s">
        <v>12</v>
      </c>
      <c r="K561" s="3">
        <f t="shared" si="16"/>
        <v>96000</v>
      </c>
      <c r="L561" t="str">
        <f t="shared" si="17"/>
        <v>2025-04</v>
      </c>
    </row>
    <row r="562" spans="1:12" x14ac:dyDescent="0.25">
      <c r="A562">
        <v>1562</v>
      </c>
      <c r="B562">
        <v>90</v>
      </c>
      <c r="C562" t="str">
        <f>IFERROR(_xlfn.XLOOKUP(B562, Customer!A:A, Customer!B:B), "Unknown Customer")</f>
        <v>Yasaman Karimi</v>
      </c>
      <c r="D562" s="1">
        <v>45667</v>
      </c>
      <c r="E562" t="s">
        <v>27</v>
      </c>
      <c r="F562" t="s">
        <v>14</v>
      </c>
      <c r="G562">
        <v>1</v>
      </c>
      <c r="H562" t="s">
        <v>11</v>
      </c>
      <c r="I562" s="2">
        <v>35000</v>
      </c>
      <c r="J562" t="s">
        <v>24</v>
      </c>
      <c r="K562" s="3">
        <f t="shared" si="16"/>
        <v>35000</v>
      </c>
      <c r="L562" t="str">
        <f t="shared" si="17"/>
        <v>2025-01</v>
      </c>
    </row>
    <row r="563" spans="1:12" x14ac:dyDescent="0.25">
      <c r="A563">
        <v>1563</v>
      </c>
      <c r="B563">
        <v>102</v>
      </c>
      <c r="C563" t="str">
        <f>IFERROR(_xlfn.XLOOKUP(B563, Customer!A:A, Customer!B:B), "Unknown Customer")</f>
        <v>Yasaman Yousefi</v>
      </c>
      <c r="D563" s="1">
        <v>45974</v>
      </c>
      <c r="E563" t="s">
        <v>22</v>
      </c>
      <c r="F563" t="s">
        <v>14</v>
      </c>
      <c r="G563">
        <v>2</v>
      </c>
      <c r="H563" t="s">
        <v>11</v>
      </c>
      <c r="I563" s="2">
        <v>55000</v>
      </c>
      <c r="J563" t="s">
        <v>12</v>
      </c>
      <c r="K563" s="3">
        <f t="shared" si="16"/>
        <v>110000</v>
      </c>
      <c r="L563" t="str">
        <f t="shared" si="17"/>
        <v>2025-11</v>
      </c>
    </row>
    <row r="564" spans="1:12" x14ac:dyDescent="0.25">
      <c r="A564">
        <v>1564</v>
      </c>
      <c r="B564">
        <v>35</v>
      </c>
      <c r="C564" t="str">
        <f>IFERROR(_xlfn.XLOOKUP(B564, Customer!A:A, Customer!B:B), "Unknown Customer")</f>
        <v>Babak Hosseini</v>
      </c>
      <c r="D564" s="1">
        <v>45995</v>
      </c>
      <c r="E564" t="s">
        <v>27</v>
      </c>
      <c r="F564" t="s">
        <v>14</v>
      </c>
      <c r="G564">
        <v>1</v>
      </c>
      <c r="H564" t="s">
        <v>11</v>
      </c>
      <c r="I564" s="2">
        <v>35000</v>
      </c>
      <c r="J564" t="s">
        <v>24</v>
      </c>
      <c r="K564" s="3">
        <f t="shared" si="16"/>
        <v>35000</v>
      </c>
      <c r="L564" t="str">
        <f t="shared" si="17"/>
        <v>2025-12</v>
      </c>
    </row>
    <row r="565" spans="1:12" x14ac:dyDescent="0.25">
      <c r="A565">
        <v>1565</v>
      </c>
      <c r="B565">
        <v>49</v>
      </c>
      <c r="C565" t="str">
        <f>IFERROR(_xlfn.XLOOKUP(B565, Customer!A:A, Customer!B:B), "Unknown Customer")</f>
        <v>Elham Karimi</v>
      </c>
      <c r="D565" s="1">
        <v>46021</v>
      </c>
      <c r="E565" t="s">
        <v>23</v>
      </c>
      <c r="F565" t="s">
        <v>17</v>
      </c>
      <c r="G565">
        <v>2</v>
      </c>
      <c r="H565" t="s">
        <v>11</v>
      </c>
      <c r="I565" s="2">
        <v>90000</v>
      </c>
      <c r="J565" t="s">
        <v>24</v>
      </c>
      <c r="K565" s="3">
        <f t="shared" si="16"/>
        <v>180000</v>
      </c>
      <c r="L565" t="str">
        <f t="shared" si="17"/>
        <v>2025-12</v>
      </c>
    </row>
    <row r="566" spans="1:12" x14ac:dyDescent="0.25">
      <c r="A566">
        <v>1566</v>
      </c>
      <c r="B566">
        <v>26</v>
      </c>
      <c r="C566" t="str">
        <f>IFERROR(_xlfn.XLOOKUP(B566, Customer!A:A, Customer!B:B), "Unknown Customer")</f>
        <v>Mona Karimi</v>
      </c>
      <c r="D566" s="1">
        <v>45892</v>
      </c>
      <c r="E566" t="s">
        <v>23</v>
      </c>
      <c r="F566" t="s">
        <v>17</v>
      </c>
      <c r="G566">
        <v>1</v>
      </c>
      <c r="H566" t="s">
        <v>11</v>
      </c>
      <c r="I566" s="2">
        <v>85000</v>
      </c>
      <c r="J566" t="s">
        <v>21</v>
      </c>
      <c r="K566" s="3">
        <f t="shared" si="16"/>
        <v>85000</v>
      </c>
      <c r="L566" t="str">
        <f t="shared" si="17"/>
        <v>2025-08</v>
      </c>
    </row>
    <row r="567" spans="1:12" x14ac:dyDescent="0.25">
      <c r="A567">
        <v>1567</v>
      </c>
      <c r="B567">
        <v>63</v>
      </c>
      <c r="C567" t="str">
        <f>IFERROR(_xlfn.XLOOKUP(B567, Customer!A:A, Customer!B:B), "Unknown Customer")</f>
        <v>Golnaz Rezaei</v>
      </c>
      <c r="D567" s="1">
        <v>45738</v>
      </c>
      <c r="E567" t="s">
        <v>31</v>
      </c>
      <c r="F567" t="s">
        <v>17</v>
      </c>
      <c r="G567">
        <v>3</v>
      </c>
      <c r="H567" t="s">
        <v>11</v>
      </c>
      <c r="I567" s="2">
        <v>40000</v>
      </c>
      <c r="J567" t="s">
        <v>24</v>
      </c>
      <c r="K567" s="3">
        <f t="shared" si="16"/>
        <v>120000</v>
      </c>
      <c r="L567" t="str">
        <f t="shared" si="17"/>
        <v>2025-03</v>
      </c>
    </row>
    <row r="568" spans="1:12" x14ac:dyDescent="0.25">
      <c r="A568">
        <v>1568</v>
      </c>
      <c r="B568">
        <v>65</v>
      </c>
      <c r="C568" t="str">
        <f>IFERROR(_xlfn.XLOOKUP(B568, Customer!A:A, Customer!B:B), "Unknown Customer")</f>
        <v>Yasaman Norouzi</v>
      </c>
      <c r="D568" s="1">
        <v>45659</v>
      </c>
      <c r="E568" t="s">
        <v>9</v>
      </c>
      <c r="F568" t="s">
        <v>10</v>
      </c>
      <c r="G568">
        <v>2</v>
      </c>
      <c r="H568" t="s">
        <v>11</v>
      </c>
      <c r="I568" s="2">
        <v>57000</v>
      </c>
      <c r="J568" t="s">
        <v>24</v>
      </c>
      <c r="K568" s="3">
        <f t="shared" si="16"/>
        <v>114000</v>
      </c>
      <c r="L568" t="str">
        <f t="shared" si="17"/>
        <v>2025-01</v>
      </c>
    </row>
    <row r="569" spans="1:12" x14ac:dyDescent="0.25">
      <c r="A569">
        <v>1569</v>
      </c>
      <c r="B569">
        <v>20</v>
      </c>
      <c r="C569" t="str">
        <f>IFERROR(_xlfn.XLOOKUP(B569, Customer!A:A, Customer!B:B), "Unknown Customer")</f>
        <v>Setareh Abbasi</v>
      </c>
      <c r="D569" s="1">
        <v>45859</v>
      </c>
      <c r="E569" t="s">
        <v>25</v>
      </c>
      <c r="F569" t="s">
        <v>10</v>
      </c>
      <c r="G569">
        <v>1</v>
      </c>
      <c r="H569" t="s">
        <v>11</v>
      </c>
      <c r="I569" s="2">
        <v>65000</v>
      </c>
      <c r="J569" t="s">
        <v>15</v>
      </c>
      <c r="K569" s="3">
        <f t="shared" si="16"/>
        <v>65000</v>
      </c>
      <c r="L569" t="str">
        <f t="shared" si="17"/>
        <v>2025-07</v>
      </c>
    </row>
    <row r="570" spans="1:12" x14ac:dyDescent="0.25">
      <c r="A570">
        <v>1570</v>
      </c>
      <c r="B570">
        <v>31</v>
      </c>
      <c r="C570" t="str">
        <f>IFERROR(_xlfn.XLOOKUP(B570, Customer!A:A, Customer!B:B), "Unknown Customer")</f>
        <v>Sara Karimi</v>
      </c>
      <c r="D570" s="1">
        <v>45736</v>
      </c>
      <c r="E570" t="s">
        <v>20</v>
      </c>
      <c r="F570" t="s">
        <v>17</v>
      </c>
      <c r="G570">
        <v>2</v>
      </c>
      <c r="H570" t="s">
        <v>11</v>
      </c>
      <c r="I570" s="2">
        <v>50000</v>
      </c>
      <c r="J570" t="s">
        <v>24</v>
      </c>
      <c r="K570" s="3">
        <f t="shared" si="16"/>
        <v>100000</v>
      </c>
      <c r="L570" t="str">
        <f t="shared" si="17"/>
        <v>2025-03</v>
      </c>
    </row>
    <row r="571" spans="1:12" x14ac:dyDescent="0.25">
      <c r="A571">
        <v>1571</v>
      </c>
      <c r="B571">
        <v>84</v>
      </c>
      <c r="C571" t="str">
        <f>IFERROR(_xlfn.XLOOKUP(B571, Customer!A:A, Customer!B:B), "Unknown Customer")</f>
        <v>Setareh Moradi</v>
      </c>
      <c r="D571" s="1">
        <v>45955</v>
      </c>
      <c r="E571" t="s">
        <v>13</v>
      </c>
      <c r="F571" t="s">
        <v>14</v>
      </c>
      <c r="G571">
        <v>4</v>
      </c>
      <c r="H571" t="s">
        <v>11</v>
      </c>
      <c r="I571" s="2">
        <v>58000</v>
      </c>
      <c r="J571" t="s">
        <v>15</v>
      </c>
      <c r="K571" s="3">
        <f t="shared" si="16"/>
        <v>232000</v>
      </c>
      <c r="L571" t="str">
        <f t="shared" si="17"/>
        <v>2025-10</v>
      </c>
    </row>
    <row r="572" spans="1:12" x14ac:dyDescent="0.25">
      <c r="A572">
        <v>1572</v>
      </c>
      <c r="B572">
        <v>117</v>
      </c>
      <c r="C572" t="str">
        <f>IFERROR(_xlfn.XLOOKUP(B572, Customer!A:A, Customer!B:B), "Unknown Customer")</f>
        <v>Babak Naderi</v>
      </c>
      <c r="D572" s="1">
        <v>45993</v>
      </c>
      <c r="E572" t="s">
        <v>13</v>
      </c>
      <c r="F572" t="s">
        <v>14</v>
      </c>
      <c r="G572">
        <v>-1</v>
      </c>
      <c r="H572" t="s">
        <v>26</v>
      </c>
      <c r="I572" s="2">
        <v>53000</v>
      </c>
      <c r="J572" t="s">
        <v>24</v>
      </c>
      <c r="K572" s="3">
        <f t="shared" si="16"/>
        <v>-53000</v>
      </c>
      <c r="L572" t="str">
        <f t="shared" si="17"/>
        <v>2025-12</v>
      </c>
    </row>
    <row r="573" spans="1:12" x14ac:dyDescent="0.25">
      <c r="A573">
        <v>1573</v>
      </c>
      <c r="B573">
        <v>41</v>
      </c>
      <c r="C573" t="str">
        <f>IFERROR(_xlfn.XLOOKUP(B573, Customer!A:A, Customer!B:B), "Unknown Customer")</f>
        <v>Iman Yousefi</v>
      </c>
      <c r="D573" s="1">
        <v>45673</v>
      </c>
      <c r="E573" t="s">
        <v>13</v>
      </c>
      <c r="F573" t="s">
        <v>14</v>
      </c>
      <c r="G573">
        <v>2</v>
      </c>
      <c r="H573" t="s">
        <v>11</v>
      </c>
      <c r="I573" s="2">
        <v>58000</v>
      </c>
      <c r="J573" t="s">
        <v>24</v>
      </c>
      <c r="K573" s="3">
        <f t="shared" si="16"/>
        <v>116000</v>
      </c>
      <c r="L573" t="str">
        <f t="shared" si="17"/>
        <v>2025-01</v>
      </c>
    </row>
    <row r="574" spans="1:12" x14ac:dyDescent="0.25">
      <c r="A574">
        <v>1574</v>
      </c>
      <c r="B574">
        <v>100</v>
      </c>
      <c r="C574" t="str">
        <f>IFERROR(_xlfn.XLOOKUP(B574, Customer!A:A, Customer!B:B), "Unknown Customer")</f>
        <v>Leila Hosseini</v>
      </c>
      <c r="D574" s="1">
        <v>45712</v>
      </c>
      <c r="E574" t="s">
        <v>30</v>
      </c>
      <c r="F574" t="s">
        <v>14</v>
      </c>
      <c r="G574">
        <v>1</v>
      </c>
      <c r="H574" t="s">
        <v>11</v>
      </c>
      <c r="I574" s="2">
        <v>53000</v>
      </c>
      <c r="J574" t="s">
        <v>28</v>
      </c>
      <c r="K574" s="3">
        <f t="shared" si="16"/>
        <v>53000</v>
      </c>
      <c r="L574" t="str">
        <f t="shared" si="17"/>
        <v>2025-02</v>
      </c>
    </row>
    <row r="575" spans="1:12" x14ac:dyDescent="0.25">
      <c r="A575">
        <v>1575</v>
      </c>
      <c r="B575">
        <v>73</v>
      </c>
      <c r="C575" t="str">
        <f>IFERROR(_xlfn.XLOOKUP(B575, Customer!A:A, Customer!B:B), "Unknown Customer")</f>
        <v>Niloofar Ebrahimi</v>
      </c>
      <c r="D575" s="1">
        <v>45776</v>
      </c>
      <c r="E575" t="s">
        <v>20</v>
      </c>
      <c r="F575" t="s">
        <v>17</v>
      </c>
      <c r="G575">
        <v>1</v>
      </c>
      <c r="H575" t="s">
        <v>11</v>
      </c>
      <c r="I575" s="2">
        <v>45000</v>
      </c>
      <c r="J575" t="s">
        <v>12</v>
      </c>
      <c r="K575" s="3">
        <f t="shared" si="16"/>
        <v>45000</v>
      </c>
      <c r="L575" t="str">
        <f t="shared" si="17"/>
        <v>2025-04</v>
      </c>
    </row>
    <row r="576" spans="1:12" x14ac:dyDescent="0.25">
      <c r="A576">
        <v>1576</v>
      </c>
      <c r="B576">
        <v>100</v>
      </c>
      <c r="C576" t="str">
        <f>IFERROR(_xlfn.XLOOKUP(B576, Customer!A:A, Customer!B:B), "Unknown Customer")</f>
        <v>Leila Hosseini</v>
      </c>
      <c r="D576" s="1">
        <v>45933</v>
      </c>
      <c r="E576" t="s">
        <v>16</v>
      </c>
      <c r="F576" t="s">
        <v>17</v>
      </c>
      <c r="G576">
        <v>3</v>
      </c>
      <c r="H576" t="s">
        <v>11</v>
      </c>
      <c r="I576" s="2">
        <v>75000</v>
      </c>
      <c r="J576" t="s">
        <v>15</v>
      </c>
      <c r="K576" s="3">
        <f t="shared" si="16"/>
        <v>225000</v>
      </c>
      <c r="L576" t="str">
        <f t="shared" si="17"/>
        <v>2025-10</v>
      </c>
    </row>
    <row r="577" spans="1:12" x14ac:dyDescent="0.25">
      <c r="A577">
        <v>1577</v>
      </c>
      <c r="B577">
        <v>61</v>
      </c>
      <c r="C577" t="str">
        <f>IFERROR(_xlfn.XLOOKUP(B577, Customer!A:A, Customer!B:B), "Unknown Customer")</f>
        <v>Arman Moradi</v>
      </c>
      <c r="D577" s="1">
        <v>45741</v>
      </c>
      <c r="E577" t="s">
        <v>13</v>
      </c>
      <c r="F577" t="s">
        <v>14</v>
      </c>
      <c r="G577">
        <v>1</v>
      </c>
      <c r="H577" t="s">
        <v>11</v>
      </c>
      <c r="I577" s="2">
        <v>58000</v>
      </c>
      <c r="J577" t="s">
        <v>15</v>
      </c>
      <c r="K577" s="3">
        <f t="shared" si="16"/>
        <v>58000</v>
      </c>
      <c r="L577" t="str">
        <f t="shared" si="17"/>
        <v>2025-03</v>
      </c>
    </row>
    <row r="578" spans="1:12" x14ac:dyDescent="0.25">
      <c r="A578">
        <v>1578</v>
      </c>
      <c r="B578">
        <v>29</v>
      </c>
      <c r="C578" t="str">
        <f>IFERROR(_xlfn.XLOOKUP(B578, Customer!A:A, Customer!B:B), "Unknown Customer")</f>
        <v>Leila Kazemi</v>
      </c>
      <c r="D578" s="1">
        <v>46001</v>
      </c>
      <c r="E578" t="s">
        <v>22</v>
      </c>
      <c r="F578" t="s">
        <v>14</v>
      </c>
      <c r="G578">
        <v>1</v>
      </c>
      <c r="H578" t="s">
        <v>11</v>
      </c>
      <c r="I578" s="2">
        <v>60000</v>
      </c>
      <c r="J578" t="s">
        <v>12</v>
      </c>
      <c r="K578" s="3">
        <f t="shared" si="16"/>
        <v>60000</v>
      </c>
      <c r="L578" t="str">
        <f t="shared" si="17"/>
        <v>2025-12</v>
      </c>
    </row>
    <row r="579" spans="1:12" x14ac:dyDescent="0.25">
      <c r="A579">
        <v>1579</v>
      </c>
      <c r="B579">
        <v>42</v>
      </c>
      <c r="C579" t="str">
        <f>IFERROR(_xlfn.XLOOKUP(B579, Customer!A:A, Customer!B:B), "Unknown Customer")</f>
        <v>Niloofar Ebrahimi</v>
      </c>
      <c r="D579" s="1">
        <v>45843</v>
      </c>
      <c r="E579" t="s">
        <v>16</v>
      </c>
      <c r="F579" t="s">
        <v>17</v>
      </c>
      <c r="G579">
        <v>4</v>
      </c>
      <c r="H579" t="s">
        <v>11</v>
      </c>
      <c r="I579" s="2">
        <v>70000</v>
      </c>
      <c r="J579" t="s">
        <v>12</v>
      </c>
      <c r="K579" s="3">
        <f t="shared" ref="K579:K642" si="18">G579*I579</f>
        <v>280000</v>
      </c>
      <c r="L579" t="str">
        <f t="shared" ref="L579:L642" si="19">TEXT(D579,"YYYY-MM")</f>
        <v>2025-07</v>
      </c>
    </row>
    <row r="580" spans="1:12" x14ac:dyDescent="0.25">
      <c r="A580">
        <v>1580</v>
      </c>
      <c r="B580">
        <v>41</v>
      </c>
      <c r="C580" t="str">
        <f>IFERROR(_xlfn.XLOOKUP(B580, Customer!A:A, Customer!B:B), "Unknown Customer")</f>
        <v>Iman Yousefi</v>
      </c>
      <c r="D580" s="1">
        <v>45971</v>
      </c>
      <c r="E580" t="s">
        <v>31</v>
      </c>
      <c r="F580" t="s">
        <v>17</v>
      </c>
      <c r="G580">
        <v>2</v>
      </c>
      <c r="H580" t="s">
        <v>11</v>
      </c>
      <c r="I580" s="2">
        <v>40428.571428571428</v>
      </c>
      <c r="J580" t="s">
        <v>19</v>
      </c>
      <c r="K580" s="3">
        <f t="shared" si="18"/>
        <v>80857.142857142855</v>
      </c>
      <c r="L580" t="str">
        <f t="shared" si="19"/>
        <v>2025-11</v>
      </c>
    </row>
    <row r="581" spans="1:12" x14ac:dyDescent="0.25">
      <c r="A581">
        <v>1581</v>
      </c>
      <c r="B581">
        <v>113</v>
      </c>
      <c r="C581" t="str">
        <f>IFERROR(_xlfn.XLOOKUP(B581, Customer!A:A, Customer!B:B), "Unknown Customer")</f>
        <v>Arman Jafari</v>
      </c>
      <c r="D581" s="1">
        <v>45923</v>
      </c>
      <c r="E581" t="s">
        <v>30</v>
      </c>
      <c r="F581" t="s">
        <v>14</v>
      </c>
      <c r="G581">
        <v>3</v>
      </c>
      <c r="H581" t="s">
        <v>11</v>
      </c>
      <c r="I581" s="2">
        <v>43000</v>
      </c>
      <c r="J581" t="s">
        <v>28</v>
      </c>
      <c r="K581" s="3">
        <f t="shared" si="18"/>
        <v>129000</v>
      </c>
      <c r="L581" t="str">
        <f t="shared" si="19"/>
        <v>2025-09</v>
      </c>
    </row>
    <row r="582" spans="1:12" x14ac:dyDescent="0.25">
      <c r="A582">
        <v>1582</v>
      </c>
      <c r="B582">
        <v>98</v>
      </c>
      <c r="C582" t="str">
        <f>IFERROR(_xlfn.XLOOKUP(B582, Customer!A:A, Customer!B:B), "Unknown Customer")</f>
        <v>Elham Mousavi</v>
      </c>
      <c r="D582" s="1">
        <v>45683</v>
      </c>
      <c r="E582" t="s">
        <v>27</v>
      </c>
      <c r="F582" t="s">
        <v>14</v>
      </c>
      <c r="G582">
        <v>2</v>
      </c>
      <c r="H582" t="s">
        <v>11</v>
      </c>
      <c r="I582" s="2">
        <v>35000</v>
      </c>
      <c r="J582" t="s">
        <v>15</v>
      </c>
      <c r="K582" s="3">
        <f t="shared" si="18"/>
        <v>70000</v>
      </c>
      <c r="L582" t="str">
        <f t="shared" si="19"/>
        <v>2025-01</v>
      </c>
    </row>
    <row r="583" spans="1:12" x14ac:dyDescent="0.25">
      <c r="A583">
        <v>1583</v>
      </c>
      <c r="B583">
        <v>22</v>
      </c>
      <c r="C583" t="str">
        <f>IFERROR(_xlfn.XLOOKUP(B583, Customer!A:A, Customer!B:B), "Unknown Customer")</f>
        <v>Amir Yousefi</v>
      </c>
      <c r="D583" s="1">
        <v>45808</v>
      </c>
      <c r="E583" t="s">
        <v>31</v>
      </c>
      <c r="F583" t="s">
        <v>17</v>
      </c>
      <c r="G583">
        <v>3</v>
      </c>
      <c r="H583" t="s">
        <v>11</v>
      </c>
      <c r="I583" s="2">
        <v>45000</v>
      </c>
      <c r="J583" t="s">
        <v>12</v>
      </c>
      <c r="K583" s="3">
        <f t="shared" si="18"/>
        <v>135000</v>
      </c>
      <c r="L583" t="str">
        <f t="shared" si="19"/>
        <v>2025-05</v>
      </c>
    </row>
    <row r="584" spans="1:12" x14ac:dyDescent="0.25">
      <c r="A584">
        <v>1584</v>
      </c>
      <c r="B584">
        <v>58</v>
      </c>
      <c r="C584" t="str">
        <f>IFERROR(_xlfn.XLOOKUP(B584, Customer!A:A, Customer!B:B), "Unknown Customer")</f>
        <v>Mona Moradi</v>
      </c>
      <c r="D584" s="1">
        <v>45914</v>
      </c>
      <c r="E584" t="s">
        <v>18</v>
      </c>
      <c r="F584" t="s">
        <v>14</v>
      </c>
      <c r="G584">
        <v>4</v>
      </c>
      <c r="H584" t="s">
        <v>11</v>
      </c>
      <c r="I584" s="2">
        <v>60000</v>
      </c>
      <c r="J584" t="s">
        <v>15</v>
      </c>
      <c r="K584" s="3">
        <f t="shared" si="18"/>
        <v>240000</v>
      </c>
      <c r="L584" t="str">
        <f t="shared" si="19"/>
        <v>2025-09</v>
      </c>
    </row>
    <row r="585" spans="1:12" x14ac:dyDescent="0.25">
      <c r="A585">
        <v>1585</v>
      </c>
      <c r="B585">
        <v>53</v>
      </c>
      <c r="C585" t="str">
        <f>IFERROR(_xlfn.XLOOKUP(B585, Customer!A:A, Customer!B:B), "Unknown Customer")</f>
        <v>Azadeh Moradi</v>
      </c>
      <c r="D585" s="1">
        <v>45888</v>
      </c>
      <c r="E585" t="s">
        <v>25</v>
      </c>
      <c r="F585" t="s">
        <v>10</v>
      </c>
      <c r="G585">
        <v>2</v>
      </c>
      <c r="H585" t="s">
        <v>11</v>
      </c>
      <c r="I585" s="2">
        <v>70000</v>
      </c>
      <c r="J585" t="s">
        <v>15</v>
      </c>
      <c r="K585" s="3">
        <f t="shared" si="18"/>
        <v>140000</v>
      </c>
      <c r="L585" t="str">
        <f t="shared" si="19"/>
        <v>2025-08</v>
      </c>
    </row>
    <row r="586" spans="1:12" x14ac:dyDescent="0.25">
      <c r="A586">
        <v>1587</v>
      </c>
      <c r="B586">
        <v>58</v>
      </c>
      <c r="C586" t="str">
        <f>IFERROR(_xlfn.XLOOKUP(B586, Customer!A:A, Customer!B:B), "Unknown Customer")</f>
        <v>Mona Moradi</v>
      </c>
      <c r="D586" s="1">
        <v>45784</v>
      </c>
      <c r="E586" t="s">
        <v>27</v>
      </c>
      <c r="F586" t="s">
        <v>14</v>
      </c>
      <c r="G586">
        <v>3</v>
      </c>
      <c r="H586" t="s">
        <v>11</v>
      </c>
      <c r="I586" s="2">
        <v>40000</v>
      </c>
      <c r="J586" t="s">
        <v>15</v>
      </c>
      <c r="K586" s="3">
        <f t="shared" si="18"/>
        <v>120000</v>
      </c>
      <c r="L586" t="str">
        <f t="shared" si="19"/>
        <v>2025-05</v>
      </c>
    </row>
    <row r="587" spans="1:12" x14ac:dyDescent="0.25">
      <c r="A587">
        <v>1588</v>
      </c>
      <c r="B587">
        <v>71</v>
      </c>
      <c r="C587" t="str">
        <f>IFERROR(_xlfn.XLOOKUP(B587, Customer!A:A, Customer!B:B), "Unknown Customer")</f>
        <v>Milad Mousavi</v>
      </c>
      <c r="D587" s="1">
        <v>45680</v>
      </c>
      <c r="E587" t="s">
        <v>31</v>
      </c>
      <c r="F587" t="s">
        <v>17</v>
      </c>
      <c r="G587">
        <v>2</v>
      </c>
      <c r="H587" t="s">
        <v>11</v>
      </c>
      <c r="I587" s="2">
        <v>40000</v>
      </c>
      <c r="J587" t="s">
        <v>24</v>
      </c>
      <c r="K587" s="3">
        <f t="shared" si="18"/>
        <v>80000</v>
      </c>
      <c r="L587" t="str">
        <f t="shared" si="19"/>
        <v>2025-01</v>
      </c>
    </row>
    <row r="588" spans="1:12" x14ac:dyDescent="0.25">
      <c r="A588">
        <v>1589</v>
      </c>
      <c r="B588">
        <v>99</v>
      </c>
      <c r="C588" t="str">
        <f>IFERROR(_xlfn.XLOOKUP(B588, Customer!A:A, Customer!B:B), "Unknown Customer")</f>
        <v>Behnam Ahmadi</v>
      </c>
      <c r="D588" s="1">
        <v>45684</v>
      </c>
      <c r="E588" t="s">
        <v>22</v>
      </c>
      <c r="F588" t="s">
        <v>14</v>
      </c>
      <c r="G588">
        <v>1</v>
      </c>
      <c r="H588" t="s">
        <v>11</v>
      </c>
      <c r="I588" s="2">
        <v>60000</v>
      </c>
      <c r="J588" t="s">
        <v>19</v>
      </c>
      <c r="K588" s="3">
        <f t="shared" si="18"/>
        <v>60000</v>
      </c>
      <c r="L588" t="str">
        <f t="shared" si="19"/>
        <v>2025-01</v>
      </c>
    </row>
    <row r="589" spans="1:12" x14ac:dyDescent="0.25">
      <c r="A589">
        <v>1590</v>
      </c>
      <c r="B589">
        <v>116</v>
      </c>
      <c r="C589" t="str">
        <f>IFERROR(_xlfn.XLOOKUP(B589, Customer!A:A, Customer!B:B), "Unknown Customer")</f>
        <v>Kian Zare</v>
      </c>
      <c r="D589" s="1">
        <v>45761</v>
      </c>
      <c r="E589" t="s">
        <v>13</v>
      </c>
      <c r="F589" t="s">
        <v>14</v>
      </c>
      <c r="G589">
        <v>1</v>
      </c>
      <c r="H589" t="s">
        <v>11</v>
      </c>
      <c r="I589" s="2">
        <v>58142.857142857145</v>
      </c>
      <c r="J589" t="s">
        <v>28</v>
      </c>
      <c r="K589" s="3">
        <f t="shared" si="18"/>
        <v>58142.857142857145</v>
      </c>
      <c r="L589" t="str">
        <f t="shared" si="19"/>
        <v>2025-04</v>
      </c>
    </row>
    <row r="590" spans="1:12" x14ac:dyDescent="0.25">
      <c r="A590">
        <v>1591</v>
      </c>
      <c r="B590">
        <v>104</v>
      </c>
      <c r="C590" t="str">
        <f>IFERROR(_xlfn.XLOOKUP(B590, Customer!A:A, Customer!B:B), "Unknown Customer")</f>
        <v>Kian Zare</v>
      </c>
      <c r="D590" s="1">
        <v>45969</v>
      </c>
      <c r="E590" t="s">
        <v>29</v>
      </c>
      <c r="F590" t="s">
        <v>14</v>
      </c>
      <c r="G590">
        <v>1</v>
      </c>
      <c r="H590" t="s">
        <v>11</v>
      </c>
      <c r="I590" s="2">
        <v>50000</v>
      </c>
      <c r="J590" t="s">
        <v>15</v>
      </c>
      <c r="K590" s="3">
        <f t="shared" si="18"/>
        <v>50000</v>
      </c>
      <c r="L590" t="str">
        <f t="shared" si="19"/>
        <v>2025-11</v>
      </c>
    </row>
    <row r="591" spans="1:12" x14ac:dyDescent="0.25">
      <c r="A591">
        <v>1592</v>
      </c>
      <c r="B591">
        <v>53</v>
      </c>
      <c r="C591" t="str">
        <f>IFERROR(_xlfn.XLOOKUP(B591, Customer!A:A, Customer!B:B), "Unknown Customer")</f>
        <v>Azadeh Moradi</v>
      </c>
      <c r="D591" s="1">
        <v>45698</v>
      </c>
      <c r="E591" t="s">
        <v>16</v>
      </c>
      <c r="F591" t="s">
        <v>17</v>
      </c>
      <c r="G591">
        <v>1</v>
      </c>
      <c r="H591" t="s">
        <v>11</v>
      </c>
      <c r="I591" s="2">
        <v>80000</v>
      </c>
      <c r="J591" t="s">
        <v>19</v>
      </c>
      <c r="K591" s="3">
        <f t="shared" si="18"/>
        <v>80000</v>
      </c>
      <c r="L591" t="str">
        <f t="shared" si="19"/>
        <v>2025-02</v>
      </c>
    </row>
    <row r="592" spans="1:12" x14ac:dyDescent="0.25">
      <c r="A592">
        <v>1593</v>
      </c>
      <c r="B592">
        <v>24</v>
      </c>
      <c r="C592" t="str">
        <f>IFERROR(_xlfn.XLOOKUP(B592, Customer!A:A, Customer!B:B), "Unknown Customer")</f>
        <v>Farhad Sadeghi</v>
      </c>
      <c r="D592" s="1">
        <v>45686</v>
      </c>
      <c r="E592" t="s">
        <v>13</v>
      </c>
      <c r="F592" t="s">
        <v>14</v>
      </c>
      <c r="G592">
        <v>1</v>
      </c>
      <c r="H592" t="s">
        <v>11</v>
      </c>
      <c r="I592" s="2">
        <v>58000</v>
      </c>
      <c r="J592" t="s">
        <v>21</v>
      </c>
      <c r="K592" s="3">
        <f t="shared" si="18"/>
        <v>58000</v>
      </c>
      <c r="L592" t="str">
        <f t="shared" si="19"/>
        <v>2025-01</v>
      </c>
    </row>
    <row r="593" spans="1:12" x14ac:dyDescent="0.25">
      <c r="A593">
        <v>1594</v>
      </c>
      <c r="B593">
        <v>118</v>
      </c>
      <c r="C593" t="str">
        <f>IFERROR(_xlfn.XLOOKUP(B593, Customer!A:A, Customer!B:B), "Unknown Customer")</f>
        <v>Hamed Rezaei</v>
      </c>
      <c r="D593" s="1">
        <v>45683</v>
      </c>
      <c r="E593" t="s">
        <v>18</v>
      </c>
      <c r="F593" t="s">
        <v>14</v>
      </c>
      <c r="G593">
        <v>1</v>
      </c>
      <c r="H593" t="s">
        <v>11</v>
      </c>
      <c r="I593" s="2">
        <v>55000</v>
      </c>
      <c r="J593" t="s">
        <v>28</v>
      </c>
      <c r="K593" s="3">
        <f t="shared" si="18"/>
        <v>55000</v>
      </c>
      <c r="L593" t="str">
        <f t="shared" si="19"/>
        <v>2025-01</v>
      </c>
    </row>
    <row r="594" spans="1:12" x14ac:dyDescent="0.25">
      <c r="A594">
        <v>1595</v>
      </c>
      <c r="B594">
        <v>85</v>
      </c>
      <c r="C594" t="str">
        <f>IFERROR(_xlfn.XLOOKUP(B594, Customer!A:A, Customer!B:B), "Unknown Customer")</f>
        <v>Sepideh Yousefi</v>
      </c>
      <c r="D594" s="1">
        <v>46016</v>
      </c>
      <c r="E594" t="s">
        <v>22</v>
      </c>
      <c r="F594" t="s">
        <v>14</v>
      </c>
      <c r="G594">
        <v>2</v>
      </c>
      <c r="H594" t="s">
        <v>11</v>
      </c>
      <c r="I594" s="2">
        <v>65000</v>
      </c>
      <c r="J594" t="s">
        <v>19</v>
      </c>
      <c r="K594" s="3">
        <f t="shared" si="18"/>
        <v>130000</v>
      </c>
      <c r="L594" t="str">
        <f t="shared" si="19"/>
        <v>2025-12</v>
      </c>
    </row>
    <row r="595" spans="1:12" x14ac:dyDescent="0.25">
      <c r="A595">
        <v>1596</v>
      </c>
      <c r="B595">
        <v>99</v>
      </c>
      <c r="C595" t="str">
        <f>IFERROR(_xlfn.XLOOKUP(B595, Customer!A:A, Customer!B:B), "Unknown Customer")</f>
        <v>Behnam Ahmadi</v>
      </c>
      <c r="D595" s="1">
        <v>45823</v>
      </c>
      <c r="E595" t="s">
        <v>9</v>
      </c>
      <c r="F595" t="s">
        <v>10</v>
      </c>
      <c r="G595">
        <v>4</v>
      </c>
      <c r="H595" t="s">
        <v>11</v>
      </c>
      <c r="I595" s="2">
        <v>57000</v>
      </c>
      <c r="J595" t="s">
        <v>21</v>
      </c>
      <c r="K595" s="3">
        <f t="shared" si="18"/>
        <v>228000</v>
      </c>
      <c r="L595" t="str">
        <f t="shared" si="19"/>
        <v>2025-06</v>
      </c>
    </row>
    <row r="596" spans="1:12" x14ac:dyDescent="0.25">
      <c r="A596">
        <v>1597</v>
      </c>
      <c r="B596">
        <v>61</v>
      </c>
      <c r="C596" t="str">
        <f>IFERROR(_xlfn.XLOOKUP(B596, Customer!A:A, Customer!B:B), "Unknown Customer")</f>
        <v>Arman Moradi</v>
      </c>
      <c r="D596" s="1">
        <v>45750</v>
      </c>
      <c r="E596" t="s">
        <v>13</v>
      </c>
      <c r="F596" t="s">
        <v>14</v>
      </c>
      <c r="G596">
        <v>1</v>
      </c>
      <c r="H596" t="s">
        <v>11</v>
      </c>
      <c r="I596" s="2">
        <v>63000</v>
      </c>
      <c r="J596" t="s">
        <v>12</v>
      </c>
      <c r="K596" s="3">
        <f t="shared" si="18"/>
        <v>63000</v>
      </c>
      <c r="L596" t="str">
        <f t="shared" si="19"/>
        <v>2025-04</v>
      </c>
    </row>
    <row r="597" spans="1:12" x14ac:dyDescent="0.25">
      <c r="A597">
        <v>1598</v>
      </c>
      <c r="B597">
        <v>27</v>
      </c>
      <c r="C597" t="str">
        <f>IFERROR(_xlfn.XLOOKUP(B597, Customer!A:A, Customer!B:B), "Unknown Customer")</f>
        <v>Sina Fallahi</v>
      </c>
      <c r="D597" s="1">
        <v>45687</v>
      </c>
      <c r="E597" t="s">
        <v>20</v>
      </c>
      <c r="F597" t="s">
        <v>17</v>
      </c>
      <c r="G597">
        <v>2</v>
      </c>
      <c r="H597" t="s">
        <v>11</v>
      </c>
      <c r="I597" s="2">
        <v>55000</v>
      </c>
      <c r="J597" t="s">
        <v>15</v>
      </c>
      <c r="K597" s="3">
        <f t="shared" si="18"/>
        <v>110000</v>
      </c>
      <c r="L597" t="str">
        <f t="shared" si="19"/>
        <v>2025-01</v>
      </c>
    </row>
    <row r="598" spans="1:12" x14ac:dyDescent="0.25">
      <c r="A598">
        <v>1599</v>
      </c>
      <c r="B598">
        <v>78</v>
      </c>
      <c r="C598" t="str">
        <f>IFERROR(_xlfn.XLOOKUP(B598, Customer!A:A, Customer!B:B), "Unknown Customer")</f>
        <v>Elham Karimi</v>
      </c>
      <c r="D598" s="1">
        <v>45790</v>
      </c>
      <c r="E598" t="s">
        <v>25</v>
      </c>
      <c r="F598" t="s">
        <v>10</v>
      </c>
      <c r="G598">
        <v>1</v>
      </c>
      <c r="H598" t="s">
        <v>11</v>
      </c>
      <c r="I598" s="2">
        <v>70000</v>
      </c>
      <c r="J598" t="s">
        <v>28</v>
      </c>
      <c r="K598" s="3">
        <f t="shared" si="18"/>
        <v>70000</v>
      </c>
      <c r="L598" t="str">
        <f t="shared" si="19"/>
        <v>2025-05</v>
      </c>
    </row>
    <row r="599" spans="1:12" x14ac:dyDescent="0.25">
      <c r="A599">
        <v>1600</v>
      </c>
      <c r="B599">
        <v>94</v>
      </c>
      <c r="C599" t="str">
        <f>IFERROR(_xlfn.XLOOKUP(B599, Customer!A:A, Customer!B:B), "Unknown Customer")</f>
        <v>Hamed Fallahi</v>
      </c>
      <c r="D599" s="1">
        <v>45912</v>
      </c>
      <c r="E599" t="s">
        <v>27</v>
      </c>
      <c r="F599" t="s">
        <v>14</v>
      </c>
      <c r="G599">
        <v>2</v>
      </c>
      <c r="H599" t="s">
        <v>11</v>
      </c>
      <c r="I599" s="2">
        <v>35000</v>
      </c>
      <c r="J599" t="s">
        <v>24</v>
      </c>
      <c r="K599" s="3">
        <f t="shared" si="18"/>
        <v>70000</v>
      </c>
      <c r="L599" t="str">
        <f t="shared" si="19"/>
        <v>2025-09</v>
      </c>
    </row>
    <row r="600" spans="1:12" x14ac:dyDescent="0.25">
      <c r="A600">
        <v>1601</v>
      </c>
      <c r="B600">
        <v>1</v>
      </c>
      <c r="C600" t="str">
        <f>IFERROR(_xlfn.XLOOKUP(B600, Customer!A:A, Customer!B:B), "Unknown Customer")</f>
        <v>Leila Rezaei</v>
      </c>
      <c r="D600" s="1">
        <v>45670</v>
      </c>
      <c r="E600" t="s">
        <v>18</v>
      </c>
      <c r="F600" t="s">
        <v>14</v>
      </c>
      <c r="G600">
        <v>3</v>
      </c>
      <c r="H600" t="s">
        <v>11</v>
      </c>
      <c r="I600" s="2">
        <v>55000</v>
      </c>
      <c r="J600" t="s">
        <v>15</v>
      </c>
      <c r="K600" s="3">
        <f t="shared" si="18"/>
        <v>165000</v>
      </c>
      <c r="L600" t="str">
        <f t="shared" si="19"/>
        <v>2025-01</v>
      </c>
    </row>
    <row r="601" spans="1:12" x14ac:dyDescent="0.25">
      <c r="A601">
        <v>1602</v>
      </c>
      <c r="B601">
        <v>6</v>
      </c>
      <c r="C601" t="str">
        <f>IFERROR(_xlfn.XLOOKUP(B601, Customer!A:A, Customer!B:B), "Unknown Customer")</f>
        <v>Sepideh Mousavi</v>
      </c>
      <c r="D601" s="1">
        <v>45837</v>
      </c>
      <c r="E601" t="s">
        <v>25</v>
      </c>
      <c r="F601" t="s">
        <v>10</v>
      </c>
      <c r="G601">
        <v>1</v>
      </c>
      <c r="H601" t="s">
        <v>11</v>
      </c>
      <c r="I601" s="2">
        <v>65000</v>
      </c>
      <c r="J601" t="s">
        <v>32</v>
      </c>
      <c r="K601" s="3">
        <f t="shared" si="18"/>
        <v>65000</v>
      </c>
      <c r="L601" t="str">
        <f t="shared" si="19"/>
        <v>2025-06</v>
      </c>
    </row>
    <row r="602" spans="1:12" x14ac:dyDescent="0.25">
      <c r="A602">
        <v>1603</v>
      </c>
      <c r="B602">
        <v>102</v>
      </c>
      <c r="C602" t="str">
        <f>IFERROR(_xlfn.XLOOKUP(B602, Customer!A:A, Customer!B:B), "Unknown Customer")</f>
        <v>Yasaman Yousefi</v>
      </c>
      <c r="D602" s="1">
        <v>45844</v>
      </c>
      <c r="E602" t="s">
        <v>18</v>
      </c>
      <c r="F602" t="s">
        <v>14</v>
      </c>
      <c r="G602">
        <v>4</v>
      </c>
      <c r="H602" t="s">
        <v>11</v>
      </c>
      <c r="I602" s="2">
        <v>50000</v>
      </c>
      <c r="J602" t="s">
        <v>21</v>
      </c>
      <c r="K602" s="3">
        <f t="shared" si="18"/>
        <v>200000</v>
      </c>
      <c r="L602" t="str">
        <f t="shared" si="19"/>
        <v>2025-07</v>
      </c>
    </row>
    <row r="603" spans="1:12" x14ac:dyDescent="0.25">
      <c r="A603">
        <v>1604</v>
      </c>
      <c r="B603">
        <v>51</v>
      </c>
      <c r="C603" t="str">
        <f>IFERROR(_xlfn.XLOOKUP(B603, Customer!A:A, Customer!B:B), "Unknown Customer")</f>
        <v>Azadeh Karimi</v>
      </c>
      <c r="D603" s="1">
        <v>45949</v>
      </c>
      <c r="E603" t="s">
        <v>22</v>
      </c>
      <c r="F603" t="s">
        <v>14</v>
      </c>
      <c r="G603">
        <v>4</v>
      </c>
      <c r="H603" t="s">
        <v>11</v>
      </c>
      <c r="I603" s="2">
        <v>60000</v>
      </c>
      <c r="J603" t="s">
        <v>21</v>
      </c>
      <c r="K603" s="3">
        <f t="shared" si="18"/>
        <v>240000</v>
      </c>
      <c r="L603" t="str">
        <f t="shared" si="19"/>
        <v>2025-10</v>
      </c>
    </row>
    <row r="604" spans="1:12" x14ac:dyDescent="0.25">
      <c r="A604">
        <v>1605</v>
      </c>
      <c r="B604">
        <v>119</v>
      </c>
      <c r="C604" t="str">
        <f>IFERROR(_xlfn.XLOOKUP(B604, Customer!A:A, Customer!B:B), "Unknown Customer")</f>
        <v>Sepideh Sadeghi</v>
      </c>
      <c r="D604" s="1">
        <v>45903</v>
      </c>
      <c r="E604" t="s">
        <v>27</v>
      </c>
      <c r="F604" t="s">
        <v>14</v>
      </c>
      <c r="G604">
        <v>3</v>
      </c>
      <c r="H604" t="s">
        <v>11</v>
      </c>
      <c r="I604" s="2">
        <v>35000</v>
      </c>
      <c r="J604" t="s">
        <v>12</v>
      </c>
      <c r="K604" s="3">
        <f t="shared" si="18"/>
        <v>105000</v>
      </c>
      <c r="L604" t="str">
        <f t="shared" si="19"/>
        <v>2025-09</v>
      </c>
    </row>
    <row r="605" spans="1:12" x14ac:dyDescent="0.25">
      <c r="A605">
        <v>1606</v>
      </c>
      <c r="B605">
        <v>59</v>
      </c>
      <c r="C605" t="str">
        <f>IFERROR(_xlfn.XLOOKUP(B605, Customer!A:A, Customer!B:B), "Unknown Customer")</f>
        <v>Niloofar Hosseini</v>
      </c>
      <c r="D605" s="1">
        <v>45829</v>
      </c>
      <c r="E605" t="s">
        <v>23</v>
      </c>
      <c r="F605" t="s">
        <v>17</v>
      </c>
      <c r="G605">
        <v>3</v>
      </c>
      <c r="H605" t="s">
        <v>11</v>
      </c>
      <c r="I605" s="2">
        <v>80000</v>
      </c>
      <c r="J605" t="s">
        <v>28</v>
      </c>
      <c r="K605" s="3">
        <f t="shared" si="18"/>
        <v>240000</v>
      </c>
      <c r="L605" t="str">
        <f t="shared" si="19"/>
        <v>2025-06</v>
      </c>
    </row>
    <row r="606" spans="1:12" x14ac:dyDescent="0.25">
      <c r="A606">
        <v>1607</v>
      </c>
      <c r="B606">
        <v>93</v>
      </c>
      <c r="C606" t="str">
        <f>IFERROR(_xlfn.XLOOKUP(B606, Customer!A:A, Customer!B:B), "Unknown Customer")</f>
        <v>Sepideh Norouzi</v>
      </c>
      <c r="D606" s="1">
        <v>45819</v>
      </c>
      <c r="E606" t="s">
        <v>27</v>
      </c>
      <c r="F606" t="s">
        <v>14</v>
      </c>
      <c r="G606">
        <v>1</v>
      </c>
      <c r="H606" t="s">
        <v>11</v>
      </c>
      <c r="I606" s="2">
        <v>40000</v>
      </c>
      <c r="J606" t="s">
        <v>21</v>
      </c>
      <c r="K606" s="3">
        <f t="shared" si="18"/>
        <v>40000</v>
      </c>
      <c r="L606" t="str">
        <f t="shared" si="19"/>
        <v>2025-06</v>
      </c>
    </row>
    <row r="607" spans="1:12" x14ac:dyDescent="0.25">
      <c r="A607">
        <v>1608</v>
      </c>
      <c r="B607">
        <v>9</v>
      </c>
      <c r="C607" t="str">
        <f>IFERROR(_xlfn.XLOOKUP(B607, Customer!A:A, Customer!B:B), "Unknown Customer")</f>
        <v>Farhad Zare</v>
      </c>
      <c r="D607" s="1">
        <v>45801</v>
      </c>
      <c r="E607" t="s">
        <v>13</v>
      </c>
      <c r="F607" t="s">
        <v>14</v>
      </c>
      <c r="G607">
        <v>2</v>
      </c>
      <c r="H607" t="s">
        <v>11</v>
      </c>
      <c r="I607" s="2">
        <v>63000</v>
      </c>
      <c r="J607" t="s">
        <v>24</v>
      </c>
      <c r="K607" s="3">
        <f t="shared" si="18"/>
        <v>126000</v>
      </c>
      <c r="L607" t="str">
        <f t="shared" si="19"/>
        <v>2025-05</v>
      </c>
    </row>
    <row r="608" spans="1:12" x14ac:dyDescent="0.25">
      <c r="A608">
        <v>1609</v>
      </c>
      <c r="B608">
        <v>77</v>
      </c>
      <c r="C608" t="str">
        <f>IFERROR(_xlfn.XLOOKUP(B608, Customer!A:A, Customer!B:B), "Unknown Customer")</f>
        <v>Iman Sadeghi</v>
      </c>
      <c r="D608" s="1">
        <v>45844</v>
      </c>
      <c r="E608" t="s">
        <v>18</v>
      </c>
      <c r="F608" t="s">
        <v>14</v>
      </c>
      <c r="G608">
        <v>3</v>
      </c>
      <c r="H608" t="s">
        <v>11</v>
      </c>
      <c r="I608" s="2">
        <v>50000</v>
      </c>
      <c r="J608" t="s">
        <v>19</v>
      </c>
      <c r="K608" s="3">
        <f t="shared" si="18"/>
        <v>150000</v>
      </c>
      <c r="L608" t="str">
        <f t="shared" si="19"/>
        <v>2025-07</v>
      </c>
    </row>
    <row r="609" spans="1:12" x14ac:dyDescent="0.25">
      <c r="A609">
        <v>1610</v>
      </c>
      <c r="B609">
        <v>64</v>
      </c>
      <c r="C609" t="str">
        <f>IFERROR(_xlfn.XLOOKUP(B609, Customer!A:A, Customer!B:B), "Unknown Customer")</f>
        <v>Milad Yousefi</v>
      </c>
      <c r="D609" s="1">
        <v>45937</v>
      </c>
      <c r="E609" t="s">
        <v>30</v>
      </c>
      <c r="F609" t="s">
        <v>14</v>
      </c>
      <c r="G609">
        <v>-1</v>
      </c>
      <c r="H609" t="s">
        <v>26</v>
      </c>
      <c r="I609" s="2">
        <v>53000</v>
      </c>
      <c r="J609" t="s">
        <v>19</v>
      </c>
      <c r="K609" s="3">
        <f t="shared" si="18"/>
        <v>-53000</v>
      </c>
      <c r="L609" t="str">
        <f t="shared" si="19"/>
        <v>2025-10</v>
      </c>
    </row>
    <row r="610" spans="1:12" x14ac:dyDescent="0.25">
      <c r="A610">
        <v>1611</v>
      </c>
      <c r="B610">
        <v>48</v>
      </c>
      <c r="C610" t="str">
        <f>IFERROR(_xlfn.XLOOKUP(B610, Customer!A:A, Customer!B:B), "Unknown Customer")</f>
        <v>Hamed Jafari</v>
      </c>
      <c r="D610" s="1">
        <v>45761</v>
      </c>
      <c r="E610" t="s">
        <v>29</v>
      </c>
      <c r="F610" t="s">
        <v>14</v>
      </c>
      <c r="G610">
        <v>2</v>
      </c>
      <c r="H610" t="s">
        <v>11</v>
      </c>
      <c r="I610" s="2">
        <v>40000</v>
      </c>
      <c r="J610" t="s">
        <v>32</v>
      </c>
      <c r="K610" s="3">
        <f t="shared" si="18"/>
        <v>80000</v>
      </c>
      <c r="L610" t="str">
        <f t="shared" si="19"/>
        <v>2025-04</v>
      </c>
    </row>
    <row r="611" spans="1:12" x14ac:dyDescent="0.25">
      <c r="A611">
        <v>1612</v>
      </c>
      <c r="B611">
        <v>44</v>
      </c>
      <c r="C611" t="str">
        <f>IFERROR(_xlfn.XLOOKUP(B611, Customer!A:A, Customer!B:B), "Unknown Customer")</f>
        <v>Payam Abbasi</v>
      </c>
      <c r="D611" s="1">
        <v>45926</v>
      </c>
      <c r="E611" t="s">
        <v>16</v>
      </c>
      <c r="F611" t="s">
        <v>17</v>
      </c>
      <c r="G611">
        <v>1</v>
      </c>
      <c r="H611" t="s">
        <v>11</v>
      </c>
      <c r="I611" s="2">
        <v>70000</v>
      </c>
      <c r="J611" t="s">
        <v>24</v>
      </c>
      <c r="K611" s="3">
        <f t="shared" si="18"/>
        <v>70000</v>
      </c>
      <c r="L611" t="str">
        <f t="shared" si="19"/>
        <v>2025-09</v>
      </c>
    </row>
    <row r="612" spans="1:12" x14ac:dyDescent="0.25">
      <c r="A612">
        <v>1613</v>
      </c>
      <c r="B612">
        <v>93</v>
      </c>
      <c r="C612" t="str">
        <f>IFERROR(_xlfn.XLOOKUP(B612, Customer!A:A, Customer!B:B), "Unknown Customer")</f>
        <v>Sepideh Norouzi</v>
      </c>
      <c r="D612" s="1">
        <v>45893</v>
      </c>
      <c r="E612" t="s">
        <v>29</v>
      </c>
      <c r="F612" t="s">
        <v>14</v>
      </c>
      <c r="G612">
        <v>1</v>
      </c>
      <c r="H612" t="s">
        <v>11</v>
      </c>
      <c r="I612" s="2">
        <v>45353.535353535357</v>
      </c>
      <c r="J612" t="s">
        <v>21</v>
      </c>
      <c r="K612" s="3">
        <f t="shared" si="18"/>
        <v>45353.535353535357</v>
      </c>
      <c r="L612" t="str">
        <f t="shared" si="19"/>
        <v>2025-08</v>
      </c>
    </row>
    <row r="613" spans="1:12" x14ac:dyDescent="0.25">
      <c r="A613">
        <v>1614</v>
      </c>
      <c r="B613">
        <v>60</v>
      </c>
      <c r="C613" t="str">
        <f>IFERROR(_xlfn.XLOOKUP(B613, Customer!A:A, Customer!B:B), "Unknown Customer")</f>
        <v>Sina Ghasemi</v>
      </c>
      <c r="D613" s="1">
        <v>45710</v>
      </c>
      <c r="E613" t="s">
        <v>29</v>
      </c>
      <c r="F613" t="s">
        <v>14</v>
      </c>
      <c r="G613">
        <v>1</v>
      </c>
      <c r="H613" t="s">
        <v>11</v>
      </c>
      <c r="I613" s="2">
        <v>50000</v>
      </c>
      <c r="J613" t="s">
        <v>21</v>
      </c>
      <c r="K613" s="3">
        <f t="shared" si="18"/>
        <v>50000</v>
      </c>
      <c r="L613" t="str">
        <f t="shared" si="19"/>
        <v>2025-02</v>
      </c>
    </row>
    <row r="614" spans="1:12" x14ac:dyDescent="0.25">
      <c r="A614">
        <v>1615</v>
      </c>
      <c r="B614">
        <v>26</v>
      </c>
      <c r="C614" t="str">
        <f>IFERROR(_xlfn.XLOOKUP(B614, Customer!A:A, Customer!B:B), "Unknown Customer")</f>
        <v>Mona Karimi</v>
      </c>
      <c r="D614" s="1">
        <v>45804</v>
      </c>
      <c r="E614" t="s">
        <v>30</v>
      </c>
      <c r="F614" t="s">
        <v>14</v>
      </c>
      <c r="G614">
        <v>4</v>
      </c>
      <c r="H614" t="s">
        <v>11</v>
      </c>
      <c r="I614" s="2">
        <v>48000</v>
      </c>
      <c r="J614" t="s">
        <v>21</v>
      </c>
      <c r="K614" s="3">
        <f t="shared" si="18"/>
        <v>192000</v>
      </c>
      <c r="L614" t="str">
        <f t="shared" si="19"/>
        <v>2025-05</v>
      </c>
    </row>
    <row r="615" spans="1:12" x14ac:dyDescent="0.25">
      <c r="A615">
        <v>1616</v>
      </c>
      <c r="B615">
        <v>20</v>
      </c>
      <c r="C615" t="str">
        <f>IFERROR(_xlfn.XLOOKUP(B615, Customer!A:A, Customer!B:B), "Unknown Customer")</f>
        <v>Setareh Abbasi</v>
      </c>
      <c r="D615" s="1">
        <v>45798</v>
      </c>
      <c r="E615" t="s">
        <v>13</v>
      </c>
      <c r="F615" t="s">
        <v>14</v>
      </c>
      <c r="G615">
        <v>2</v>
      </c>
      <c r="H615" t="s">
        <v>11</v>
      </c>
      <c r="I615" s="2">
        <v>63000</v>
      </c>
      <c r="J615" t="s">
        <v>24</v>
      </c>
      <c r="K615" s="3">
        <f t="shared" si="18"/>
        <v>126000</v>
      </c>
      <c r="L615" t="str">
        <f t="shared" si="19"/>
        <v>2025-05</v>
      </c>
    </row>
    <row r="616" spans="1:12" x14ac:dyDescent="0.25">
      <c r="A616">
        <v>1617</v>
      </c>
      <c r="B616">
        <v>70</v>
      </c>
      <c r="C616" t="str">
        <f>IFERROR(_xlfn.XLOOKUP(B616, Customer!A:A, Customer!B:B), "Unknown Customer")</f>
        <v>Iman Naderi</v>
      </c>
      <c r="D616" s="1">
        <v>45910</v>
      </c>
      <c r="E616" t="s">
        <v>25</v>
      </c>
      <c r="F616" t="s">
        <v>10</v>
      </c>
      <c r="G616">
        <v>1</v>
      </c>
      <c r="H616" t="s">
        <v>11</v>
      </c>
      <c r="I616" s="2">
        <v>65000</v>
      </c>
      <c r="J616" t="s">
        <v>24</v>
      </c>
      <c r="K616" s="3">
        <f t="shared" si="18"/>
        <v>65000</v>
      </c>
      <c r="L616" t="str">
        <f t="shared" si="19"/>
        <v>2025-09</v>
      </c>
    </row>
    <row r="617" spans="1:12" x14ac:dyDescent="0.25">
      <c r="A617">
        <v>1618</v>
      </c>
      <c r="B617">
        <v>10</v>
      </c>
      <c r="C617" t="str">
        <f>IFERROR(_xlfn.XLOOKUP(B617, Customer!A:A, Customer!B:B), "Unknown Customer")</f>
        <v>Sepideh Rostami</v>
      </c>
      <c r="D617" s="1">
        <v>45941</v>
      </c>
      <c r="E617" t="s">
        <v>9</v>
      </c>
      <c r="F617" t="s">
        <v>10</v>
      </c>
      <c r="G617">
        <v>1</v>
      </c>
      <c r="H617" t="s">
        <v>11</v>
      </c>
      <c r="I617" s="2">
        <v>62000</v>
      </c>
      <c r="J617" t="s">
        <v>12</v>
      </c>
      <c r="K617" s="3">
        <f t="shared" si="18"/>
        <v>62000</v>
      </c>
      <c r="L617" t="str">
        <f t="shared" si="19"/>
        <v>2025-10</v>
      </c>
    </row>
    <row r="618" spans="1:12" x14ac:dyDescent="0.25">
      <c r="A618">
        <v>1619</v>
      </c>
      <c r="B618">
        <v>7</v>
      </c>
      <c r="C618" t="str">
        <f>IFERROR(_xlfn.XLOOKUP(B618, Customer!A:A, Customer!B:B), "Unknown Customer")</f>
        <v>Farhad Vakili</v>
      </c>
      <c r="D618" s="1">
        <v>45854</v>
      </c>
      <c r="E618" t="s">
        <v>18</v>
      </c>
      <c r="F618" t="s">
        <v>14</v>
      </c>
      <c r="G618">
        <v>2</v>
      </c>
      <c r="H618" t="s">
        <v>11</v>
      </c>
      <c r="I618" s="2">
        <v>55000</v>
      </c>
      <c r="J618" t="s">
        <v>28</v>
      </c>
      <c r="K618" s="3">
        <f t="shared" si="18"/>
        <v>110000</v>
      </c>
      <c r="L618" t="str">
        <f t="shared" si="19"/>
        <v>2025-07</v>
      </c>
    </row>
    <row r="619" spans="1:12" x14ac:dyDescent="0.25">
      <c r="A619">
        <v>1620</v>
      </c>
      <c r="B619">
        <v>46</v>
      </c>
      <c r="C619" t="str">
        <f>IFERROR(_xlfn.XLOOKUP(B619, Customer!A:A, Customer!B:B), "Unknown Customer")</f>
        <v>Mahsa Ghasemi</v>
      </c>
      <c r="D619" s="1">
        <v>45828</v>
      </c>
      <c r="E619" t="s">
        <v>9</v>
      </c>
      <c r="F619" t="s">
        <v>10</v>
      </c>
      <c r="G619">
        <v>4</v>
      </c>
      <c r="H619" t="s">
        <v>11</v>
      </c>
      <c r="I619" s="2">
        <v>62000</v>
      </c>
      <c r="J619" t="s">
        <v>32</v>
      </c>
      <c r="K619" s="3">
        <f t="shared" si="18"/>
        <v>248000</v>
      </c>
      <c r="L619" t="str">
        <f t="shared" si="19"/>
        <v>2025-06</v>
      </c>
    </row>
    <row r="620" spans="1:12" x14ac:dyDescent="0.25">
      <c r="A620">
        <v>1621</v>
      </c>
      <c r="B620">
        <v>105</v>
      </c>
      <c r="C620" t="str">
        <f>IFERROR(_xlfn.XLOOKUP(B620, Customer!A:A, Customer!B:B), "Unknown Customer")</f>
        <v>Tara Ghasemi</v>
      </c>
      <c r="D620" s="1">
        <v>45897</v>
      </c>
      <c r="E620" t="s">
        <v>22</v>
      </c>
      <c r="F620" t="s">
        <v>14</v>
      </c>
      <c r="G620">
        <v>1</v>
      </c>
      <c r="H620" t="s">
        <v>11</v>
      </c>
      <c r="I620" s="2">
        <v>60000</v>
      </c>
      <c r="J620" t="s">
        <v>24</v>
      </c>
      <c r="K620" s="3">
        <f t="shared" si="18"/>
        <v>60000</v>
      </c>
      <c r="L620" t="str">
        <f t="shared" si="19"/>
        <v>2025-08</v>
      </c>
    </row>
    <row r="621" spans="1:12" x14ac:dyDescent="0.25">
      <c r="A621">
        <v>1622</v>
      </c>
      <c r="B621">
        <v>19</v>
      </c>
      <c r="C621" t="str">
        <f>IFERROR(_xlfn.XLOOKUP(B621, Customer!A:A, Customer!B:B), "Unknown Customer")</f>
        <v>Leila Sadeghi</v>
      </c>
      <c r="D621" s="1">
        <v>45790</v>
      </c>
      <c r="E621" t="s">
        <v>20</v>
      </c>
      <c r="F621" t="s">
        <v>17</v>
      </c>
      <c r="G621">
        <v>1</v>
      </c>
      <c r="H621" t="s">
        <v>11</v>
      </c>
      <c r="I621" s="2">
        <v>50000</v>
      </c>
      <c r="J621" t="s">
        <v>15</v>
      </c>
      <c r="K621" s="3">
        <f t="shared" si="18"/>
        <v>50000</v>
      </c>
      <c r="L621" t="str">
        <f t="shared" si="19"/>
        <v>2025-05</v>
      </c>
    </row>
    <row r="622" spans="1:12" x14ac:dyDescent="0.25">
      <c r="A622">
        <v>1623</v>
      </c>
      <c r="B622">
        <v>4</v>
      </c>
      <c r="C622" t="str">
        <f>IFERROR(_xlfn.XLOOKUP(B622, Customer!A:A, Customer!B:B), "Unknown Customer")</f>
        <v>Kaveh Salehi</v>
      </c>
      <c r="D622" s="1">
        <v>45666</v>
      </c>
      <c r="E622" t="s">
        <v>18</v>
      </c>
      <c r="F622" t="s">
        <v>14</v>
      </c>
      <c r="G622">
        <v>2</v>
      </c>
      <c r="H622" t="s">
        <v>11</v>
      </c>
      <c r="I622" s="2">
        <v>55000</v>
      </c>
      <c r="J622" t="s">
        <v>21</v>
      </c>
      <c r="K622" s="3">
        <f t="shared" si="18"/>
        <v>110000</v>
      </c>
      <c r="L622" t="str">
        <f t="shared" si="19"/>
        <v>2025-01</v>
      </c>
    </row>
    <row r="623" spans="1:12" x14ac:dyDescent="0.25">
      <c r="A623">
        <v>1624</v>
      </c>
      <c r="B623">
        <v>78</v>
      </c>
      <c r="C623" t="str">
        <f>IFERROR(_xlfn.XLOOKUP(B623, Customer!A:A, Customer!B:B), "Unknown Customer")</f>
        <v>Elham Karimi</v>
      </c>
      <c r="D623" s="1">
        <v>45723</v>
      </c>
      <c r="E623" t="s">
        <v>20</v>
      </c>
      <c r="F623" t="s">
        <v>17</v>
      </c>
      <c r="G623">
        <v>2</v>
      </c>
      <c r="H623" t="s">
        <v>11</v>
      </c>
      <c r="I623" s="2">
        <v>45000</v>
      </c>
      <c r="J623" t="s">
        <v>21</v>
      </c>
      <c r="K623" s="3">
        <f t="shared" si="18"/>
        <v>90000</v>
      </c>
      <c r="L623" t="str">
        <f t="shared" si="19"/>
        <v>2025-03</v>
      </c>
    </row>
    <row r="624" spans="1:12" x14ac:dyDescent="0.25">
      <c r="A624">
        <v>1625</v>
      </c>
      <c r="B624">
        <v>69</v>
      </c>
      <c r="C624" t="str">
        <f>IFERROR(_xlfn.XLOOKUP(B624, Customer!A:A, Customer!B:B), "Unknown Customer")</f>
        <v>Mahsa Ebrahimi</v>
      </c>
      <c r="D624" s="1">
        <v>45863</v>
      </c>
      <c r="E624" t="s">
        <v>16</v>
      </c>
      <c r="F624" t="s">
        <v>17</v>
      </c>
      <c r="G624">
        <v>1</v>
      </c>
      <c r="H624" t="s">
        <v>11</v>
      </c>
      <c r="I624" s="2">
        <v>80000</v>
      </c>
      <c r="J624" t="s">
        <v>15</v>
      </c>
      <c r="K624" s="3">
        <f t="shared" si="18"/>
        <v>80000</v>
      </c>
      <c r="L624" t="str">
        <f t="shared" si="19"/>
        <v>2025-07</v>
      </c>
    </row>
    <row r="625" spans="1:12" x14ac:dyDescent="0.25">
      <c r="A625">
        <v>1626</v>
      </c>
      <c r="B625">
        <v>50</v>
      </c>
      <c r="C625" t="str">
        <f>IFERROR(_xlfn.XLOOKUP(B625, Customer!A:A, Customer!B:B), "Unknown Customer")</f>
        <v>Mona Naderi</v>
      </c>
      <c r="D625" s="1">
        <v>45832</v>
      </c>
      <c r="E625" t="s">
        <v>18</v>
      </c>
      <c r="F625" t="s">
        <v>14</v>
      </c>
      <c r="G625">
        <v>1</v>
      </c>
      <c r="H625" t="s">
        <v>11</v>
      </c>
      <c r="I625" s="2">
        <v>55000</v>
      </c>
      <c r="J625" t="s">
        <v>28</v>
      </c>
      <c r="K625" s="3">
        <f t="shared" si="18"/>
        <v>55000</v>
      </c>
      <c r="L625" t="str">
        <f t="shared" si="19"/>
        <v>2025-06</v>
      </c>
    </row>
    <row r="626" spans="1:12" x14ac:dyDescent="0.25">
      <c r="A626">
        <v>1627</v>
      </c>
      <c r="B626">
        <v>89</v>
      </c>
      <c r="C626" t="str">
        <f>IFERROR(_xlfn.XLOOKUP(B626, Customer!A:A, Customer!B:B), "Unknown Customer")</f>
        <v>Mona Moradi</v>
      </c>
      <c r="D626" s="1">
        <v>45746</v>
      </c>
      <c r="E626" t="s">
        <v>30</v>
      </c>
      <c r="F626" t="s">
        <v>14</v>
      </c>
      <c r="G626">
        <v>3</v>
      </c>
      <c r="H626" t="s">
        <v>11</v>
      </c>
      <c r="I626" s="2">
        <v>53000</v>
      </c>
      <c r="J626" t="s">
        <v>28</v>
      </c>
      <c r="K626" s="3">
        <f t="shared" si="18"/>
        <v>159000</v>
      </c>
      <c r="L626" t="str">
        <f t="shared" si="19"/>
        <v>2025-03</v>
      </c>
    </row>
    <row r="627" spans="1:12" x14ac:dyDescent="0.25">
      <c r="A627">
        <v>1628</v>
      </c>
      <c r="B627">
        <v>77</v>
      </c>
      <c r="C627" t="str">
        <f>IFERROR(_xlfn.XLOOKUP(B627, Customer!A:A, Customer!B:B), "Unknown Customer")</f>
        <v>Iman Sadeghi</v>
      </c>
      <c r="D627" s="1">
        <v>45824</v>
      </c>
      <c r="E627" t="s">
        <v>16</v>
      </c>
      <c r="F627" t="s">
        <v>17</v>
      </c>
      <c r="G627">
        <v>4</v>
      </c>
      <c r="H627" t="s">
        <v>11</v>
      </c>
      <c r="I627" s="2">
        <v>75000</v>
      </c>
      <c r="J627" t="s">
        <v>15</v>
      </c>
      <c r="K627" s="3">
        <f t="shared" si="18"/>
        <v>300000</v>
      </c>
      <c r="L627" t="str">
        <f t="shared" si="19"/>
        <v>2025-06</v>
      </c>
    </row>
    <row r="628" spans="1:12" x14ac:dyDescent="0.25">
      <c r="A628">
        <v>1629</v>
      </c>
      <c r="B628">
        <v>9</v>
      </c>
      <c r="C628" t="str">
        <f>IFERROR(_xlfn.XLOOKUP(B628, Customer!A:A, Customer!B:B), "Unknown Customer")</f>
        <v>Farhad Zare</v>
      </c>
      <c r="D628" s="1">
        <v>45713</v>
      </c>
      <c r="E628" t="s">
        <v>20</v>
      </c>
      <c r="F628" t="s">
        <v>17</v>
      </c>
      <c r="G628">
        <v>1</v>
      </c>
      <c r="H628" t="s">
        <v>11</v>
      </c>
      <c r="I628" s="2">
        <v>50000</v>
      </c>
      <c r="J628" t="s">
        <v>19</v>
      </c>
      <c r="K628" s="3">
        <f t="shared" si="18"/>
        <v>50000</v>
      </c>
      <c r="L628" t="str">
        <f t="shared" si="19"/>
        <v>2025-02</v>
      </c>
    </row>
    <row r="629" spans="1:12" x14ac:dyDescent="0.25">
      <c r="A629">
        <v>1630</v>
      </c>
      <c r="B629">
        <v>28</v>
      </c>
      <c r="C629" t="str">
        <f>IFERROR(_xlfn.XLOOKUP(B629, Customer!A:A, Customer!B:B), "Unknown Customer")</f>
        <v>Yasaman Naderi</v>
      </c>
      <c r="D629" s="1">
        <v>45955</v>
      </c>
      <c r="E629" t="s">
        <v>13</v>
      </c>
      <c r="F629" t="s">
        <v>14</v>
      </c>
      <c r="G629">
        <v>-4</v>
      </c>
      <c r="H629" t="s">
        <v>26</v>
      </c>
      <c r="I629" s="2">
        <v>58000</v>
      </c>
      <c r="J629" t="s">
        <v>15</v>
      </c>
      <c r="K629" s="3">
        <f t="shared" si="18"/>
        <v>-232000</v>
      </c>
      <c r="L629" t="str">
        <f t="shared" si="19"/>
        <v>2025-10</v>
      </c>
    </row>
    <row r="630" spans="1:12" x14ac:dyDescent="0.25">
      <c r="A630">
        <v>1631</v>
      </c>
      <c r="B630">
        <v>69</v>
      </c>
      <c r="C630" t="str">
        <f>IFERROR(_xlfn.XLOOKUP(B630, Customer!A:A, Customer!B:B), "Unknown Customer")</f>
        <v>Mahsa Ebrahimi</v>
      </c>
      <c r="D630" s="1">
        <v>45857</v>
      </c>
      <c r="E630" t="s">
        <v>9</v>
      </c>
      <c r="F630" t="s">
        <v>10</v>
      </c>
      <c r="G630">
        <v>1</v>
      </c>
      <c r="H630" t="s">
        <v>11</v>
      </c>
      <c r="I630" s="2">
        <v>62000</v>
      </c>
      <c r="J630" t="s">
        <v>21</v>
      </c>
      <c r="K630" s="3">
        <f t="shared" si="18"/>
        <v>62000</v>
      </c>
      <c r="L630" t="str">
        <f t="shared" si="19"/>
        <v>2025-07</v>
      </c>
    </row>
    <row r="631" spans="1:12" x14ac:dyDescent="0.25">
      <c r="A631">
        <v>1632</v>
      </c>
      <c r="B631">
        <v>73</v>
      </c>
      <c r="C631" t="str">
        <f>IFERROR(_xlfn.XLOOKUP(B631, Customer!A:A, Customer!B:B), "Unknown Customer")</f>
        <v>Niloofar Ebrahimi</v>
      </c>
      <c r="D631" s="1">
        <v>45783</v>
      </c>
      <c r="E631" t="s">
        <v>27</v>
      </c>
      <c r="F631" t="s">
        <v>14</v>
      </c>
      <c r="G631">
        <v>1</v>
      </c>
      <c r="H631" t="s">
        <v>11</v>
      </c>
      <c r="I631" s="2">
        <v>40000</v>
      </c>
      <c r="J631" t="s">
        <v>24</v>
      </c>
      <c r="K631" s="3">
        <f t="shared" si="18"/>
        <v>40000</v>
      </c>
      <c r="L631" t="str">
        <f t="shared" si="19"/>
        <v>2025-05</v>
      </c>
    </row>
    <row r="632" spans="1:12" x14ac:dyDescent="0.25">
      <c r="A632">
        <v>1633</v>
      </c>
      <c r="B632">
        <v>110</v>
      </c>
      <c r="C632" t="str">
        <f>IFERROR(_xlfn.XLOOKUP(B632, Customer!A:A, Customer!B:B), "Unknown Customer")</f>
        <v>Parisa Mousavi</v>
      </c>
      <c r="D632" s="1">
        <v>45689</v>
      </c>
      <c r="E632" t="s">
        <v>9</v>
      </c>
      <c r="F632" t="s">
        <v>10</v>
      </c>
      <c r="G632">
        <v>1</v>
      </c>
      <c r="H632" t="s">
        <v>11</v>
      </c>
      <c r="I632" s="2">
        <v>67000</v>
      </c>
      <c r="J632" t="s">
        <v>21</v>
      </c>
      <c r="K632" s="3">
        <f t="shared" si="18"/>
        <v>67000</v>
      </c>
      <c r="L632" t="str">
        <f t="shared" si="19"/>
        <v>2025-02</v>
      </c>
    </row>
    <row r="633" spans="1:12" x14ac:dyDescent="0.25">
      <c r="A633">
        <v>1634</v>
      </c>
      <c r="B633">
        <v>111</v>
      </c>
      <c r="C633" t="str">
        <f>IFERROR(_xlfn.XLOOKUP(B633, Customer!A:A, Customer!B:B), "Unknown Customer")</f>
        <v>Sepideh Yousefi</v>
      </c>
      <c r="D633" s="1">
        <v>45662</v>
      </c>
      <c r="E633" t="s">
        <v>29</v>
      </c>
      <c r="F633" t="s">
        <v>14</v>
      </c>
      <c r="G633">
        <v>1</v>
      </c>
      <c r="H633" t="s">
        <v>11</v>
      </c>
      <c r="I633" s="2">
        <v>45000</v>
      </c>
      <c r="J633" t="s">
        <v>15</v>
      </c>
      <c r="K633" s="3">
        <f t="shared" si="18"/>
        <v>45000</v>
      </c>
      <c r="L633" t="str">
        <f t="shared" si="19"/>
        <v>2025-01</v>
      </c>
    </row>
    <row r="634" spans="1:12" x14ac:dyDescent="0.25">
      <c r="A634">
        <v>1635</v>
      </c>
      <c r="B634">
        <v>49</v>
      </c>
      <c r="C634" t="str">
        <f>IFERROR(_xlfn.XLOOKUP(B634, Customer!A:A, Customer!B:B), "Unknown Customer")</f>
        <v>Elham Karimi</v>
      </c>
      <c r="D634" s="1">
        <v>45937</v>
      </c>
      <c r="E634" t="s">
        <v>31</v>
      </c>
      <c r="F634" t="s">
        <v>17</v>
      </c>
      <c r="G634">
        <v>2</v>
      </c>
      <c r="H634" t="s">
        <v>11</v>
      </c>
      <c r="I634" s="2">
        <v>40000</v>
      </c>
      <c r="J634" t="s">
        <v>21</v>
      </c>
      <c r="K634" s="3">
        <f t="shared" si="18"/>
        <v>80000</v>
      </c>
      <c r="L634" t="str">
        <f t="shared" si="19"/>
        <v>2025-10</v>
      </c>
    </row>
    <row r="635" spans="1:12" x14ac:dyDescent="0.25">
      <c r="A635">
        <v>1636</v>
      </c>
      <c r="B635">
        <v>108</v>
      </c>
      <c r="C635" t="str">
        <f>IFERROR(_xlfn.XLOOKUP(B635, Customer!A:A, Customer!B:B), "Unknown Customer")</f>
        <v>Omid Kazemi</v>
      </c>
      <c r="D635" s="1">
        <v>45736</v>
      </c>
      <c r="E635" t="s">
        <v>31</v>
      </c>
      <c r="F635" t="s">
        <v>17</v>
      </c>
      <c r="G635">
        <v>1</v>
      </c>
      <c r="H635" t="s">
        <v>11</v>
      </c>
      <c r="I635" s="2">
        <v>35000</v>
      </c>
      <c r="J635" t="s">
        <v>24</v>
      </c>
      <c r="K635" s="3">
        <f t="shared" si="18"/>
        <v>35000</v>
      </c>
      <c r="L635" t="str">
        <f t="shared" si="19"/>
        <v>2025-03</v>
      </c>
    </row>
    <row r="636" spans="1:12" x14ac:dyDescent="0.25">
      <c r="A636">
        <v>1637</v>
      </c>
      <c r="B636">
        <v>93</v>
      </c>
      <c r="C636" t="str">
        <f>IFERROR(_xlfn.XLOOKUP(B636, Customer!A:A, Customer!B:B), "Unknown Customer")</f>
        <v>Sepideh Norouzi</v>
      </c>
      <c r="D636" s="1">
        <v>45994</v>
      </c>
      <c r="E636" t="s">
        <v>16</v>
      </c>
      <c r="F636" t="s">
        <v>17</v>
      </c>
      <c r="G636">
        <v>1</v>
      </c>
      <c r="H636" t="s">
        <v>11</v>
      </c>
      <c r="I636" s="2">
        <v>75000</v>
      </c>
      <c r="J636" t="s">
        <v>15</v>
      </c>
      <c r="K636" s="3">
        <f t="shared" si="18"/>
        <v>75000</v>
      </c>
      <c r="L636" t="str">
        <f t="shared" si="19"/>
        <v>2025-12</v>
      </c>
    </row>
    <row r="637" spans="1:12" x14ac:dyDescent="0.25">
      <c r="A637">
        <v>1638</v>
      </c>
      <c r="B637">
        <v>115</v>
      </c>
      <c r="C637" t="str">
        <f>IFERROR(_xlfn.XLOOKUP(B637, Customer!A:A, Customer!B:B), "Unknown Customer")</f>
        <v>Setareh Ahmadi</v>
      </c>
      <c r="D637" s="1">
        <v>45967</v>
      </c>
      <c r="E637" t="s">
        <v>22</v>
      </c>
      <c r="F637" t="s">
        <v>14</v>
      </c>
      <c r="G637">
        <v>2</v>
      </c>
      <c r="H637" t="s">
        <v>11</v>
      </c>
      <c r="I637" s="2">
        <v>65000</v>
      </c>
      <c r="J637" t="s">
        <v>15</v>
      </c>
      <c r="K637" s="3">
        <f t="shared" si="18"/>
        <v>130000</v>
      </c>
      <c r="L637" t="str">
        <f t="shared" si="19"/>
        <v>2025-11</v>
      </c>
    </row>
    <row r="638" spans="1:12" x14ac:dyDescent="0.25">
      <c r="A638">
        <v>1639</v>
      </c>
      <c r="B638">
        <v>46</v>
      </c>
      <c r="C638" t="str">
        <f>IFERROR(_xlfn.XLOOKUP(B638, Customer!A:A, Customer!B:B), "Unknown Customer")</f>
        <v>Mahsa Ghasemi</v>
      </c>
      <c r="D638" s="1">
        <v>45753</v>
      </c>
      <c r="E638" t="s">
        <v>30</v>
      </c>
      <c r="F638" t="s">
        <v>14</v>
      </c>
      <c r="G638">
        <v>2</v>
      </c>
      <c r="H638" t="s">
        <v>11</v>
      </c>
      <c r="I638" s="2">
        <v>48000</v>
      </c>
      <c r="J638" t="s">
        <v>12</v>
      </c>
      <c r="K638" s="3">
        <f t="shared" si="18"/>
        <v>96000</v>
      </c>
      <c r="L638" t="str">
        <f t="shared" si="19"/>
        <v>2025-04</v>
      </c>
    </row>
    <row r="639" spans="1:12" x14ac:dyDescent="0.25">
      <c r="A639">
        <v>1640</v>
      </c>
      <c r="B639">
        <v>65</v>
      </c>
      <c r="C639" t="str">
        <f>IFERROR(_xlfn.XLOOKUP(B639, Customer!A:A, Customer!B:B), "Unknown Customer")</f>
        <v>Yasaman Norouzi</v>
      </c>
      <c r="D639" s="1">
        <v>45868</v>
      </c>
      <c r="E639" t="s">
        <v>9</v>
      </c>
      <c r="F639" t="s">
        <v>10</v>
      </c>
      <c r="G639">
        <v>1</v>
      </c>
      <c r="H639" t="s">
        <v>11</v>
      </c>
      <c r="I639" s="2">
        <v>57000</v>
      </c>
      <c r="J639" t="s">
        <v>12</v>
      </c>
      <c r="K639" s="3">
        <f t="shared" si="18"/>
        <v>57000</v>
      </c>
      <c r="L639" t="str">
        <f t="shared" si="19"/>
        <v>2025-07</v>
      </c>
    </row>
    <row r="640" spans="1:12" x14ac:dyDescent="0.25">
      <c r="A640">
        <v>1641</v>
      </c>
      <c r="B640">
        <v>48</v>
      </c>
      <c r="C640" t="str">
        <f>IFERROR(_xlfn.XLOOKUP(B640, Customer!A:A, Customer!B:B), "Unknown Customer")</f>
        <v>Hamed Jafari</v>
      </c>
      <c r="D640" s="1">
        <v>45955</v>
      </c>
      <c r="E640" t="s">
        <v>18</v>
      </c>
      <c r="F640" t="s">
        <v>14</v>
      </c>
      <c r="G640">
        <v>1</v>
      </c>
      <c r="H640" t="s">
        <v>11</v>
      </c>
      <c r="I640" s="2">
        <v>60000</v>
      </c>
      <c r="J640" t="s">
        <v>28</v>
      </c>
      <c r="K640" s="3">
        <f t="shared" si="18"/>
        <v>60000</v>
      </c>
      <c r="L640" t="str">
        <f t="shared" si="19"/>
        <v>2025-10</v>
      </c>
    </row>
    <row r="641" spans="1:12" x14ac:dyDescent="0.25">
      <c r="A641">
        <v>1642</v>
      </c>
      <c r="B641">
        <v>11</v>
      </c>
      <c r="C641" t="str">
        <f>IFERROR(_xlfn.XLOOKUP(B641, Customer!A:A, Customer!B:B), "Unknown Customer")</f>
        <v>Leila Kazemi</v>
      </c>
      <c r="D641" s="1">
        <v>45970</v>
      </c>
      <c r="E641" t="s">
        <v>23</v>
      </c>
      <c r="F641" t="s">
        <v>17</v>
      </c>
      <c r="G641">
        <v>2</v>
      </c>
      <c r="H641" t="s">
        <v>11</v>
      </c>
      <c r="I641" s="2">
        <v>80000</v>
      </c>
      <c r="J641" t="s">
        <v>32</v>
      </c>
      <c r="K641" s="3">
        <f t="shared" si="18"/>
        <v>160000</v>
      </c>
      <c r="L641" t="str">
        <f t="shared" si="19"/>
        <v>2025-11</v>
      </c>
    </row>
    <row r="642" spans="1:12" x14ac:dyDescent="0.25">
      <c r="A642">
        <v>1643</v>
      </c>
      <c r="B642">
        <v>7</v>
      </c>
      <c r="C642" t="str">
        <f>IFERROR(_xlfn.XLOOKUP(B642, Customer!A:A, Customer!B:B), "Unknown Customer")</f>
        <v>Farhad Vakili</v>
      </c>
      <c r="D642" s="1">
        <v>45667</v>
      </c>
      <c r="E642" t="s">
        <v>25</v>
      </c>
      <c r="F642" t="s">
        <v>10</v>
      </c>
      <c r="G642">
        <v>2</v>
      </c>
      <c r="H642" t="s">
        <v>11</v>
      </c>
      <c r="I642" s="2">
        <v>70000</v>
      </c>
      <c r="J642" t="s">
        <v>15</v>
      </c>
      <c r="K642" s="3">
        <f t="shared" si="18"/>
        <v>140000</v>
      </c>
      <c r="L642" t="str">
        <f t="shared" si="19"/>
        <v>2025-01</v>
      </c>
    </row>
    <row r="643" spans="1:12" x14ac:dyDescent="0.25">
      <c r="A643">
        <v>1644</v>
      </c>
      <c r="B643">
        <v>46</v>
      </c>
      <c r="C643" t="str">
        <f>IFERROR(_xlfn.XLOOKUP(B643, Customer!A:A, Customer!B:B), "Unknown Customer")</f>
        <v>Mahsa Ghasemi</v>
      </c>
      <c r="D643" s="1">
        <v>45806</v>
      </c>
      <c r="E643" t="s">
        <v>9</v>
      </c>
      <c r="F643" t="s">
        <v>10</v>
      </c>
      <c r="G643">
        <v>3</v>
      </c>
      <c r="H643" t="s">
        <v>11</v>
      </c>
      <c r="I643" s="2">
        <v>67000</v>
      </c>
      <c r="J643" t="s">
        <v>12</v>
      </c>
      <c r="K643" s="3">
        <f t="shared" ref="K643:K706" si="20">G643*I643</f>
        <v>201000</v>
      </c>
      <c r="L643" t="str">
        <f t="shared" ref="L643:L706" si="21">TEXT(D643,"YYYY-MM")</f>
        <v>2025-05</v>
      </c>
    </row>
    <row r="644" spans="1:12" x14ac:dyDescent="0.25">
      <c r="A644">
        <v>1645</v>
      </c>
      <c r="B644">
        <v>101</v>
      </c>
      <c r="C644" t="str">
        <f>IFERROR(_xlfn.XLOOKUP(B644, Customer!A:A, Customer!B:B), "Unknown Customer")</f>
        <v>Niloofar Ghasemi</v>
      </c>
      <c r="D644" s="1">
        <v>45791</v>
      </c>
      <c r="E644" t="s">
        <v>20</v>
      </c>
      <c r="F644" t="s">
        <v>17</v>
      </c>
      <c r="G644">
        <v>2</v>
      </c>
      <c r="H644" t="s">
        <v>11</v>
      </c>
      <c r="I644" s="2">
        <v>50000</v>
      </c>
      <c r="J644" t="s">
        <v>12</v>
      </c>
      <c r="K644" s="3">
        <f t="shared" si="20"/>
        <v>100000</v>
      </c>
      <c r="L644" t="str">
        <f t="shared" si="21"/>
        <v>2025-05</v>
      </c>
    </row>
    <row r="645" spans="1:12" x14ac:dyDescent="0.25">
      <c r="A645">
        <v>1647</v>
      </c>
      <c r="B645">
        <v>33</v>
      </c>
      <c r="C645" t="str">
        <f>IFERROR(_xlfn.XLOOKUP(B645, Customer!A:A, Customer!B:B), "Unknown Customer")</f>
        <v>Niloofar Zare</v>
      </c>
      <c r="D645" s="1">
        <v>46002</v>
      </c>
      <c r="E645" t="s">
        <v>13</v>
      </c>
      <c r="F645" t="s">
        <v>14</v>
      </c>
      <c r="G645">
        <v>4</v>
      </c>
      <c r="H645" t="s">
        <v>11</v>
      </c>
      <c r="I645" s="2">
        <v>58000</v>
      </c>
      <c r="J645" t="s">
        <v>28</v>
      </c>
      <c r="K645" s="3">
        <f t="shared" si="20"/>
        <v>232000</v>
      </c>
      <c r="L645" t="str">
        <f t="shared" si="21"/>
        <v>2025-12</v>
      </c>
    </row>
    <row r="646" spans="1:12" x14ac:dyDescent="0.25">
      <c r="A646">
        <v>1648</v>
      </c>
      <c r="B646">
        <v>23</v>
      </c>
      <c r="C646" t="str">
        <f>IFERROR(_xlfn.XLOOKUP(B646, Customer!A:A, Customer!B:B), "Unknown Customer")</f>
        <v>Milad Rezaei</v>
      </c>
      <c r="D646" s="1">
        <v>45735</v>
      </c>
      <c r="E646" t="s">
        <v>20</v>
      </c>
      <c r="F646" t="s">
        <v>17</v>
      </c>
      <c r="G646">
        <v>1</v>
      </c>
      <c r="H646" t="s">
        <v>11</v>
      </c>
      <c r="I646" s="2">
        <v>50000</v>
      </c>
      <c r="J646" t="s">
        <v>15</v>
      </c>
      <c r="K646" s="3">
        <f t="shared" si="20"/>
        <v>50000</v>
      </c>
      <c r="L646" t="str">
        <f t="shared" si="21"/>
        <v>2025-03</v>
      </c>
    </row>
    <row r="647" spans="1:12" x14ac:dyDescent="0.25">
      <c r="A647">
        <v>1649</v>
      </c>
      <c r="B647">
        <v>24</v>
      </c>
      <c r="C647" t="str">
        <f>IFERROR(_xlfn.XLOOKUP(B647, Customer!A:A, Customer!B:B), "Unknown Customer")</f>
        <v>Farhad Sadeghi</v>
      </c>
      <c r="D647" s="1">
        <v>45674</v>
      </c>
      <c r="E647" t="s">
        <v>23</v>
      </c>
      <c r="F647" t="s">
        <v>17</v>
      </c>
      <c r="G647">
        <v>1</v>
      </c>
      <c r="H647" t="s">
        <v>11</v>
      </c>
      <c r="I647" s="2">
        <v>90000</v>
      </c>
      <c r="J647" t="s">
        <v>15</v>
      </c>
      <c r="K647" s="3">
        <f t="shared" si="20"/>
        <v>90000</v>
      </c>
      <c r="L647" t="str">
        <f t="shared" si="21"/>
        <v>2025-01</v>
      </c>
    </row>
    <row r="648" spans="1:12" x14ac:dyDescent="0.25">
      <c r="A648">
        <v>1650</v>
      </c>
      <c r="B648">
        <v>99</v>
      </c>
      <c r="C648" t="str">
        <f>IFERROR(_xlfn.XLOOKUP(B648, Customer!A:A, Customer!B:B), "Unknown Customer")</f>
        <v>Behnam Ahmadi</v>
      </c>
      <c r="D648" s="1">
        <v>45693</v>
      </c>
      <c r="E648" t="s">
        <v>31</v>
      </c>
      <c r="F648" t="s">
        <v>17</v>
      </c>
      <c r="G648">
        <v>3</v>
      </c>
      <c r="H648" t="s">
        <v>11</v>
      </c>
      <c r="I648" s="2">
        <v>40000</v>
      </c>
      <c r="J648" t="s">
        <v>19</v>
      </c>
      <c r="K648" s="3">
        <f t="shared" si="20"/>
        <v>120000</v>
      </c>
      <c r="L648" t="str">
        <f t="shared" si="21"/>
        <v>2025-02</v>
      </c>
    </row>
    <row r="649" spans="1:12" x14ac:dyDescent="0.25">
      <c r="A649">
        <v>1651</v>
      </c>
      <c r="B649">
        <v>83</v>
      </c>
      <c r="C649" t="str">
        <f>IFERROR(_xlfn.XLOOKUP(B649, Customer!A:A, Customer!B:B), "Unknown Customer")</f>
        <v>Roya Yousefi</v>
      </c>
      <c r="D649" s="1">
        <v>45717</v>
      </c>
      <c r="E649" t="s">
        <v>9</v>
      </c>
      <c r="F649" t="s">
        <v>10</v>
      </c>
      <c r="G649">
        <v>2</v>
      </c>
      <c r="H649" t="s">
        <v>11</v>
      </c>
      <c r="I649" s="2">
        <v>62000</v>
      </c>
      <c r="J649" t="s">
        <v>15</v>
      </c>
      <c r="K649" s="3">
        <f t="shared" si="20"/>
        <v>124000</v>
      </c>
      <c r="L649" t="str">
        <f t="shared" si="21"/>
        <v>2025-03</v>
      </c>
    </row>
    <row r="650" spans="1:12" x14ac:dyDescent="0.25">
      <c r="A650">
        <v>1652</v>
      </c>
      <c r="B650">
        <v>96</v>
      </c>
      <c r="C650" t="str">
        <f>IFERROR(_xlfn.XLOOKUP(B650, Customer!A:A, Customer!B:B), "Unknown Customer")</f>
        <v>Milad Norouzi</v>
      </c>
      <c r="D650" s="1">
        <v>45777</v>
      </c>
      <c r="E650" t="s">
        <v>23</v>
      </c>
      <c r="F650" t="s">
        <v>17</v>
      </c>
      <c r="G650">
        <v>2</v>
      </c>
      <c r="H650" t="s">
        <v>11</v>
      </c>
      <c r="I650" s="2">
        <v>85000</v>
      </c>
      <c r="J650" t="s">
        <v>19</v>
      </c>
      <c r="K650" s="3">
        <f t="shared" si="20"/>
        <v>170000</v>
      </c>
      <c r="L650" t="str">
        <f t="shared" si="21"/>
        <v>2025-04</v>
      </c>
    </row>
    <row r="651" spans="1:12" x14ac:dyDescent="0.25">
      <c r="A651">
        <v>1653</v>
      </c>
      <c r="B651">
        <v>37</v>
      </c>
      <c r="C651" t="str">
        <f>IFERROR(_xlfn.XLOOKUP(B651, Customer!A:A, Customer!B:B), "Unknown Customer")</f>
        <v>Omid Sadeghi</v>
      </c>
      <c r="D651" s="1">
        <v>45853</v>
      </c>
      <c r="E651" t="s">
        <v>16</v>
      </c>
      <c r="F651" t="s">
        <v>17</v>
      </c>
      <c r="G651">
        <v>2</v>
      </c>
      <c r="H651" t="s">
        <v>11</v>
      </c>
      <c r="I651" s="2">
        <v>70000</v>
      </c>
      <c r="J651" t="s">
        <v>15</v>
      </c>
      <c r="K651" s="3">
        <f t="shared" si="20"/>
        <v>140000</v>
      </c>
      <c r="L651" t="str">
        <f t="shared" si="21"/>
        <v>2025-07</v>
      </c>
    </row>
    <row r="652" spans="1:12" x14ac:dyDescent="0.25">
      <c r="A652">
        <v>1654</v>
      </c>
      <c r="B652">
        <v>79</v>
      </c>
      <c r="C652" t="str">
        <f>IFERROR(_xlfn.XLOOKUP(B652, Customer!A:A, Customer!B:B), "Unknown Customer")</f>
        <v>Niloofar Ahmadi</v>
      </c>
      <c r="D652" s="1">
        <v>45797</v>
      </c>
      <c r="E652" t="s">
        <v>27</v>
      </c>
      <c r="F652" t="s">
        <v>14</v>
      </c>
      <c r="G652">
        <v>1</v>
      </c>
      <c r="H652" t="s">
        <v>11</v>
      </c>
      <c r="I652" s="2">
        <v>30000</v>
      </c>
      <c r="J652" t="s">
        <v>15</v>
      </c>
      <c r="K652" s="3">
        <f t="shared" si="20"/>
        <v>30000</v>
      </c>
      <c r="L652" t="str">
        <f t="shared" si="21"/>
        <v>2025-05</v>
      </c>
    </row>
    <row r="653" spans="1:12" x14ac:dyDescent="0.25">
      <c r="A653">
        <v>1655</v>
      </c>
      <c r="B653">
        <v>99</v>
      </c>
      <c r="C653" t="str">
        <f>IFERROR(_xlfn.XLOOKUP(B653, Customer!A:A, Customer!B:B), "Unknown Customer")</f>
        <v>Behnam Ahmadi</v>
      </c>
      <c r="D653" s="1">
        <v>45781</v>
      </c>
      <c r="E653" t="s">
        <v>27</v>
      </c>
      <c r="F653" t="s">
        <v>14</v>
      </c>
      <c r="G653">
        <v>2</v>
      </c>
      <c r="H653" t="s">
        <v>11</v>
      </c>
      <c r="I653" s="2">
        <v>35000</v>
      </c>
      <c r="J653" t="s">
        <v>21</v>
      </c>
      <c r="K653" s="3">
        <f t="shared" si="20"/>
        <v>70000</v>
      </c>
      <c r="L653" t="str">
        <f t="shared" si="21"/>
        <v>2025-05</v>
      </c>
    </row>
    <row r="654" spans="1:12" x14ac:dyDescent="0.25">
      <c r="A654">
        <v>1656</v>
      </c>
      <c r="B654">
        <v>71</v>
      </c>
      <c r="C654" t="str">
        <f>IFERROR(_xlfn.XLOOKUP(B654, Customer!A:A, Customer!B:B), "Unknown Customer")</f>
        <v>Milad Mousavi</v>
      </c>
      <c r="D654" s="1">
        <v>46002</v>
      </c>
      <c r="E654" t="s">
        <v>29</v>
      </c>
      <c r="F654" t="s">
        <v>14</v>
      </c>
      <c r="G654">
        <v>1</v>
      </c>
      <c r="H654" t="s">
        <v>11</v>
      </c>
      <c r="I654" s="2">
        <v>45000</v>
      </c>
      <c r="J654" t="s">
        <v>12</v>
      </c>
      <c r="K654" s="3">
        <f t="shared" si="20"/>
        <v>45000</v>
      </c>
      <c r="L654" t="str">
        <f t="shared" si="21"/>
        <v>2025-12</v>
      </c>
    </row>
    <row r="655" spans="1:12" x14ac:dyDescent="0.25">
      <c r="A655">
        <v>1657</v>
      </c>
      <c r="B655">
        <v>58</v>
      </c>
      <c r="C655" t="str">
        <f>IFERROR(_xlfn.XLOOKUP(B655, Customer!A:A, Customer!B:B), "Unknown Customer")</f>
        <v>Mona Moradi</v>
      </c>
      <c r="D655" s="1">
        <v>45770</v>
      </c>
      <c r="E655" t="s">
        <v>25</v>
      </c>
      <c r="F655" t="s">
        <v>10</v>
      </c>
      <c r="G655">
        <v>1</v>
      </c>
      <c r="H655" t="s">
        <v>11</v>
      </c>
      <c r="I655" s="2">
        <v>65000</v>
      </c>
      <c r="J655" t="s">
        <v>28</v>
      </c>
      <c r="K655" s="3">
        <f t="shared" si="20"/>
        <v>65000</v>
      </c>
      <c r="L655" t="str">
        <f t="shared" si="21"/>
        <v>2025-04</v>
      </c>
    </row>
    <row r="656" spans="1:12" x14ac:dyDescent="0.25">
      <c r="A656">
        <v>1658</v>
      </c>
      <c r="B656">
        <v>12</v>
      </c>
      <c r="C656" t="str">
        <f>IFERROR(_xlfn.XLOOKUP(B656, Customer!A:A, Customer!B:B), "Unknown Customer")</f>
        <v>Golnaz Karimi</v>
      </c>
      <c r="D656" s="1">
        <v>45962</v>
      </c>
      <c r="E656" t="s">
        <v>29</v>
      </c>
      <c r="F656" t="s">
        <v>14</v>
      </c>
      <c r="G656">
        <v>2</v>
      </c>
      <c r="H656" t="s">
        <v>11</v>
      </c>
      <c r="I656" s="2">
        <v>40000</v>
      </c>
      <c r="J656" t="s">
        <v>19</v>
      </c>
      <c r="K656" s="3">
        <f t="shared" si="20"/>
        <v>80000</v>
      </c>
      <c r="L656" t="str">
        <f t="shared" si="21"/>
        <v>2025-11</v>
      </c>
    </row>
    <row r="657" spans="1:12" x14ac:dyDescent="0.25">
      <c r="A657">
        <v>1659</v>
      </c>
      <c r="B657">
        <v>110</v>
      </c>
      <c r="C657" t="str">
        <f>IFERROR(_xlfn.XLOOKUP(B657, Customer!A:A, Customer!B:B), "Unknown Customer")</f>
        <v>Parisa Mousavi</v>
      </c>
      <c r="D657" s="1">
        <v>45724</v>
      </c>
      <c r="E657" t="s">
        <v>20</v>
      </c>
      <c r="F657" t="s">
        <v>17</v>
      </c>
      <c r="G657">
        <v>1</v>
      </c>
      <c r="H657" t="s">
        <v>11</v>
      </c>
      <c r="I657" s="2">
        <v>50000</v>
      </c>
      <c r="J657" t="s">
        <v>15</v>
      </c>
      <c r="K657" s="3">
        <f t="shared" si="20"/>
        <v>50000</v>
      </c>
      <c r="L657" t="str">
        <f t="shared" si="21"/>
        <v>2025-03</v>
      </c>
    </row>
    <row r="658" spans="1:12" x14ac:dyDescent="0.25">
      <c r="A658">
        <v>1660</v>
      </c>
      <c r="B658">
        <v>85</v>
      </c>
      <c r="C658" t="str">
        <f>IFERROR(_xlfn.XLOOKUP(B658, Customer!A:A, Customer!B:B), "Unknown Customer")</f>
        <v>Sepideh Yousefi</v>
      </c>
      <c r="D658" s="1">
        <v>45985</v>
      </c>
      <c r="E658" t="s">
        <v>18</v>
      </c>
      <c r="F658" t="s">
        <v>14</v>
      </c>
      <c r="G658">
        <v>4</v>
      </c>
      <c r="H658" t="s">
        <v>11</v>
      </c>
      <c r="I658" s="2">
        <v>55000</v>
      </c>
      <c r="J658" t="s">
        <v>21</v>
      </c>
      <c r="K658" s="3">
        <f t="shared" si="20"/>
        <v>220000</v>
      </c>
      <c r="L658" t="str">
        <f t="shared" si="21"/>
        <v>2025-11</v>
      </c>
    </row>
    <row r="659" spans="1:12" x14ac:dyDescent="0.25">
      <c r="A659">
        <v>1661</v>
      </c>
      <c r="B659">
        <v>21</v>
      </c>
      <c r="C659" t="str">
        <f>IFERROR(_xlfn.XLOOKUP(B659, Customer!A:A, Customer!B:B), "Unknown Customer")</f>
        <v>Sina Naderi</v>
      </c>
      <c r="D659" s="1">
        <v>45799</v>
      </c>
      <c r="E659" t="s">
        <v>18</v>
      </c>
      <c r="F659" t="s">
        <v>14</v>
      </c>
      <c r="G659">
        <v>2</v>
      </c>
      <c r="H659" t="s">
        <v>11</v>
      </c>
      <c r="I659" s="2">
        <v>55000</v>
      </c>
      <c r="J659" t="s">
        <v>21</v>
      </c>
      <c r="K659" s="3">
        <f t="shared" si="20"/>
        <v>110000</v>
      </c>
      <c r="L659" t="str">
        <f t="shared" si="21"/>
        <v>2025-05</v>
      </c>
    </row>
    <row r="660" spans="1:12" x14ac:dyDescent="0.25">
      <c r="A660">
        <v>1662</v>
      </c>
      <c r="B660">
        <v>23</v>
      </c>
      <c r="C660" t="str">
        <f>IFERROR(_xlfn.XLOOKUP(B660, Customer!A:A, Customer!B:B), "Unknown Customer")</f>
        <v>Milad Rezaei</v>
      </c>
      <c r="D660" s="1">
        <v>45693</v>
      </c>
      <c r="E660" t="s">
        <v>16</v>
      </c>
      <c r="F660" t="s">
        <v>17</v>
      </c>
      <c r="G660">
        <v>2</v>
      </c>
      <c r="H660" t="s">
        <v>11</v>
      </c>
      <c r="I660" s="2">
        <v>75000</v>
      </c>
      <c r="J660" t="s">
        <v>19</v>
      </c>
      <c r="K660" s="3">
        <f t="shared" si="20"/>
        <v>150000</v>
      </c>
      <c r="L660" t="str">
        <f t="shared" si="21"/>
        <v>2025-02</v>
      </c>
    </row>
    <row r="661" spans="1:12" x14ac:dyDescent="0.25">
      <c r="A661">
        <v>1663</v>
      </c>
      <c r="B661">
        <v>19</v>
      </c>
      <c r="C661" t="str">
        <f>IFERROR(_xlfn.XLOOKUP(B661, Customer!A:A, Customer!B:B), "Unknown Customer")</f>
        <v>Leila Sadeghi</v>
      </c>
      <c r="D661" s="1">
        <v>45878</v>
      </c>
      <c r="E661" t="s">
        <v>23</v>
      </c>
      <c r="F661" t="s">
        <v>17</v>
      </c>
      <c r="G661">
        <v>2</v>
      </c>
      <c r="H661" t="s">
        <v>11</v>
      </c>
      <c r="I661" s="2">
        <v>85000</v>
      </c>
      <c r="J661" t="s">
        <v>19</v>
      </c>
      <c r="K661" s="3">
        <f t="shared" si="20"/>
        <v>170000</v>
      </c>
      <c r="L661" t="str">
        <f t="shared" si="21"/>
        <v>2025-08</v>
      </c>
    </row>
    <row r="662" spans="1:12" x14ac:dyDescent="0.25">
      <c r="A662">
        <v>1664</v>
      </c>
      <c r="B662">
        <v>10</v>
      </c>
      <c r="C662" t="str">
        <f>IFERROR(_xlfn.XLOOKUP(B662, Customer!A:A, Customer!B:B), "Unknown Customer")</f>
        <v>Sepideh Rostami</v>
      </c>
      <c r="D662" s="1">
        <v>45786</v>
      </c>
      <c r="E662" t="s">
        <v>20</v>
      </c>
      <c r="F662" t="s">
        <v>17</v>
      </c>
      <c r="G662">
        <v>2</v>
      </c>
      <c r="H662" t="s">
        <v>11</v>
      </c>
      <c r="I662" s="2">
        <v>50000</v>
      </c>
      <c r="J662" t="s">
        <v>19</v>
      </c>
      <c r="K662" s="3">
        <f t="shared" si="20"/>
        <v>100000</v>
      </c>
      <c r="L662" t="str">
        <f t="shared" si="21"/>
        <v>2025-05</v>
      </c>
    </row>
    <row r="663" spans="1:12" x14ac:dyDescent="0.25">
      <c r="A663">
        <v>1665</v>
      </c>
      <c r="B663">
        <v>86</v>
      </c>
      <c r="C663" t="str">
        <f>IFERROR(_xlfn.XLOOKUP(B663, Customer!A:A, Customer!B:B), "Unknown Customer")</f>
        <v>Payam Fallahi</v>
      </c>
      <c r="D663" s="1">
        <v>45794</v>
      </c>
      <c r="E663" t="s">
        <v>31</v>
      </c>
      <c r="F663" t="s">
        <v>17</v>
      </c>
      <c r="G663">
        <v>2</v>
      </c>
      <c r="H663" t="s">
        <v>11</v>
      </c>
      <c r="I663" s="2">
        <v>45000</v>
      </c>
      <c r="J663" t="s">
        <v>15</v>
      </c>
      <c r="K663" s="3">
        <f t="shared" si="20"/>
        <v>90000</v>
      </c>
      <c r="L663" t="str">
        <f t="shared" si="21"/>
        <v>2025-05</v>
      </c>
    </row>
    <row r="664" spans="1:12" x14ac:dyDescent="0.25">
      <c r="A664">
        <v>1666</v>
      </c>
      <c r="B664">
        <v>56</v>
      </c>
      <c r="C664" t="str">
        <f>IFERROR(_xlfn.XLOOKUP(B664, Customer!A:A, Customer!B:B), "Unknown Customer")</f>
        <v>Tara Jafari</v>
      </c>
      <c r="D664" s="1">
        <v>45693</v>
      </c>
      <c r="E664" t="s">
        <v>31</v>
      </c>
      <c r="F664" t="s">
        <v>17</v>
      </c>
      <c r="G664">
        <v>1</v>
      </c>
      <c r="H664" t="s">
        <v>11</v>
      </c>
      <c r="I664" s="2">
        <v>40000</v>
      </c>
      <c r="J664" t="s">
        <v>19</v>
      </c>
      <c r="K664" s="3">
        <f t="shared" si="20"/>
        <v>40000</v>
      </c>
      <c r="L664" t="str">
        <f t="shared" si="21"/>
        <v>2025-02</v>
      </c>
    </row>
    <row r="665" spans="1:12" x14ac:dyDescent="0.25">
      <c r="A665">
        <v>1667</v>
      </c>
      <c r="B665">
        <v>73</v>
      </c>
      <c r="C665" t="str">
        <f>IFERROR(_xlfn.XLOOKUP(B665, Customer!A:A, Customer!B:B), "Unknown Customer")</f>
        <v>Niloofar Ebrahimi</v>
      </c>
      <c r="D665" s="1">
        <v>45723</v>
      </c>
      <c r="E665" t="s">
        <v>23</v>
      </c>
      <c r="F665" t="s">
        <v>17</v>
      </c>
      <c r="G665">
        <v>2</v>
      </c>
      <c r="H665" t="s">
        <v>11</v>
      </c>
      <c r="I665" s="2">
        <v>80000</v>
      </c>
      <c r="J665" t="s">
        <v>21</v>
      </c>
      <c r="K665" s="3">
        <f t="shared" si="20"/>
        <v>160000</v>
      </c>
      <c r="L665" t="str">
        <f t="shared" si="21"/>
        <v>2025-03</v>
      </c>
    </row>
    <row r="666" spans="1:12" x14ac:dyDescent="0.25">
      <c r="A666">
        <v>1668</v>
      </c>
      <c r="B666">
        <v>69</v>
      </c>
      <c r="C666" t="str">
        <f>IFERROR(_xlfn.XLOOKUP(B666, Customer!A:A, Customer!B:B), "Unknown Customer")</f>
        <v>Mahsa Ebrahimi</v>
      </c>
      <c r="D666" s="1">
        <v>45963</v>
      </c>
      <c r="E666" t="s">
        <v>25</v>
      </c>
      <c r="F666" t="s">
        <v>10</v>
      </c>
      <c r="G666">
        <v>3</v>
      </c>
      <c r="H666" t="s">
        <v>11</v>
      </c>
      <c r="I666" s="2">
        <v>65000</v>
      </c>
      <c r="J666" t="s">
        <v>15</v>
      </c>
      <c r="K666" s="3">
        <f t="shared" si="20"/>
        <v>195000</v>
      </c>
      <c r="L666" t="str">
        <f t="shared" si="21"/>
        <v>2025-11</v>
      </c>
    </row>
    <row r="667" spans="1:12" x14ac:dyDescent="0.25">
      <c r="A667">
        <v>1669</v>
      </c>
      <c r="B667">
        <v>85</v>
      </c>
      <c r="C667" t="str">
        <f>IFERROR(_xlfn.XLOOKUP(B667, Customer!A:A, Customer!B:B), "Unknown Customer")</f>
        <v>Sepideh Yousefi</v>
      </c>
      <c r="D667" s="1">
        <v>45722</v>
      </c>
      <c r="E667" t="s">
        <v>30</v>
      </c>
      <c r="F667" t="s">
        <v>14</v>
      </c>
      <c r="G667">
        <v>1</v>
      </c>
      <c r="H667" t="s">
        <v>11</v>
      </c>
      <c r="I667" s="2">
        <v>48000</v>
      </c>
      <c r="J667" t="s">
        <v>12</v>
      </c>
      <c r="K667" s="3">
        <f t="shared" si="20"/>
        <v>48000</v>
      </c>
      <c r="L667" t="str">
        <f t="shared" si="21"/>
        <v>2025-03</v>
      </c>
    </row>
    <row r="668" spans="1:12" x14ac:dyDescent="0.25">
      <c r="A668">
        <v>1670</v>
      </c>
      <c r="B668">
        <v>57</v>
      </c>
      <c r="C668" t="str">
        <f>IFERROR(_xlfn.XLOOKUP(B668, Customer!A:A, Customer!B:B), "Unknown Customer")</f>
        <v>Parisa Sadeghi</v>
      </c>
      <c r="D668" s="1">
        <v>45755</v>
      </c>
      <c r="E668" t="s">
        <v>22</v>
      </c>
      <c r="F668" t="s">
        <v>14</v>
      </c>
      <c r="G668">
        <v>1</v>
      </c>
      <c r="H668" t="s">
        <v>11</v>
      </c>
      <c r="I668" s="2">
        <v>55000</v>
      </c>
      <c r="J668" t="s">
        <v>15</v>
      </c>
      <c r="K668" s="3">
        <f t="shared" si="20"/>
        <v>55000</v>
      </c>
      <c r="L668" t="str">
        <f t="shared" si="21"/>
        <v>2025-04</v>
      </c>
    </row>
    <row r="669" spans="1:12" x14ac:dyDescent="0.25">
      <c r="A669">
        <v>1671</v>
      </c>
      <c r="B669">
        <v>50</v>
      </c>
      <c r="C669" t="str">
        <f>IFERROR(_xlfn.XLOOKUP(B669, Customer!A:A, Customer!B:B), "Unknown Customer")</f>
        <v>Mona Naderi</v>
      </c>
      <c r="D669" s="1">
        <v>45757</v>
      </c>
      <c r="E669" t="s">
        <v>18</v>
      </c>
      <c r="F669" t="s">
        <v>14</v>
      </c>
      <c r="G669">
        <v>2</v>
      </c>
      <c r="H669" t="s">
        <v>11</v>
      </c>
      <c r="I669" s="2">
        <v>60000</v>
      </c>
      <c r="J669" t="s">
        <v>19</v>
      </c>
      <c r="K669" s="3">
        <f t="shared" si="20"/>
        <v>120000</v>
      </c>
      <c r="L669" t="str">
        <f t="shared" si="21"/>
        <v>2025-04</v>
      </c>
    </row>
    <row r="670" spans="1:12" x14ac:dyDescent="0.25">
      <c r="A670">
        <v>1672</v>
      </c>
      <c r="B670">
        <v>44</v>
      </c>
      <c r="C670" t="str">
        <f>IFERROR(_xlfn.XLOOKUP(B670, Customer!A:A, Customer!B:B), "Unknown Customer")</f>
        <v>Payam Abbasi</v>
      </c>
      <c r="D670" s="1">
        <v>45830</v>
      </c>
      <c r="E670" t="s">
        <v>29</v>
      </c>
      <c r="F670" t="s">
        <v>14</v>
      </c>
      <c r="G670">
        <v>2</v>
      </c>
      <c r="H670" t="s">
        <v>11</v>
      </c>
      <c r="I670" s="2">
        <v>40000</v>
      </c>
      <c r="J670" t="s">
        <v>12</v>
      </c>
      <c r="K670" s="3">
        <f t="shared" si="20"/>
        <v>80000</v>
      </c>
      <c r="L670" t="str">
        <f t="shared" si="21"/>
        <v>2025-06</v>
      </c>
    </row>
    <row r="671" spans="1:12" x14ac:dyDescent="0.25">
      <c r="A671">
        <v>1673</v>
      </c>
      <c r="B671">
        <v>112</v>
      </c>
      <c r="C671" t="str">
        <f>IFERROR(_xlfn.XLOOKUP(B671, Customer!A:A, Customer!B:B), "Unknown Customer")</f>
        <v>Amir Fallahi</v>
      </c>
      <c r="D671" s="1">
        <v>45734</v>
      </c>
      <c r="E671" t="s">
        <v>23</v>
      </c>
      <c r="F671" t="s">
        <v>17</v>
      </c>
      <c r="G671">
        <v>1</v>
      </c>
      <c r="H671" t="s">
        <v>11</v>
      </c>
      <c r="I671" s="2">
        <v>80000</v>
      </c>
      <c r="J671" t="s">
        <v>15</v>
      </c>
      <c r="K671" s="3">
        <f t="shared" si="20"/>
        <v>80000</v>
      </c>
      <c r="L671" t="str">
        <f t="shared" si="21"/>
        <v>2025-03</v>
      </c>
    </row>
    <row r="672" spans="1:12" x14ac:dyDescent="0.25">
      <c r="A672">
        <v>1674</v>
      </c>
      <c r="B672">
        <v>84</v>
      </c>
      <c r="C672" t="str">
        <f>IFERROR(_xlfn.XLOOKUP(B672, Customer!A:A, Customer!B:B), "Unknown Customer")</f>
        <v>Setareh Moradi</v>
      </c>
      <c r="D672" s="1">
        <v>45899</v>
      </c>
      <c r="E672" t="s">
        <v>29</v>
      </c>
      <c r="F672" t="s">
        <v>14</v>
      </c>
      <c r="G672">
        <v>1</v>
      </c>
      <c r="H672" t="s">
        <v>11</v>
      </c>
      <c r="I672" s="2">
        <v>45000</v>
      </c>
      <c r="J672" t="s">
        <v>12</v>
      </c>
      <c r="K672" s="3">
        <f t="shared" si="20"/>
        <v>45000</v>
      </c>
      <c r="L672" t="str">
        <f t="shared" si="21"/>
        <v>2025-08</v>
      </c>
    </row>
    <row r="673" spans="1:12" x14ac:dyDescent="0.25">
      <c r="A673">
        <v>1675</v>
      </c>
      <c r="B673">
        <v>7</v>
      </c>
      <c r="C673" t="str">
        <f>IFERROR(_xlfn.XLOOKUP(B673, Customer!A:A, Customer!B:B), "Unknown Customer")</f>
        <v>Farhad Vakili</v>
      </c>
      <c r="D673" s="1">
        <v>45707</v>
      </c>
      <c r="E673" t="s">
        <v>9</v>
      </c>
      <c r="F673" t="s">
        <v>10</v>
      </c>
      <c r="G673">
        <v>4</v>
      </c>
      <c r="H673" t="s">
        <v>11</v>
      </c>
      <c r="I673" s="2">
        <v>67000</v>
      </c>
      <c r="J673" t="s">
        <v>19</v>
      </c>
      <c r="K673" s="3">
        <f t="shared" si="20"/>
        <v>268000</v>
      </c>
      <c r="L673" t="str">
        <f t="shared" si="21"/>
        <v>2025-02</v>
      </c>
    </row>
    <row r="674" spans="1:12" x14ac:dyDescent="0.25">
      <c r="A674">
        <v>1676</v>
      </c>
      <c r="B674">
        <v>64</v>
      </c>
      <c r="C674" t="str">
        <f>IFERROR(_xlfn.XLOOKUP(B674, Customer!A:A, Customer!B:B), "Unknown Customer")</f>
        <v>Milad Yousefi</v>
      </c>
      <c r="D674" s="1">
        <v>45973</v>
      </c>
      <c r="E674" t="s">
        <v>20</v>
      </c>
      <c r="F674" t="s">
        <v>17</v>
      </c>
      <c r="G674">
        <v>1</v>
      </c>
      <c r="H674" t="s">
        <v>11</v>
      </c>
      <c r="I674" s="2">
        <v>50000</v>
      </c>
      <c r="J674" t="s">
        <v>12</v>
      </c>
      <c r="K674" s="3">
        <f t="shared" si="20"/>
        <v>50000</v>
      </c>
      <c r="L674" t="str">
        <f t="shared" si="21"/>
        <v>2025-11</v>
      </c>
    </row>
    <row r="675" spans="1:12" x14ac:dyDescent="0.25">
      <c r="A675">
        <v>1677</v>
      </c>
      <c r="B675">
        <v>87</v>
      </c>
      <c r="C675" t="str">
        <f>IFERROR(_xlfn.XLOOKUP(B675, Customer!A:A, Customer!B:B), "Unknown Customer")</f>
        <v>Sepideh Abbasi</v>
      </c>
      <c r="D675" s="1">
        <v>45824</v>
      </c>
      <c r="E675" t="s">
        <v>31</v>
      </c>
      <c r="F675" t="s">
        <v>17</v>
      </c>
      <c r="G675">
        <v>1</v>
      </c>
      <c r="H675" t="s">
        <v>11</v>
      </c>
      <c r="I675" s="2">
        <v>40000</v>
      </c>
      <c r="J675" t="s">
        <v>21</v>
      </c>
      <c r="K675" s="3">
        <f t="shared" si="20"/>
        <v>40000</v>
      </c>
      <c r="L675" t="str">
        <f t="shared" si="21"/>
        <v>2025-06</v>
      </c>
    </row>
    <row r="676" spans="1:12" x14ac:dyDescent="0.25">
      <c r="A676">
        <v>1678</v>
      </c>
      <c r="B676">
        <v>9</v>
      </c>
      <c r="C676" t="str">
        <f>IFERROR(_xlfn.XLOOKUP(B676, Customer!A:A, Customer!B:B), "Unknown Customer")</f>
        <v>Farhad Zare</v>
      </c>
      <c r="D676" s="1">
        <v>45798</v>
      </c>
      <c r="E676" t="s">
        <v>18</v>
      </c>
      <c r="F676" t="s">
        <v>14</v>
      </c>
      <c r="G676">
        <v>1</v>
      </c>
      <c r="H676" t="s">
        <v>11</v>
      </c>
      <c r="I676" s="2">
        <v>55000</v>
      </c>
      <c r="J676" t="s">
        <v>15</v>
      </c>
      <c r="K676" s="3">
        <f t="shared" si="20"/>
        <v>55000</v>
      </c>
      <c r="L676" t="str">
        <f t="shared" si="21"/>
        <v>2025-05</v>
      </c>
    </row>
    <row r="677" spans="1:12" x14ac:dyDescent="0.25">
      <c r="A677">
        <v>1679</v>
      </c>
      <c r="B677">
        <v>32</v>
      </c>
      <c r="C677" t="str">
        <f>IFERROR(_xlfn.XLOOKUP(B677, Customer!A:A, Customer!B:B), "Unknown Customer")</f>
        <v>Elham Karimi</v>
      </c>
      <c r="D677" s="1">
        <v>45678</v>
      </c>
      <c r="E677" t="s">
        <v>20</v>
      </c>
      <c r="F677" t="s">
        <v>17</v>
      </c>
      <c r="G677">
        <v>4</v>
      </c>
      <c r="H677" t="s">
        <v>11</v>
      </c>
      <c r="I677" s="2">
        <v>55000</v>
      </c>
      <c r="J677" t="s">
        <v>32</v>
      </c>
      <c r="K677" s="3">
        <f t="shared" si="20"/>
        <v>220000</v>
      </c>
      <c r="L677" t="str">
        <f t="shared" si="21"/>
        <v>2025-01</v>
      </c>
    </row>
    <row r="678" spans="1:12" x14ac:dyDescent="0.25">
      <c r="A678">
        <v>1680</v>
      </c>
      <c r="B678">
        <v>113</v>
      </c>
      <c r="C678" t="str">
        <f>IFERROR(_xlfn.XLOOKUP(B678, Customer!A:A, Customer!B:B), "Unknown Customer")</f>
        <v>Arman Jafari</v>
      </c>
      <c r="D678" s="1">
        <v>45699</v>
      </c>
      <c r="E678" t="s">
        <v>16</v>
      </c>
      <c r="F678" t="s">
        <v>17</v>
      </c>
      <c r="G678">
        <v>1</v>
      </c>
      <c r="H678" t="s">
        <v>11</v>
      </c>
      <c r="I678" s="2">
        <v>70000</v>
      </c>
      <c r="J678" t="s">
        <v>15</v>
      </c>
      <c r="K678" s="3">
        <f t="shared" si="20"/>
        <v>70000</v>
      </c>
      <c r="L678" t="str">
        <f t="shared" si="21"/>
        <v>2025-02</v>
      </c>
    </row>
    <row r="679" spans="1:12" x14ac:dyDescent="0.25">
      <c r="A679">
        <v>1681</v>
      </c>
      <c r="B679">
        <v>89</v>
      </c>
      <c r="C679" t="str">
        <f>IFERROR(_xlfn.XLOOKUP(B679, Customer!A:A, Customer!B:B), "Unknown Customer")</f>
        <v>Mona Moradi</v>
      </c>
      <c r="D679" s="1">
        <v>46012</v>
      </c>
      <c r="E679" t="s">
        <v>16</v>
      </c>
      <c r="F679" t="s">
        <v>17</v>
      </c>
      <c r="G679">
        <v>1</v>
      </c>
      <c r="H679" t="s">
        <v>11</v>
      </c>
      <c r="I679" s="2">
        <v>75000</v>
      </c>
      <c r="J679" t="s">
        <v>15</v>
      </c>
      <c r="K679" s="3">
        <f t="shared" si="20"/>
        <v>75000</v>
      </c>
      <c r="L679" t="str">
        <f t="shared" si="21"/>
        <v>2025-12</v>
      </c>
    </row>
    <row r="680" spans="1:12" x14ac:dyDescent="0.25">
      <c r="A680">
        <v>1682</v>
      </c>
      <c r="B680">
        <v>31</v>
      </c>
      <c r="C680" t="str">
        <f>IFERROR(_xlfn.XLOOKUP(B680, Customer!A:A, Customer!B:B), "Unknown Customer")</f>
        <v>Sara Karimi</v>
      </c>
      <c r="D680" s="1">
        <v>45970</v>
      </c>
      <c r="E680" t="s">
        <v>13</v>
      </c>
      <c r="F680" t="s">
        <v>14</v>
      </c>
      <c r="G680">
        <v>2</v>
      </c>
      <c r="H680" t="s">
        <v>11</v>
      </c>
      <c r="I680" s="2">
        <v>58000</v>
      </c>
      <c r="J680" t="s">
        <v>28</v>
      </c>
      <c r="K680" s="3">
        <f t="shared" si="20"/>
        <v>116000</v>
      </c>
      <c r="L680" t="str">
        <f t="shared" si="21"/>
        <v>2025-11</v>
      </c>
    </row>
    <row r="681" spans="1:12" x14ac:dyDescent="0.25">
      <c r="A681">
        <v>1683</v>
      </c>
      <c r="B681">
        <v>55</v>
      </c>
      <c r="C681" t="str">
        <f>IFERROR(_xlfn.XLOOKUP(B681, Customer!A:A, Customer!B:B), "Unknown Customer")</f>
        <v>Payam Jafari</v>
      </c>
      <c r="D681" s="1">
        <v>45979</v>
      </c>
      <c r="E681" t="s">
        <v>18</v>
      </c>
      <c r="F681" t="s">
        <v>14</v>
      </c>
      <c r="G681">
        <v>2</v>
      </c>
      <c r="H681" t="s">
        <v>11</v>
      </c>
      <c r="I681" s="2">
        <v>50000</v>
      </c>
      <c r="J681" t="s">
        <v>24</v>
      </c>
      <c r="K681" s="3">
        <f t="shared" si="20"/>
        <v>100000</v>
      </c>
      <c r="L681" t="str">
        <f t="shared" si="21"/>
        <v>2025-11</v>
      </c>
    </row>
    <row r="682" spans="1:12" x14ac:dyDescent="0.25">
      <c r="A682">
        <v>1684</v>
      </c>
      <c r="B682">
        <v>16</v>
      </c>
      <c r="C682" t="str">
        <f>IFERROR(_xlfn.XLOOKUP(B682, Customer!A:A, Customer!B:B), "Unknown Customer")</f>
        <v>Milad Yousefi</v>
      </c>
      <c r="D682" s="1">
        <v>45706</v>
      </c>
      <c r="E682" t="s">
        <v>23</v>
      </c>
      <c r="F682" t="s">
        <v>17</v>
      </c>
      <c r="G682">
        <v>4</v>
      </c>
      <c r="H682" t="s">
        <v>11</v>
      </c>
      <c r="I682" s="2">
        <v>90000</v>
      </c>
      <c r="J682" t="s">
        <v>15</v>
      </c>
      <c r="K682" s="3">
        <f t="shared" si="20"/>
        <v>360000</v>
      </c>
      <c r="L682" t="str">
        <f t="shared" si="21"/>
        <v>2025-02</v>
      </c>
    </row>
    <row r="683" spans="1:12" x14ac:dyDescent="0.25">
      <c r="A683">
        <v>1685</v>
      </c>
      <c r="B683">
        <v>99</v>
      </c>
      <c r="C683" t="str">
        <f>IFERROR(_xlfn.XLOOKUP(B683, Customer!A:A, Customer!B:B), "Unknown Customer")</f>
        <v>Behnam Ahmadi</v>
      </c>
      <c r="D683" s="1">
        <v>45759</v>
      </c>
      <c r="E683" t="s">
        <v>27</v>
      </c>
      <c r="F683" t="s">
        <v>14</v>
      </c>
      <c r="G683">
        <v>1</v>
      </c>
      <c r="H683" t="s">
        <v>11</v>
      </c>
      <c r="I683" s="2">
        <v>35000</v>
      </c>
      <c r="J683" t="s">
        <v>12</v>
      </c>
      <c r="K683" s="3">
        <f t="shared" si="20"/>
        <v>35000</v>
      </c>
      <c r="L683" t="str">
        <f t="shared" si="21"/>
        <v>2025-04</v>
      </c>
    </row>
    <row r="684" spans="1:12" x14ac:dyDescent="0.25">
      <c r="A684">
        <v>1686</v>
      </c>
      <c r="B684">
        <v>109</v>
      </c>
      <c r="C684" t="str">
        <f>IFERROR(_xlfn.XLOOKUP(B684, Customer!A:A, Customer!B:B), "Unknown Customer")</f>
        <v>Roya Jafari</v>
      </c>
      <c r="D684" s="1">
        <v>45912</v>
      </c>
      <c r="E684" t="s">
        <v>16</v>
      </c>
      <c r="F684" t="s">
        <v>17</v>
      </c>
      <c r="G684">
        <v>3</v>
      </c>
      <c r="H684" t="s">
        <v>11</v>
      </c>
      <c r="I684" s="2">
        <v>70000</v>
      </c>
      <c r="J684" t="s">
        <v>21</v>
      </c>
      <c r="K684" s="3">
        <f t="shared" si="20"/>
        <v>210000</v>
      </c>
      <c r="L684" t="str">
        <f t="shared" si="21"/>
        <v>2025-09</v>
      </c>
    </row>
    <row r="685" spans="1:12" x14ac:dyDescent="0.25">
      <c r="A685">
        <v>1687</v>
      </c>
      <c r="B685">
        <v>27</v>
      </c>
      <c r="C685" t="str">
        <f>IFERROR(_xlfn.XLOOKUP(B685, Customer!A:A, Customer!B:B), "Unknown Customer")</f>
        <v>Sina Fallahi</v>
      </c>
      <c r="D685" s="1">
        <v>45905</v>
      </c>
      <c r="E685" t="s">
        <v>31</v>
      </c>
      <c r="F685" t="s">
        <v>17</v>
      </c>
      <c r="G685">
        <v>1</v>
      </c>
      <c r="H685" t="s">
        <v>11</v>
      </c>
      <c r="I685" s="2">
        <v>35000</v>
      </c>
      <c r="J685" t="s">
        <v>28</v>
      </c>
      <c r="K685" s="3">
        <f t="shared" si="20"/>
        <v>35000</v>
      </c>
      <c r="L685" t="str">
        <f t="shared" si="21"/>
        <v>2025-09</v>
      </c>
    </row>
    <row r="686" spans="1:12" x14ac:dyDescent="0.25">
      <c r="A686">
        <v>1688</v>
      </c>
      <c r="B686">
        <v>23</v>
      </c>
      <c r="C686" t="str">
        <f>IFERROR(_xlfn.XLOOKUP(B686, Customer!A:A, Customer!B:B), "Unknown Customer")</f>
        <v>Milad Rezaei</v>
      </c>
      <c r="D686" s="1">
        <v>45672</v>
      </c>
      <c r="E686" t="s">
        <v>13</v>
      </c>
      <c r="F686" t="s">
        <v>14</v>
      </c>
      <c r="G686">
        <v>1</v>
      </c>
      <c r="H686" t="s">
        <v>11</v>
      </c>
      <c r="I686" s="2">
        <v>58000</v>
      </c>
      <c r="J686" t="s">
        <v>28</v>
      </c>
      <c r="K686" s="3">
        <f t="shared" si="20"/>
        <v>58000</v>
      </c>
      <c r="L686" t="str">
        <f t="shared" si="21"/>
        <v>2025-01</v>
      </c>
    </row>
    <row r="687" spans="1:12" x14ac:dyDescent="0.25">
      <c r="A687">
        <v>1689</v>
      </c>
      <c r="B687">
        <v>75</v>
      </c>
      <c r="C687" t="str">
        <f>IFERROR(_xlfn.XLOOKUP(B687, Customer!A:A, Customer!B:B), "Unknown Customer")</f>
        <v>Kian Ebrahimi</v>
      </c>
      <c r="D687" s="1">
        <v>45724</v>
      </c>
      <c r="E687" t="s">
        <v>25</v>
      </c>
      <c r="F687" t="s">
        <v>10</v>
      </c>
      <c r="G687">
        <v>1</v>
      </c>
      <c r="H687" t="s">
        <v>11</v>
      </c>
      <c r="I687" s="2">
        <v>60000</v>
      </c>
      <c r="J687" t="s">
        <v>19</v>
      </c>
      <c r="K687" s="3">
        <f t="shared" si="20"/>
        <v>60000</v>
      </c>
      <c r="L687" t="str">
        <f t="shared" si="21"/>
        <v>2025-03</v>
      </c>
    </row>
    <row r="688" spans="1:12" x14ac:dyDescent="0.25">
      <c r="A688">
        <v>1690</v>
      </c>
      <c r="B688">
        <v>31</v>
      </c>
      <c r="C688" t="str">
        <f>IFERROR(_xlfn.XLOOKUP(B688, Customer!A:A, Customer!B:B), "Unknown Customer")</f>
        <v>Sara Karimi</v>
      </c>
      <c r="D688" s="1">
        <v>45869</v>
      </c>
      <c r="E688" t="s">
        <v>22</v>
      </c>
      <c r="F688" t="s">
        <v>14</v>
      </c>
      <c r="G688">
        <v>1</v>
      </c>
      <c r="H688" t="s">
        <v>11</v>
      </c>
      <c r="I688" s="2">
        <v>55000</v>
      </c>
      <c r="J688" t="s">
        <v>19</v>
      </c>
      <c r="K688" s="3">
        <f t="shared" si="20"/>
        <v>55000</v>
      </c>
      <c r="L688" t="str">
        <f t="shared" si="21"/>
        <v>2025-07</v>
      </c>
    </row>
    <row r="689" spans="1:12" x14ac:dyDescent="0.25">
      <c r="A689">
        <v>1691</v>
      </c>
      <c r="B689">
        <v>114</v>
      </c>
      <c r="C689" t="str">
        <f>IFERROR(_xlfn.XLOOKUP(B689, Customer!A:A, Customer!B:B), "Unknown Customer")</f>
        <v>Omid Fallahi</v>
      </c>
      <c r="D689" s="1">
        <v>45732</v>
      </c>
      <c r="E689" t="s">
        <v>31</v>
      </c>
      <c r="F689" t="s">
        <v>17</v>
      </c>
      <c r="G689">
        <v>1</v>
      </c>
      <c r="H689" t="s">
        <v>11</v>
      </c>
      <c r="I689" s="2">
        <v>40000</v>
      </c>
      <c r="J689" t="s">
        <v>15</v>
      </c>
      <c r="K689" s="3">
        <f t="shared" si="20"/>
        <v>40000</v>
      </c>
      <c r="L689" t="str">
        <f t="shared" si="21"/>
        <v>2025-03</v>
      </c>
    </row>
    <row r="690" spans="1:12" x14ac:dyDescent="0.25">
      <c r="A690">
        <v>1692</v>
      </c>
      <c r="B690">
        <v>93</v>
      </c>
      <c r="C690" t="str">
        <f>IFERROR(_xlfn.XLOOKUP(B690, Customer!A:A, Customer!B:B), "Unknown Customer")</f>
        <v>Sepideh Norouzi</v>
      </c>
      <c r="D690" s="1">
        <v>45981</v>
      </c>
      <c r="E690" t="s">
        <v>30</v>
      </c>
      <c r="F690" t="s">
        <v>14</v>
      </c>
      <c r="G690">
        <v>1</v>
      </c>
      <c r="H690" t="s">
        <v>11</v>
      </c>
      <c r="I690" s="2">
        <v>48000</v>
      </c>
      <c r="J690" t="s">
        <v>12</v>
      </c>
      <c r="K690" s="3">
        <f t="shared" si="20"/>
        <v>48000</v>
      </c>
      <c r="L690" t="str">
        <f t="shared" si="21"/>
        <v>2025-11</v>
      </c>
    </row>
    <row r="691" spans="1:12" x14ac:dyDescent="0.25">
      <c r="A691">
        <v>1693</v>
      </c>
      <c r="B691">
        <v>73</v>
      </c>
      <c r="C691" t="str">
        <f>IFERROR(_xlfn.XLOOKUP(B691, Customer!A:A, Customer!B:B), "Unknown Customer")</f>
        <v>Niloofar Ebrahimi</v>
      </c>
      <c r="D691" s="1">
        <v>45801</v>
      </c>
      <c r="E691" t="s">
        <v>29</v>
      </c>
      <c r="F691" t="s">
        <v>14</v>
      </c>
      <c r="G691">
        <v>4</v>
      </c>
      <c r="H691" t="s">
        <v>11</v>
      </c>
      <c r="I691" s="2">
        <v>45000</v>
      </c>
      <c r="J691" t="s">
        <v>24</v>
      </c>
      <c r="K691" s="3">
        <f t="shared" si="20"/>
        <v>180000</v>
      </c>
      <c r="L691" t="str">
        <f t="shared" si="21"/>
        <v>2025-05</v>
      </c>
    </row>
    <row r="692" spans="1:12" x14ac:dyDescent="0.25">
      <c r="A692">
        <v>1694</v>
      </c>
      <c r="B692">
        <v>98</v>
      </c>
      <c r="C692" t="str">
        <f>IFERROR(_xlfn.XLOOKUP(B692, Customer!A:A, Customer!B:B), "Unknown Customer")</f>
        <v>Elham Mousavi</v>
      </c>
      <c r="D692" s="1">
        <v>45770</v>
      </c>
      <c r="E692" t="s">
        <v>25</v>
      </c>
      <c r="F692" t="s">
        <v>10</v>
      </c>
      <c r="G692">
        <v>4</v>
      </c>
      <c r="H692" t="s">
        <v>11</v>
      </c>
      <c r="I692" s="2">
        <v>70000</v>
      </c>
      <c r="J692" t="s">
        <v>19</v>
      </c>
      <c r="K692" s="3">
        <f t="shared" si="20"/>
        <v>280000</v>
      </c>
      <c r="L692" t="str">
        <f t="shared" si="21"/>
        <v>2025-04</v>
      </c>
    </row>
    <row r="693" spans="1:12" x14ac:dyDescent="0.25">
      <c r="A693">
        <v>1695</v>
      </c>
      <c r="B693">
        <v>53</v>
      </c>
      <c r="C693" t="str">
        <f>IFERROR(_xlfn.XLOOKUP(B693, Customer!A:A, Customer!B:B), "Unknown Customer")</f>
        <v>Azadeh Moradi</v>
      </c>
      <c r="D693" s="1">
        <v>45878</v>
      </c>
      <c r="E693" t="s">
        <v>23</v>
      </c>
      <c r="F693" t="s">
        <v>17</v>
      </c>
      <c r="G693">
        <v>4</v>
      </c>
      <c r="H693" t="s">
        <v>11</v>
      </c>
      <c r="I693" s="2">
        <v>85000</v>
      </c>
      <c r="J693" t="s">
        <v>12</v>
      </c>
      <c r="K693" s="3">
        <f t="shared" si="20"/>
        <v>340000</v>
      </c>
      <c r="L693" t="str">
        <f t="shared" si="21"/>
        <v>2025-08</v>
      </c>
    </row>
    <row r="694" spans="1:12" x14ac:dyDescent="0.25">
      <c r="A694">
        <v>1696</v>
      </c>
      <c r="B694">
        <v>55</v>
      </c>
      <c r="C694" t="str">
        <f>IFERROR(_xlfn.XLOOKUP(B694, Customer!A:A, Customer!B:B), "Unknown Customer")</f>
        <v>Payam Jafari</v>
      </c>
      <c r="D694" s="1">
        <v>45843</v>
      </c>
      <c r="E694" t="s">
        <v>22</v>
      </c>
      <c r="F694" t="s">
        <v>14</v>
      </c>
      <c r="G694">
        <v>2</v>
      </c>
      <c r="H694" t="s">
        <v>11</v>
      </c>
      <c r="I694" s="2">
        <v>65000</v>
      </c>
      <c r="J694" t="s">
        <v>28</v>
      </c>
      <c r="K694" s="3">
        <f t="shared" si="20"/>
        <v>130000</v>
      </c>
      <c r="L694" t="str">
        <f t="shared" si="21"/>
        <v>2025-07</v>
      </c>
    </row>
    <row r="695" spans="1:12" x14ac:dyDescent="0.25">
      <c r="A695">
        <v>1697</v>
      </c>
      <c r="B695">
        <v>115</v>
      </c>
      <c r="C695" t="str">
        <f>IFERROR(_xlfn.XLOOKUP(B695, Customer!A:A, Customer!B:B), "Unknown Customer")</f>
        <v>Setareh Ahmadi</v>
      </c>
      <c r="D695" s="1">
        <v>45871</v>
      </c>
      <c r="E695" t="s">
        <v>29</v>
      </c>
      <c r="F695" t="s">
        <v>14</v>
      </c>
      <c r="G695">
        <v>2</v>
      </c>
      <c r="H695" t="s">
        <v>11</v>
      </c>
      <c r="I695" s="2">
        <v>50000</v>
      </c>
      <c r="J695" t="s">
        <v>28</v>
      </c>
      <c r="K695" s="3">
        <f t="shared" si="20"/>
        <v>100000</v>
      </c>
      <c r="L695" t="str">
        <f t="shared" si="21"/>
        <v>2025-08</v>
      </c>
    </row>
    <row r="696" spans="1:12" x14ac:dyDescent="0.25">
      <c r="A696">
        <v>1698</v>
      </c>
      <c r="B696">
        <v>51</v>
      </c>
      <c r="C696" t="str">
        <f>IFERROR(_xlfn.XLOOKUP(B696, Customer!A:A, Customer!B:B), "Unknown Customer")</f>
        <v>Azadeh Karimi</v>
      </c>
      <c r="D696" s="1">
        <v>46014</v>
      </c>
      <c r="E696" t="s">
        <v>16</v>
      </c>
      <c r="F696" t="s">
        <v>17</v>
      </c>
      <c r="G696">
        <v>2</v>
      </c>
      <c r="H696" t="s">
        <v>11</v>
      </c>
      <c r="I696" s="2">
        <v>75000</v>
      </c>
      <c r="J696" t="s">
        <v>12</v>
      </c>
      <c r="K696" s="3">
        <f t="shared" si="20"/>
        <v>150000</v>
      </c>
      <c r="L696" t="str">
        <f t="shared" si="21"/>
        <v>2025-12</v>
      </c>
    </row>
    <row r="697" spans="1:12" x14ac:dyDescent="0.25">
      <c r="A697">
        <v>1699</v>
      </c>
      <c r="B697">
        <v>94</v>
      </c>
      <c r="C697" t="str">
        <f>IFERROR(_xlfn.XLOOKUP(B697, Customer!A:A, Customer!B:B), "Unknown Customer")</f>
        <v>Hamed Fallahi</v>
      </c>
      <c r="D697" s="1">
        <v>45769</v>
      </c>
      <c r="E697" t="s">
        <v>31</v>
      </c>
      <c r="F697" t="s">
        <v>17</v>
      </c>
      <c r="G697">
        <v>1</v>
      </c>
      <c r="H697" t="s">
        <v>11</v>
      </c>
      <c r="I697" s="2">
        <v>40000</v>
      </c>
      <c r="J697" t="s">
        <v>19</v>
      </c>
      <c r="K697" s="3">
        <f t="shared" si="20"/>
        <v>40000</v>
      </c>
      <c r="L697" t="str">
        <f t="shared" si="21"/>
        <v>2025-04</v>
      </c>
    </row>
    <row r="698" spans="1:12" x14ac:dyDescent="0.25">
      <c r="A698">
        <v>1700</v>
      </c>
      <c r="B698">
        <v>62</v>
      </c>
      <c r="C698" t="str">
        <f>IFERROR(_xlfn.XLOOKUP(B698, Customer!A:A, Customer!B:B), "Unknown Customer")</f>
        <v>Amir Mousavi</v>
      </c>
      <c r="D698" s="1">
        <v>45814</v>
      </c>
      <c r="E698" t="s">
        <v>27</v>
      </c>
      <c r="F698" t="s">
        <v>14</v>
      </c>
      <c r="G698">
        <v>4</v>
      </c>
      <c r="H698" t="s">
        <v>11</v>
      </c>
      <c r="I698" s="2">
        <v>40000</v>
      </c>
      <c r="J698" t="s">
        <v>15</v>
      </c>
      <c r="K698" s="3">
        <f t="shared" si="20"/>
        <v>160000</v>
      </c>
      <c r="L698" t="str">
        <f t="shared" si="21"/>
        <v>2025-06</v>
      </c>
    </row>
    <row r="699" spans="1:12" x14ac:dyDescent="0.25">
      <c r="A699">
        <v>1701</v>
      </c>
      <c r="B699">
        <v>60</v>
      </c>
      <c r="C699" t="str">
        <f>IFERROR(_xlfn.XLOOKUP(B699, Customer!A:A, Customer!B:B), "Unknown Customer")</f>
        <v>Sina Ghasemi</v>
      </c>
      <c r="D699" s="1">
        <v>46018</v>
      </c>
      <c r="E699" t="s">
        <v>13</v>
      </c>
      <c r="F699" t="s">
        <v>14</v>
      </c>
      <c r="G699">
        <v>4</v>
      </c>
      <c r="H699" t="s">
        <v>11</v>
      </c>
      <c r="I699" s="2">
        <v>58000</v>
      </c>
      <c r="J699" t="s">
        <v>12</v>
      </c>
      <c r="K699" s="3">
        <f t="shared" si="20"/>
        <v>232000</v>
      </c>
      <c r="L699" t="str">
        <f t="shared" si="21"/>
        <v>2025-12</v>
      </c>
    </row>
    <row r="700" spans="1:12" x14ac:dyDescent="0.25">
      <c r="A700">
        <v>1702</v>
      </c>
      <c r="B700">
        <v>82</v>
      </c>
      <c r="C700" t="str">
        <f>IFERROR(_xlfn.XLOOKUP(B700, Customer!A:A, Customer!B:B), "Unknown Customer")</f>
        <v>Azadeh Rezaei</v>
      </c>
      <c r="D700" s="1">
        <v>45979</v>
      </c>
      <c r="E700" t="s">
        <v>29</v>
      </c>
      <c r="F700" t="s">
        <v>14</v>
      </c>
      <c r="G700">
        <v>3</v>
      </c>
      <c r="H700" t="s">
        <v>11</v>
      </c>
      <c r="I700" s="2">
        <v>45000</v>
      </c>
      <c r="J700" t="s">
        <v>21</v>
      </c>
      <c r="K700" s="3">
        <f t="shared" si="20"/>
        <v>135000</v>
      </c>
      <c r="L700" t="str">
        <f t="shared" si="21"/>
        <v>2025-11</v>
      </c>
    </row>
    <row r="701" spans="1:12" x14ac:dyDescent="0.25">
      <c r="A701">
        <v>1703</v>
      </c>
      <c r="B701">
        <v>55</v>
      </c>
      <c r="C701" t="str">
        <f>IFERROR(_xlfn.XLOOKUP(B701, Customer!A:A, Customer!B:B), "Unknown Customer")</f>
        <v>Payam Jafari</v>
      </c>
      <c r="D701" s="1">
        <v>46015</v>
      </c>
      <c r="E701" t="s">
        <v>9</v>
      </c>
      <c r="F701" t="s">
        <v>10</v>
      </c>
      <c r="G701">
        <v>4</v>
      </c>
      <c r="H701" t="s">
        <v>11</v>
      </c>
      <c r="I701" s="2">
        <v>57000</v>
      </c>
      <c r="J701" t="s">
        <v>12</v>
      </c>
      <c r="K701" s="3">
        <f t="shared" si="20"/>
        <v>228000</v>
      </c>
      <c r="L701" t="str">
        <f t="shared" si="21"/>
        <v>2025-12</v>
      </c>
    </row>
    <row r="702" spans="1:12" x14ac:dyDescent="0.25">
      <c r="A702">
        <v>1704</v>
      </c>
      <c r="B702">
        <v>120</v>
      </c>
      <c r="C702" t="str">
        <f>IFERROR(_xlfn.XLOOKUP(B702, Customer!A:A, Customer!B:B), "Unknown Customer")</f>
        <v>Sepideh Abbasi</v>
      </c>
      <c r="D702" s="1">
        <v>45921</v>
      </c>
      <c r="E702" t="s">
        <v>29</v>
      </c>
      <c r="F702" t="s">
        <v>14</v>
      </c>
      <c r="G702">
        <v>1</v>
      </c>
      <c r="H702" t="s">
        <v>11</v>
      </c>
      <c r="I702" s="2">
        <v>40000</v>
      </c>
      <c r="J702" t="s">
        <v>15</v>
      </c>
      <c r="K702" s="3">
        <f t="shared" si="20"/>
        <v>40000</v>
      </c>
      <c r="L702" t="str">
        <f t="shared" si="21"/>
        <v>2025-09</v>
      </c>
    </row>
    <row r="703" spans="1:12" x14ac:dyDescent="0.25">
      <c r="A703">
        <v>1705</v>
      </c>
      <c r="B703">
        <v>80</v>
      </c>
      <c r="C703" t="str">
        <f>IFERROR(_xlfn.XLOOKUP(B703, Customer!A:A, Customer!B:B), "Unknown Customer")</f>
        <v>Mona Yousefi</v>
      </c>
      <c r="D703" s="1">
        <v>45845</v>
      </c>
      <c r="E703" t="s">
        <v>29</v>
      </c>
      <c r="F703" t="s">
        <v>14</v>
      </c>
      <c r="G703">
        <v>3</v>
      </c>
      <c r="H703" t="s">
        <v>11</v>
      </c>
      <c r="I703" s="2">
        <v>50000</v>
      </c>
      <c r="J703" t="s">
        <v>32</v>
      </c>
      <c r="K703" s="3">
        <f t="shared" si="20"/>
        <v>150000</v>
      </c>
      <c r="L703" t="str">
        <f t="shared" si="21"/>
        <v>2025-07</v>
      </c>
    </row>
    <row r="704" spans="1:12" x14ac:dyDescent="0.25">
      <c r="A704">
        <v>1706</v>
      </c>
      <c r="B704">
        <v>91</v>
      </c>
      <c r="C704" t="str">
        <f>IFERROR(_xlfn.XLOOKUP(B704, Customer!A:A, Customer!B:B), "Unknown Customer")</f>
        <v>Ali Ebrahimi</v>
      </c>
      <c r="D704" s="1">
        <v>45728</v>
      </c>
      <c r="E704" t="s">
        <v>30</v>
      </c>
      <c r="F704" t="s">
        <v>14</v>
      </c>
      <c r="G704">
        <v>2</v>
      </c>
      <c r="H704" t="s">
        <v>11</v>
      </c>
      <c r="I704" s="2">
        <v>43000</v>
      </c>
      <c r="J704" t="s">
        <v>12</v>
      </c>
      <c r="K704" s="3">
        <f t="shared" si="20"/>
        <v>86000</v>
      </c>
      <c r="L704" t="str">
        <f t="shared" si="21"/>
        <v>2025-03</v>
      </c>
    </row>
    <row r="705" spans="1:12" x14ac:dyDescent="0.25">
      <c r="A705">
        <v>1707</v>
      </c>
      <c r="B705">
        <v>96</v>
      </c>
      <c r="C705" t="str">
        <f>IFERROR(_xlfn.XLOOKUP(B705, Customer!A:A, Customer!B:B), "Unknown Customer")</f>
        <v>Milad Norouzi</v>
      </c>
      <c r="D705" s="1">
        <v>46017</v>
      </c>
      <c r="E705" t="s">
        <v>20</v>
      </c>
      <c r="F705" t="s">
        <v>17</v>
      </c>
      <c r="G705">
        <v>1</v>
      </c>
      <c r="H705" t="s">
        <v>11</v>
      </c>
      <c r="I705" s="2">
        <v>50000</v>
      </c>
      <c r="J705" t="s">
        <v>21</v>
      </c>
      <c r="K705" s="3">
        <f t="shared" si="20"/>
        <v>50000</v>
      </c>
      <c r="L705" t="str">
        <f t="shared" si="21"/>
        <v>2025-12</v>
      </c>
    </row>
    <row r="706" spans="1:12" x14ac:dyDescent="0.25">
      <c r="A706">
        <v>1708</v>
      </c>
      <c r="B706">
        <v>7</v>
      </c>
      <c r="C706" t="str">
        <f>IFERROR(_xlfn.XLOOKUP(B706, Customer!A:A, Customer!B:B), "Unknown Customer")</f>
        <v>Farhad Vakili</v>
      </c>
      <c r="D706" s="1">
        <v>45937</v>
      </c>
      <c r="E706" t="s">
        <v>18</v>
      </c>
      <c r="F706" t="s">
        <v>14</v>
      </c>
      <c r="G706">
        <v>2</v>
      </c>
      <c r="H706" t="s">
        <v>11</v>
      </c>
      <c r="I706" s="2">
        <v>60000</v>
      </c>
      <c r="J706" t="s">
        <v>15</v>
      </c>
      <c r="K706" s="3">
        <f t="shared" si="20"/>
        <v>120000</v>
      </c>
      <c r="L706" t="str">
        <f t="shared" si="21"/>
        <v>2025-10</v>
      </c>
    </row>
    <row r="707" spans="1:12" x14ac:dyDescent="0.25">
      <c r="A707">
        <v>1709</v>
      </c>
      <c r="B707">
        <v>91</v>
      </c>
      <c r="C707" t="str">
        <f>IFERROR(_xlfn.XLOOKUP(B707, Customer!A:A, Customer!B:B), "Unknown Customer")</f>
        <v>Ali Ebrahimi</v>
      </c>
      <c r="D707" s="1">
        <v>46005</v>
      </c>
      <c r="E707" t="s">
        <v>23</v>
      </c>
      <c r="F707" t="s">
        <v>17</v>
      </c>
      <c r="G707">
        <v>2</v>
      </c>
      <c r="H707" t="s">
        <v>11</v>
      </c>
      <c r="I707" s="2">
        <v>90000</v>
      </c>
      <c r="J707" t="s">
        <v>24</v>
      </c>
      <c r="K707" s="3">
        <f t="shared" ref="K707:K770" si="22">G707*I707</f>
        <v>180000</v>
      </c>
      <c r="L707" t="str">
        <f t="shared" ref="L707:L770" si="23">TEXT(D707,"YYYY-MM")</f>
        <v>2025-12</v>
      </c>
    </row>
    <row r="708" spans="1:12" x14ac:dyDescent="0.25">
      <c r="A708">
        <v>1710</v>
      </c>
      <c r="B708">
        <v>115</v>
      </c>
      <c r="C708" t="str">
        <f>IFERROR(_xlfn.XLOOKUP(B708, Customer!A:A, Customer!B:B), "Unknown Customer")</f>
        <v>Setareh Ahmadi</v>
      </c>
      <c r="D708" s="1">
        <v>45702</v>
      </c>
      <c r="E708" t="s">
        <v>16</v>
      </c>
      <c r="F708" t="s">
        <v>17</v>
      </c>
      <c r="G708">
        <v>1</v>
      </c>
      <c r="H708" t="s">
        <v>11</v>
      </c>
      <c r="I708" s="2">
        <v>75000</v>
      </c>
      <c r="J708" t="s">
        <v>24</v>
      </c>
      <c r="K708" s="3">
        <f t="shared" si="22"/>
        <v>75000</v>
      </c>
      <c r="L708" t="str">
        <f t="shared" si="23"/>
        <v>2025-02</v>
      </c>
    </row>
    <row r="709" spans="1:12" x14ac:dyDescent="0.25">
      <c r="A709">
        <v>1711</v>
      </c>
      <c r="B709">
        <v>36</v>
      </c>
      <c r="C709" t="str">
        <f>IFERROR(_xlfn.XLOOKUP(B709, Customer!A:A, Customer!B:B), "Unknown Customer")</f>
        <v>Payam Rezaei</v>
      </c>
      <c r="D709" s="1">
        <v>46014</v>
      </c>
      <c r="E709" t="s">
        <v>18</v>
      </c>
      <c r="F709" t="s">
        <v>14</v>
      </c>
      <c r="G709">
        <v>1</v>
      </c>
      <c r="H709" t="s">
        <v>11</v>
      </c>
      <c r="I709" s="2">
        <v>55000</v>
      </c>
      <c r="J709" t="s">
        <v>21</v>
      </c>
      <c r="K709" s="3">
        <f t="shared" si="22"/>
        <v>55000</v>
      </c>
      <c r="L709" t="str">
        <f t="shared" si="23"/>
        <v>2025-12</v>
      </c>
    </row>
    <row r="710" spans="1:12" x14ac:dyDescent="0.25">
      <c r="A710">
        <v>1712</v>
      </c>
      <c r="B710">
        <v>54</v>
      </c>
      <c r="C710" t="str">
        <f>IFERROR(_xlfn.XLOOKUP(B710, Customer!A:A, Customer!B:B), "Unknown Customer")</f>
        <v>Parisa Rostami</v>
      </c>
      <c r="D710" s="1">
        <v>45787</v>
      </c>
      <c r="E710" t="s">
        <v>27</v>
      </c>
      <c r="F710" t="s">
        <v>14</v>
      </c>
      <c r="G710">
        <v>1</v>
      </c>
      <c r="H710" t="s">
        <v>11</v>
      </c>
      <c r="I710" s="2">
        <v>35000</v>
      </c>
      <c r="J710" t="s">
        <v>21</v>
      </c>
      <c r="K710" s="3">
        <f t="shared" si="22"/>
        <v>35000</v>
      </c>
      <c r="L710" t="str">
        <f t="shared" si="23"/>
        <v>2025-05</v>
      </c>
    </row>
    <row r="711" spans="1:12" x14ac:dyDescent="0.25">
      <c r="A711">
        <v>1713</v>
      </c>
      <c r="B711">
        <v>25</v>
      </c>
      <c r="C711" t="str">
        <f>IFERROR(_xlfn.XLOOKUP(B711, Customer!A:A, Customer!B:B), "Unknown Customer")</f>
        <v>Milad Kazemi</v>
      </c>
      <c r="D711" s="1">
        <v>45992</v>
      </c>
      <c r="E711" t="s">
        <v>18</v>
      </c>
      <c r="F711" t="s">
        <v>14</v>
      </c>
      <c r="G711">
        <v>2</v>
      </c>
      <c r="H711" t="s">
        <v>11</v>
      </c>
      <c r="I711" s="2">
        <v>60000</v>
      </c>
      <c r="J711" t="s">
        <v>15</v>
      </c>
      <c r="K711" s="3">
        <f t="shared" si="22"/>
        <v>120000</v>
      </c>
      <c r="L711" t="str">
        <f t="shared" si="23"/>
        <v>2025-12</v>
      </c>
    </row>
    <row r="712" spans="1:12" x14ac:dyDescent="0.25">
      <c r="A712">
        <v>1714</v>
      </c>
      <c r="B712">
        <v>76</v>
      </c>
      <c r="C712" t="str">
        <f>IFERROR(_xlfn.XLOOKUP(B712, Customer!A:A, Customer!B:B), "Unknown Customer")</f>
        <v>Setareh Yousefi</v>
      </c>
      <c r="D712" s="1">
        <v>46014</v>
      </c>
      <c r="E712" t="s">
        <v>27</v>
      </c>
      <c r="F712" t="s">
        <v>14</v>
      </c>
      <c r="G712">
        <v>2</v>
      </c>
      <c r="H712" t="s">
        <v>11</v>
      </c>
      <c r="I712" s="2">
        <v>35000</v>
      </c>
      <c r="J712" t="s">
        <v>21</v>
      </c>
      <c r="K712" s="3">
        <f t="shared" si="22"/>
        <v>70000</v>
      </c>
      <c r="L712" t="str">
        <f t="shared" si="23"/>
        <v>2025-12</v>
      </c>
    </row>
    <row r="713" spans="1:12" x14ac:dyDescent="0.25">
      <c r="A713">
        <v>1715</v>
      </c>
      <c r="B713">
        <v>22</v>
      </c>
      <c r="C713" t="str">
        <f>IFERROR(_xlfn.XLOOKUP(B713, Customer!A:A, Customer!B:B), "Unknown Customer")</f>
        <v>Amir Yousefi</v>
      </c>
      <c r="D713" s="1">
        <v>45774</v>
      </c>
      <c r="E713" t="s">
        <v>9</v>
      </c>
      <c r="F713" t="s">
        <v>10</v>
      </c>
      <c r="G713">
        <v>1</v>
      </c>
      <c r="H713" t="s">
        <v>11</v>
      </c>
      <c r="I713" s="2">
        <v>57000</v>
      </c>
      <c r="J713" t="s">
        <v>21</v>
      </c>
      <c r="K713" s="3">
        <f t="shared" si="22"/>
        <v>57000</v>
      </c>
      <c r="L713" t="str">
        <f t="shared" si="23"/>
        <v>2025-04</v>
      </c>
    </row>
    <row r="714" spans="1:12" x14ac:dyDescent="0.25">
      <c r="A714">
        <v>1716</v>
      </c>
      <c r="B714">
        <v>59</v>
      </c>
      <c r="C714" t="str">
        <f>IFERROR(_xlfn.XLOOKUP(B714, Customer!A:A, Customer!B:B), "Unknown Customer")</f>
        <v>Niloofar Hosseini</v>
      </c>
      <c r="D714" s="1">
        <v>45974</v>
      </c>
      <c r="E714" t="s">
        <v>13</v>
      </c>
      <c r="F714" t="s">
        <v>14</v>
      </c>
      <c r="G714">
        <v>1</v>
      </c>
      <c r="H714" t="s">
        <v>11</v>
      </c>
      <c r="I714" s="2">
        <v>58000</v>
      </c>
      <c r="J714" t="s">
        <v>24</v>
      </c>
      <c r="K714" s="3">
        <f t="shared" si="22"/>
        <v>58000</v>
      </c>
      <c r="L714" t="str">
        <f t="shared" si="23"/>
        <v>2025-11</v>
      </c>
    </row>
    <row r="715" spans="1:12" x14ac:dyDescent="0.25">
      <c r="A715">
        <v>1717</v>
      </c>
      <c r="B715">
        <v>31</v>
      </c>
      <c r="C715" t="str">
        <f>IFERROR(_xlfn.XLOOKUP(B715, Customer!A:A, Customer!B:B), "Unknown Customer")</f>
        <v>Sara Karimi</v>
      </c>
      <c r="D715" s="1">
        <v>45679</v>
      </c>
      <c r="E715" t="s">
        <v>18</v>
      </c>
      <c r="F715" t="s">
        <v>14</v>
      </c>
      <c r="G715">
        <v>2</v>
      </c>
      <c r="H715" t="s">
        <v>11</v>
      </c>
      <c r="I715" s="2">
        <v>55000</v>
      </c>
      <c r="J715" t="s">
        <v>24</v>
      </c>
      <c r="K715" s="3">
        <f t="shared" si="22"/>
        <v>110000</v>
      </c>
      <c r="L715" t="str">
        <f t="shared" si="23"/>
        <v>2025-01</v>
      </c>
    </row>
    <row r="716" spans="1:12" x14ac:dyDescent="0.25">
      <c r="A716">
        <v>1718</v>
      </c>
      <c r="B716">
        <v>72</v>
      </c>
      <c r="C716" t="str">
        <f>IFERROR(_xlfn.XLOOKUP(B716, Customer!A:A, Customer!B:B), "Unknown Customer")</f>
        <v>Roya Rostami</v>
      </c>
      <c r="D716" s="1">
        <v>45675</v>
      </c>
      <c r="E716" t="s">
        <v>22</v>
      </c>
      <c r="F716" t="s">
        <v>14</v>
      </c>
      <c r="G716">
        <v>1</v>
      </c>
      <c r="H716" t="s">
        <v>11</v>
      </c>
      <c r="I716" s="2">
        <v>60000</v>
      </c>
      <c r="J716" t="s">
        <v>28</v>
      </c>
      <c r="K716" s="3">
        <f t="shared" si="22"/>
        <v>60000</v>
      </c>
      <c r="L716" t="str">
        <f t="shared" si="23"/>
        <v>2025-01</v>
      </c>
    </row>
    <row r="717" spans="1:12" x14ac:dyDescent="0.25">
      <c r="A717">
        <v>1719</v>
      </c>
      <c r="B717">
        <v>78</v>
      </c>
      <c r="C717" t="str">
        <f>IFERROR(_xlfn.XLOOKUP(B717, Customer!A:A, Customer!B:B), "Unknown Customer")</f>
        <v>Elham Karimi</v>
      </c>
      <c r="D717" s="1">
        <v>45931</v>
      </c>
      <c r="E717" t="s">
        <v>13</v>
      </c>
      <c r="F717" t="s">
        <v>14</v>
      </c>
      <c r="G717">
        <v>1</v>
      </c>
      <c r="H717" t="s">
        <v>11</v>
      </c>
      <c r="I717" s="2">
        <v>58000</v>
      </c>
      <c r="J717" t="s">
        <v>15</v>
      </c>
      <c r="K717" s="3">
        <f t="shared" si="22"/>
        <v>58000</v>
      </c>
      <c r="L717" t="str">
        <f t="shared" si="23"/>
        <v>2025-10</v>
      </c>
    </row>
    <row r="718" spans="1:12" x14ac:dyDescent="0.25">
      <c r="A718">
        <v>1720</v>
      </c>
      <c r="B718">
        <v>119</v>
      </c>
      <c r="C718" t="str">
        <f>IFERROR(_xlfn.XLOOKUP(B718, Customer!A:A, Customer!B:B), "Unknown Customer")</f>
        <v>Sepideh Sadeghi</v>
      </c>
      <c r="D718" s="1">
        <v>45737</v>
      </c>
      <c r="E718" t="s">
        <v>25</v>
      </c>
      <c r="F718" t="s">
        <v>10</v>
      </c>
      <c r="G718">
        <v>3</v>
      </c>
      <c r="H718" t="s">
        <v>11</v>
      </c>
      <c r="I718" s="2">
        <v>65000</v>
      </c>
      <c r="J718" t="s">
        <v>28</v>
      </c>
      <c r="K718" s="3">
        <f t="shared" si="22"/>
        <v>195000</v>
      </c>
      <c r="L718" t="str">
        <f t="shared" si="23"/>
        <v>2025-03</v>
      </c>
    </row>
    <row r="719" spans="1:12" x14ac:dyDescent="0.25">
      <c r="A719">
        <v>1721</v>
      </c>
      <c r="B719">
        <v>86</v>
      </c>
      <c r="C719" t="str">
        <f>IFERROR(_xlfn.XLOOKUP(B719, Customer!A:A, Customer!B:B), "Unknown Customer")</f>
        <v>Payam Fallahi</v>
      </c>
      <c r="D719" s="1">
        <v>45947</v>
      </c>
      <c r="E719" t="s">
        <v>13</v>
      </c>
      <c r="F719" t="s">
        <v>14</v>
      </c>
      <c r="G719">
        <v>-1</v>
      </c>
      <c r="H719" t="s">
        <v>26</v>
      </c>
      <c r="I719" s="2">
        <v>53000</v>
      </c>
      <c r="J719" t="s">
        <v>19</v>
      </c>
      <c r="K719" s="3">
        <f t="shared" si="22"/>
        <v>-53000</v>
      </c>
      <c r="L719" t="str">
        <f t="shared" si="23"/>
        <v>2025-10</v>
      </c>
    </row>
    <row r="720" spans="1:12" x14ac:dyDescent="0.25">
      <c r="A720">
        <v>1722</v>
      </c>
      <c r="B720">
        <v>18</v>
      </c>
      <c r="C720" t="str">
        <f>IFERROR(_xlfn.XLOOKUP(B720, Customer!A:A, Customer!B:B), "Unknown Customer")</f>
        <v>Niloofar Abbasi</v>
      </c>
      <c r="D720" s="1">
        <v>45940</v>
      </c>
      <c r="E720" t="s">
        <v>27</v>
      </c>
      <c r="F720" t="s">
        <v>14</v>
      </c>
      <c r="G720">
        <v>1</v>
      </c>
      <c r="H720" t="s">
        <v>11</v>
      </c>
      <c r="I720" s="2">
        <v>35000</v>
      </c>
      <c r="J720" t="s">
        <v>15</v>
      </c>
      <c r="K720" s="3">
        <f t="shared" si="22"/>
        <v>35000</v>
      </c>
      <c r="L720" t="str">
        <f t="shared" si="23"/>
        <v>2025-10</v>
      </c>
    </row>
    <row r="721" spans="1:12" x14ac:dyDescent="0.25">
      <c r="A721">
        <v>1723</v>
      </c>
      <c r="B721">
        <v>46</v>
      </c>
      <c r="C721" t="str">
        <f>IFERROR(_xlfn.XLOOKUP(B721, Customer!A:A, Customer!B:B), "Unknown Customer")</f>
        <v>Mahsa Ghasemi</v>
      </c>
      <c r="D721" s="1">
        <v>45825</v>
      </c>
      <c r="E721" t="s">
        <v>18</v>
      </c>
      <c r="F721" t="s">
        <v>14</v>
      </c>
      <c r="G721">
        <v>2</v>
      </c>
      <c r="H721" t="s">
        <v>11</v>
      </c>
      <c r="I721" s="2">
        <v>55320</v>
      </c>
      <c r="J721" t="s">
        <v>24</v>
      </c>
      <c r="K721" s="3">
        <f t="shared" si="22"/>
        <v>110640</v>
      </c>
      <c r="L721" t="str">
        <f t="shared" si="23"/>
        <v>2025-06</v>
      </c>
    </row>
    <row r="722" spans="1:12" x14ac:dyDescent="0.25">
      <c r="A722">
        <v>1724</v>
      </c>
      <c r="B722">
        <v>3</v>
      </c>
      <c r="C722" t="str">
        <f>IFERROR(_xlfn.XLOOKUP(B722, Customer!A:A, Customer!B:B), "Unknown Customer")</f>
        <v>Hamed Abbasi</v>
      </c>
      <c r="D722" s="1">
        <v>45933</v>
      </c>
      <c r="E722" t="s">
        <v>18</v>
      </c>
      <c r="F722" t="s">
        <v>14</v>
      </c>
      <c r="G722">
        <v>2</v>
      </c>
      <c r="H722" t="s">
        <v>11</v>
      </c>
      <c r="I722" s="2">
        <v>55000</v>
      </c>
      <c r="J722" t="s">
        <v>21</v>
      </c>
      <c r="K722" s="3">
        <f t="shared" si="22"/>
        <v>110000</v>
      </c>
      <c r="L722" t="str">
        <f t="shared" si="23"/>
        <v>2025-10</v>
      </c>
    </row>
    <row r="723" spans="1:12" x14ac:dyDescent="0.25">
      <c r="A723">
        <v>1725</v>
      </c>
      <c r="B723">
        <v>78</v>
      </c>
      <c r="C723" t="str">
        <f>IFERROR(_xlfn.XLOOKUP(B723, Customer!A:A, Customer!B:B), "Unknown Customer")</f>
        <v>Elham Karimi</v>
      </c>
      <c r="D723" s="1">
        <v>45919</v>
      </c>
      <c r="E723" t="s">
        <v>20</v>
      </c>
      <c r="F723" t="s">
        <v>17</v>
      </c>
      <c r="G723">
        <v>2</v>
      </c>
      <c r="H723" t="s">
        <v>11</v>
      </c>
      <c r="I723" s="2">
        <v>50000</v>
      </c>
      <c r="J723" t="s">
        <v>21</v>
      </c>
      <c r="K723" s="3">
        <f t="shared" si="22"/>
        <v>100000</v>
      </c>
      <c r="L723" t="str">
        <f t="shared" si="23"/>
        <v>2025-09</v>
      </c>
    </row>
    <row r="724" spans="1:12" x14ac:dyDescent="0.25">
      <c r="A724">
        <v>1726</v>
      </c>
      <c r="B724">
        <v>50</v>
      </c>
      <c r="C724" t="str">
        <f>IFERROR(_xlfn.XLOOKUP(B724, Customer!A:A, Customer!B:B), "Unknown Customer")</f>
        <v>Mona Naderi</v>
      </c>
      <c r="D724" s="1">
        <v>45839</v>
      </c>
      <c r="E724" t="s">
        <v>25</v>
      </c>
      <c r="F724" t="s">
        <v>10</v>
      </c>
      <c r="G724">
        <v>1</v>
      </c>
      <c r="H724" t="s">
        <v>11</v>
      </c>
      <c r="I724" s="2">
        <v>65458.715596330272</v>
      </c>
      <c r="J724" t="s">
        <v>24</v>
      </c>
      <c r="K724" s="3">
        <f t="shared" si="22"/>
        <v>65458.715596330272</v>
      </c>
      <c r="L724" t="str">
        <f t="shared" si="23"/>
        <v>2025-07</v>
      </c>
    </row>
    <row r="725" spans="1:12" x14ac:dyDescent="0.25">
      <c r="A725">
        <v>1727</v>
      </c>
      <c r="B725">
        <v>94</v>
      </c>
      <c r="C725" t="str">
        <f>IFERROR(_xlfn.XLOOKUP(B725, Customer!A:A, Customer!B:B), "Unknown Customer")</f>
        <v>Hamed Fallahi</v>
      </c>
      <c r="D725" s="1">
        <v>45665</v>
      </c>
      <c r="E725" t="s">
        <v>16</v>
      </c>
      <c r="F725" t="s">
        <v>17</v>
      </c>
      <c r="G725">
        <v>1</v>
      </c>
      <c r="H725" t="s">
        <v>11</v>
      </c>
      <c r="I725" s="2">
        <v>75000</v>
      </c>
      <c r="J725" t="s">
        <v>24</v>
      </c>
      <c r="K725" s="3">
        <f t="shared" si="22"/>
        <v>75000</v>
      </c>
      <c r="L725" t="str">
        <f t="shared" si="23"/>
        <v>2025-01</v>
      </c>
    </row>
    <row r="726" spans="1:12" x14ac:dyDescent="0.25">
      <c r="A726">
        <v>1728</v>
      </c>
      <c r="B726">
        <v>107</v>
      </c>
      <c r="C726" t="str">
        <f>IFERROR(_xlfn.XLOOKUP(B726, Customer!A:A, Customer!B:B), "Unknown Customer")</f>
        <v>Mona Abbasi</v>
      </c>
      <c r="D726" s="1">
        <v>45964</v>
      </c>
      <c r="E726" t="s">
        <v>20</v>
      </c>
      <c r="F726" t="s">
        <v>17</v>
      </c>
      <c r="G726">
        <v>1</v>
      </c>
      <c r="H726" t="s">
        <v>11</v>
      </c>
      <c r="I726" s="2">
        <v>50000</v>
      </c>
      <c r="J726" t="s">
        <v>19</v>
      </c>
      <c r="K726" s="3">
        <f t="shared" si="22"/>
        <v>50000</v>
      </c>
      <c r="L726" t="str">
        <f t="shared" si="23"/>
        <v>2025-11</v>
      </c>
    </row>
    <row r="727" spans="1:12" x14ac:dyDescent="0.25">
      <c r="A727">
        <v>1729</v>
      </c>
      <c r="B727">
        <v>120</v>
      </c>
      <c r="C727" t="str">
        <f>IFERROR(_xlfn.XLOOKUP(B727, Customer!A:A, Customer!B:B), "Unknown Customer")</f>
        <v>Sepideh Abbasi</v>
      </c>
      <c r="D727" s="1">
        <v>45850</v>
      </c>
      <c r="E727" t="s">
        <v>20</v>
      </c>
      <c r="F727" t="s">
        <v>17</v>
      </c>
      <c r="G727">
        <v>2</v>
      </c>
      <c r="H727" t="s">
        <v>11</v>
      </c>
      <c r="I727" s="2">
        <v>50000</v>
      </c>
      <c r="J727" t="s">
        <v>28</v>
      </c>
      <c r="K727" s="3">
        <f t="shared" si="22"/>
        <v>100000</v>
      </c>
      <c r="L727" t="str">
        <f t="shared" si="23"/>
        <v>2025-07</v>
      </c>
    </row>
    <row r="728" spans="1:12" x14ac:dyDescent="0.25">
      <c r="A728">
        <v>1730</v>
      </c>
      <c r="B728">
        <v>60</v>
      </c>
      <c r="C728" t="str">
        <f>IFERROR(_xlfn.XLOOKUP(B728, Customer!A:A, Customer!B:B), "Unknown Customer")</f>
        <v>Sina Ghasemi</v>
      </c>
      <c r="D728" s="1">
        <v>45948</v>
      </c>
      <c r="E728" t="s">
        <v>22</v>
      </c>
      <c r="F728" t="s">
        <v>14</v>
      </c>
      <c r="G728">
        <v>1</v>
      </c>
      <c r="H728" t="s">
        <v>11</v>
      </c>
      <c r="I728" s="2">
        <v>60000</v>
      </c>
      <c r="J728" t="s">
        <v>19</v>
      </c>
      <c r="K728" s="3">
        <f t="shared" si="22"/>
        <v>60000</v>
      </c>
      <c r="L728" t="str">
        <f t="shared" si="23"/>
        <v>2025-10</v>
      </c>
    </row>
    <row r="729" spans="1:12" x14ac:dyDescent="0.25">
      <c r="A729">
        <v>1731</v>
      </c>
      <c r="B729">
        <v>106</v>
      </c>
      <c r="C729" t="str">
        <f>IFERROR(_xlfn.XLOOKUP(B729, Customer!A:A, Customer!B:B), "Unknown Customer")</f>
        <v>Iman Zare</v>
      </c>
      <c r="D729" s="1">
        <v>45957</v>
      </c>
      <c r="E729" t="s">
        <v>9</v>
      </c>
      <c r="F729" t="s">
        <v>10</v>
      </c>
      <c r="G729">
        <v>2</v>
      </c>
      <c r="H729" t="s">
        <v>11</v>
      </c>
      <c r="I729" s="2">
        <v>62265.486725663715</v>
      </c>
      <c r="J729" t="s">
        <v>19</v>
      </c>
      <c r="K729" s="3">
        <f t="shared" si="22"/>
        <v>124530.97345132743</v>
      </c>
      <c r="L729" t="str">
        <f t="shared" si="23"/>
        <v>2025-10</v>
      </c>
    </row>
    <row r="730" spans="1:12" x14ac:dyDescent="0.25">
      <c r="A730">
        <v>1732</v>
      </c>
      <c r="B730">
        <v>20</v>
      </c>
      <c r="C730" t="str">
        <f>IFERROR(_xlfn.XLOOKUP(B730, Customer!A:A, Customer!B:B), "Unknown Customer")</f>
        <v>Setareh Abbasi</v>
      </c>
      <c r="D730" s="1">
        <v>45722</v>
      </c>
      <c r="E730" t="s">
        <v>9</v>
      </c>
      <c r="F730" t="s">
        <v>10</v>
      </c>
      <c r="G730">
        <v>1</v>
      </c>
      <c r="H730" t="s">
        <v>11</v>
      </c>
      <c r="I730" s="2">
        <v>62000</v>
      </c>
      <c r="J730" t="s">
        <v>15</v>
      </c>
      <c r="K730" s="3">
        <f t="shared" si="22"/>
        <v>62000</v>
      </c>
      <c r="L730" t="str">
        <f t="shared" si="23"/>
        <v>2025-03</v>
      </c>
    </row>
    <row r="731" spans="1:12" x14ac:dyDescent="0.25">
      <c r="A731">
        <v>1733</v>
      </c>
      <c r="B731">
        <v>117</v>
      </c>
      <c r="C731" t="str">
        <f>IFERROR(_xlfn.XLOOKUP(B731, Customer!A:A, Customer!B:B), "Unknown Customer")</f>
        <v>Babak Naderi</v>
      </c>
      <c r="D731" s="1">
        <v>45988</v>
      </c>
      <c r="E731" t="s">
        <v>22</v>
      </c>
      <c r="F731" t="s">
        <v>14</v>
      </c>
      <c r="G731">
        <v>1</v>
      </c>
      <c r="H731" t="s">
        <v>11</v>
      </c>
      <c r="I731" s="2">
        <v>60000</v>
      </c>
      <c r="J731" t="s">
        <v>28</v>
      </c>
      <c r="K731" s="3">
        <f t="shared" si="22"/>
        <v>60000</v>
      </c>
      <c r="L731" t="str">
        <f t="shared" si="23"/>
        <v>2025-11</v>
      </c>
    </row>
    <row r="732" spans="1:12" x14ac:dyDescent="0.25">
      <c r="A732">
        <v>1734</v>
      </c>
      <c r="B732">
        <v>96</v>
      </c>
      <c r="C732" t="str">
        <f>IFERROR(_xlfn.XLOOKUP(B732, Customer!A:A, Customer!B:B), "Unknown Customer")</f>
        <v>Milad Norouzi</v>
      </c>
      <c r="D732" s="1">
        <v>45955</v>
      </c>
      <c r="E732" t="s">
        <v>25</v>
      </c>
      <c r="F732" t="s">
        <v>10</v>
      </c>
      <c r="G732">
        <v>4</v>
      </c>
      <c r="H732" t="s">
        <v>11</v>
      </c>
      <c r="I732" s="2">
        <v>65000</v>
      </c>
      <c r="J732" t="s">
        <v>12</v>
      </c>
      <c r="K732" s="3">
        <f t="shared" si="22"/>
        <v>260000</v>
      </c>
      <c r="L732" t="str">
        <f t="shared" si="23"/>
        <v>2025-10</v>
      </c>
    </row>
    <row r="733" spans="1:12" x14ac:dyDescent="0.25">
      <c r="A733">
        <v>1735</v>
      </c>
      <c r="B733">
        <v>105</v>
      </c>
      <c r="C733" t="str">
        <f>IFERROR(_xlfn.XLOOKUP(B733, Customer!A:A, Customer!B:B), "Unknown Customer")</f>
        <v>Tara Ghasemi</v>
      </c>
      <c r="D733" s="1">
        <v>45849</v>
      </c>
      <c r="E733" t="s">
        <v>18</v>
      </c>
      <c r="F733" t="s">
        <v>14</v>
      </c>
      <c r="G733">
        <v>4</v>
      </c>
      <c r="H733" t="s">
        <v>11</v>
      </c>
      <c r="I733" s="2">
        <v>55000</v>
      </c>
      <c r="J733" t="s">
        <v>24</v>
      </c>
      <c r="K733" s="3">
        <f t="shared" si="22"/>
        <v>220000</v>
      </c>
      <c r="L733" t="str">
        <f t="shared" si="23"/>
        <v>2025-07</v>
      </c>
    </row>
    <row r="734" spans="1:12" x14ac:dyDescent="0.25">
      <c r="A734">
        <v>1736</v>
      </c>
      <c r="B734">
        <v>41</v>
      </c>
      <c r="C734" t="str">
        <f>IFERROR(_xlfn.XLOOKUP(B734, Customer!A:A, Customer!B:B), "Unknown Customer")</f>
        <v>Iman Yousefi</v>
      </c>
      <c r="D734" s="1">
        <v>46012</v>
      </c>
      <c r="E734" t="s">
        <v>16</v>
      </c>
      <c r="F734" t="s">
        <v>17</v>
      </c>
      <c r="G734">
        <v>1</v>
      </c>
      <c r="H734" t="s">
        <v>11</v>
      </c>
      <c r="I734" s="2">
        <v>70000</v>
      </c>
      <c r="J734" t="s">
        <v>15</v>
      </c>
      <c r="K734" s="3">
        <f t="shared" si="22"/>
        <v>70000</v>
      </c>
      <c r="L734" t="str">
        <f t="shared" si="23"/>
        <v>2025-12</v>
      </c>
    </row>
    <row r="735" spans="1:12" x14ac:dyDescent="0.25">
      <c r="A735">
        <v>1737</v>
      </c>
      <c r="B735">
        <v>82</v>
      </c>
      <c r="C735" t="str">
        <f>IFERROR(_xlfn.XLOOKUP(B735, Customer!A:A, Customer!B:B), "Unknown Customer")</f>
        <v>Azadeh Rezaei</v>
      </c>
      <c r="D735" s="1">
        <v>45682</v>
      </c>
      <c r="E735" t="s">
        <v>25</v>
      </c>
      <c r="F735" t="s">
        <v>10</v>
      </c>
      <c r="G735">
        <v>2</v>
      </c>
      <c r="H735" t="s">
        <v>11</v>
      </c>
      <c r="I735" s="2">
        <v>60000</v>
      </c>
      <c r="J735" t="s">
        <v>32</v>
      </c>
      <c r="K735" s="3">
        <f t="shared" si="22"/>
        <v>120000</v>
      </c>
      <c r="L735" t="str">
        <f t="shared" si="23"/>
        <v>2025-01</v>
      </c>
    </row>
    <row r="736" spans="1:12" x14ac:dyDescent="0.25">
      <c r="A736">
        <v>1738</v>
      </c>
      <c r="B736">
        <v>24</v>
      </c>
      <c r="C736" t="str">
        <f>IFERROR(_xlfn.XLOOKUP(B736, Customer!A:A, Customer!B:B), "Unknown Customer")</f>
        <v>Farhad Sadeghi</v>
      </c>
      <c r="D736" s="1">
        <v>45727</v>
      </c>
      <c r="E736" t="s">
        <v>18</v>
      </c>
      <c r="F736" t="s">
        <v>14</v>
      </c>
      <c r="G736">
        <v>4</v>
      </c>
      <c r="H736" t="s">
        <v>11</v>
      </c>
      <c r="I736" s="2">
        <v>55000</v>
      </c>
      <c r="J736" t="s">
        <v>21</v>
      </c>
      <c r="K736" s="3">
        <f t="shared" si="22"/>
        <v>220000</v>
      </c>
      <c r="L736" t="str">
        <f t="shared" si="23"/>
        <v>2025-03</v>
      </c>
    </row>
    <row r="737" spans="1:12" x14ac:dyDescent="0.25">
      <c r="A737">
        <v>1739</v>
      </c>
      <c r="B737">
        <v>88</v>
      </c>
      <c r="C737" t="str">
        <f>IFERROR(_xlfn.XLOOKUP(B737, Customer!A:A, Customer!B:B), "Unknown Customer")</f>
        <v>Golnaz Rostami</v>
      </c>
      <c r="D737" s="1">
        <v>46010</v>
      </c>
      <c r="E737" t="s">
        <v>22</v>
      </c>
      <c r="F737" t="s">
        <v>14</v>
      </c>
      <c r="G737">
        <v>2</v>
      </c>
      <c r="H737" t="s">
        <v>11</v>
      </c>
      <c r="I737" s="2">
        <v>65000</v>
      </c>
      <c r="J737" t="s">
        <v>19</v>
      </c>
      <c r="K737" s="3">
        <f t="shared" si="22"/>
        <v>130000</v>
      </c>
      <c r="L737" t="str">
        <f t="shared" si="23"/>
        <v>2025-12</v>
      </c>
    </row>
    <row r="738" spans="1:12" x14ac:dyDescent="0.25">
      <c r="A738">
        <v>1740</v>
      </c>
      <c r="B738">
        <v>18</v>
      </c>
      <c r="C738" t="str">
        <f>IFERROR(_xlfn.XLOOKUP(B738, Customer!A:A, Customer!B:B), "Unknown Customer")</f>
        <v>Niloofar Abbasi</v>
      </c>
      <c r="D738" s="1">
        <v>45802</v>
      </c>
      <c r="E738" t="s">
        <v>23</v>
      </c>
      <c r="F738" t="s">
        <v>17</v>
      </c>
      <c r="G738">
        <v>-2</v>
      </c>
      <c r="H738" t="s">
        <v>26</v>
      </c>
      <c r="I738" s="2">
        <v>85000</v>
      </c>
      <c r="J738" t="s">
        <v>24</v>
      </c>
      <c r="K738" s="3">
        <f t="shared" si="22"/>
        <v>-170000</v>
      </c>
      <c r="L738" t="str">
        <f t="shared" si="23"/>
        <v>2025-05</v>
      </c>
    </row>
    <row r="739" spans="1:12" x14ac:dyDescent="0.25">
      <c r="A739">
        <v>1741</v>
      </c>
      <c r="B739">
        <v>20</v>
      </c>
      <c r="C739" t="str">
        <f>IFERROR(_xlfn.XLOOKUP(B739, Customer!A:A, Customer!B:B), "Unknown Customer")</f>
        <v>Setareh Abbasi</v>
      </c>
      <c r="D739" s="1">
        <v>45771</v>
      </c>
      <c r="E739" t="s">
        <v>23</v>
      </c>
      <c r="F739" t="s">
        <v>17</v>
      </c>
      <c r="G739">
        <v>2</v>
      </c>
      <c r="H739" t="s">
        <v>11</v>
      </c>
      <c r="I739" s="2">
        <v>85000</v>
      </c>
      <c r="J739" t="s">
        <v>24</v>
      </c>
      <c r="K739" s="3">
        <f t="shared" si="22"/>
        <v>170000</v>
      </c>
      <c r="L739" t="str">
        <f t="shared" si="23"/>
        <v>2025-04</v>
      </c>
    </row>
    <row r="740" spans="1:12" x14ac:dyDescent="0.25">
      <c r="A740">
        <v>1742</v>
      </c>
      <c r="B740">
        <v>119</v>
      </c>
      <c r="C740" t="str">
        <f>IFERROR(_xlfn.XLOOKUP(B740, Customer!A:A, Customer!B:B), "Unknown Customer")</f>
        <v>Sepideh Sadeghi</v>
      </c>
      <c r="D740" s="1">
        <v>45725</v>
      </c>
      <c r="E740" t="s">
        <v>29</v>
      </c>
      <c r="F740" t="s">
        <v>14</v>
      </c>
      <c r="G740">
        <v>3</v>
      </c>
      <c r="H740" t="s">
        <v>11</v>
      </c>
      <c r="I740" s="2">
        <v>45000</v>
      </c>
      <c r="J740" t="s">
        <v>28</v>
      </c>
      <c r="K740" s="3">
        <f t="shared" si="22"/>
        <v>135000</v>
      </c>
      <c r="L740" t="str">
        <f t="shared" si="23"/>
        <v>2025-03</v>
      </c>
    </row>
    <row r="741" spans="1:12" x14ac:dyDescent="0.25">
      <c r="A741">
        <v>1743</v>
      </c>
      <c r="B741">
        <v>67</v>
      </c>
      <c r="C741" t="str">
        <f>IFERROR(_xlfn.XLOOKUP(B741, Customer!A:A, Customer!B:B), "Unknown Customer")</f>
        <v>Reza Jafari</v>
      </c>
      <c r="D741" s="1">
        <v>45746</v>
      </c>
      <c r="E741" t="s">
        <v>25</v>
      </c>
      <c r="F741" t="s">
        <v>10</v>
      </c>
      <c r="G741">
        <v>1</v>
      </c>
      <c r="H741" t="s">
        <v>11</v>
      </c>
      <c r="I741" s="2">
        <v>60000</v>
      </c>
      <c r="J741" t="s">
        <v>12</v>
      </c>
      <c r="K741" s="3">
        <f t="shared" si="22"/>
        <v>60000</v>
      </c>
      <c r="L741" t="str">
        <f t="shared" si="23"/>
        <v>2025-03</v>
      </c>
    </row>
    <row r="742" spans="1:12" x14ac:dyDescent="0.25">
      <c r="A742">
        <v>1744</v>
      </c>
      <c r="B742">
        <v>19</v>
      </c>
      <c r="C742" t="str">
        <f>IFERROR(_xlfn.XLOOKUP(B742, Customer!A:A, Customer!B:B), "Unknown Customer")</f>
        <v>Leila Sadeghi</v>
      </c>
      <c r="D742" s="1">
        <v>45774</v>
      </c>
      <c r="E742" t="s">
        <v>22</v>
      </c>
      <c r="F742" t="s">
        <v>14</v>
      </c>
      <c r="G742">
        <v>1</v>
      </c>
      <c r="H742" t="s">
        <v>11</v>
      </c>
      <c r="I742" s="2">
        <v>60000</v>
      </c>
      <c r="J742" t="s">
        <v>12</v>
      </c>
      <c r="K742" s="3">
        <f t="shared" si="22"/>
        <v>60000</v>
      </c>
      <c r="L742" t="str">
        <f t="shared" si="23"/>
        <v>2025-04</v>
      </c>
    </row>
    <row r="743" spans="1:12" x14ac:dyDescent="0.25">
      <c r="A743">
        <v>1745</v>
      </c>
      <c r="B743">
        <v>98</v>
      </c>
      <c r="C743" t="str">
        <f>IFERROR(_xlfn.XLOOKUP(B743, Customer!A:A, Customer!B:B), "Unknown Customer")</f>
        <v>Elham Mousavi</v>
      </c>
      <c r="D743" s="1">
        <v>45902</v>
      </c>
      <c r="E743" t="s">
        <v>18</v>
      </c>
      <c r="F743" t="s">
        <v>14</v>
      </c>
      <c r="G743">
        <v>1</v>
      </c>
      <c r="H743" t="s">
        <v>11</v>
      </c>
      <c r="I743" s="2">
        <v>55000</v>
      </c>
      <c r="J743" t="s">
        <v>19</v>
      </c>
      <c r="K743" s="3">
        <f t="shared" si="22"/>
        <v>55000</v>
      </c>
      <c r="L743" t="str">
        <f t="shared" si="23"/>
        <v>2025-09</v>
      </c>
    </row>
    <row r="744" spans="1:12" x14ac:dyDescent="0.25">
      <c r="A744">
        <v>1746</v>
      </c>
      <c r="B744">
        <v>5</v>
      </c>
      <c r="C744" t="str">
        <f>IFERROR(_xlfn.XLOOKUP(B744, Customer!A:A, Customer!B:B), "Unknown Customer")</f>
        <v>Sara Sadeghi</v>
      </c>
      <c r="D744" s="1">
        <v>45920</v>
      </c>
      <c r="E744" t="s">
        <v>27</v>
      </c>
      <c r="F744" t="s">
        <v>14</v>
      </c>
      <c r="G744">
        <v>2</v>
      </c>
      <c r="H744" t="s">
        <v>11</v>
      </c>
      <c r="I744" s="2">
        <v>35000</v>
      </c>
      <c r="J744" t="s">
        <v>19</v>
      </c>
      <c r="K744" s="3">
        <f t="shared" si="22"/>
        <v>70000</v>
      </c>
      <c r="L744" t="str">
        <f t="shared" si="23"/>
        <v>2025-09</v>
      </c>
    </row>
    <row r="745" spans="1:12" x14ac:dyDescent="0.25">
      <c r="A745">
        <v>1747</v>
      </c>
      <c r="B745">
        <v>39</v>
      </c>
      <c r="C745" t="str">
        <f>IFERROR(_xlfn.XLOOKUP(B745, Customer!A:A, Customer!B:B), "Unknown Customer")</f>
        <v>Mona Ghasemi</v>
      </c>
      <c r="D745" s="1">
        <v>45663</v>
      </c>
      <c r="E745" t="s">
        <v>27</v>
      </c>
      <c r="F745" t="s">
        <v>14</v>
      </c>
      <c r="G745">
        <v>2</v>
      </c>
      <c r="H745" t="s">
        <v>11</v>
      </c>
      <c r="I745" s="2">
        <v>35000</v>
      </c>
      <c r="J745" t="s">
        <v>24</v>
      </c>
      <c r="K745" s="3">
        <f t="shared" si="22"/>
        <v>70000</v>
      </c>
      <c r="L745" t="str">
        <f t="shared" si="23"/>
        <v>2025-01</v>
      </c>
    </row>
    <row r="746" spans="1:12" x14ac:dyDescent="0.25">
      <c r="A746">
        <v>1748</v>
      </c>
      <c r="B746">
        <v>86</v>
      </c>
      <c r="C746" t="str">
        <f>IFERROR(_xlfn.XLOOKUP(B746, Customer!A:A, Customer!B:B), "Unknown Customer")</f>
        <v>Payam Fallahi</v>
      </c>
      <c r="D746" s="1">
        <v>45672</v>
      </c>
      <c r="E746" t="s">
        <v>25</v>
      </c>
      <c r="F746" t="s">
        <v>10</v>
      </c>
      <c r="G746">
        <v>4</v>
      </c>
      <c r="H746" t="s">
        <v>11</v>
      </c>
      <c r="I746" s="2">
        <v>65000</v>
      </c>
      <c r="J746" t="s">
        <v>32</v>
      </c>
      <c r="K746" s="3">
        <f t="shared" si="22"/>
        <v>260000</v>
      </c>
      <c r="L746" t="str">
        <f t="shared" si="23"/>
        <v>2025-01</v>
      </c>
    </row>
    <row r="747" spans="1:12" x14ac:dyDescent="0.25">
      <c r="A747">
        <v>1749</v>
      </c>
      <c r="B747">
        <v>21</v>
      </c>
      <c r="C747" t="str">
        <f>IFERROR(_xlfn.XLOOKUP(B747, Customer!A:A, Customer!B:B), "Unknown Customer")</f>
        <v>Sina Naderi</v>
      </c>
      <c r="D747" s="1">
        <v>45971</v>
      </c>
      <c r="E747" t="s">
        <v>23</v>
      </c>
      <c r="F747" t="s">
        <v>17</v>
      </c>
      <c r="G747">
        <v>1</v>
      </c>
      <c r="H747" t="s">
        <v>11</v>
      </c>
      <c r="I747" s="2">
        <v>90000</v>
      </c>
      <c r="J747" t="s">
        <v>12</v>
      </c>
      <c r="K747" s="3">
        <f t="shared" si="22"/>
        <v>90000</v>
      </c>
      <c r="L747" t="str">
        <f t="shared" si="23"/>
        <v>2025-11</v>
      </c>
    </row>
    <row r="748" spans="1:12" x14ac:dyDescent="0.25">
      <c r="A748">
        <v>1750</v>
      </c>
      <c r="B748">
        <v>25</v>
      </c>
      <c r="C748" t="str">
        <f>IFERROR(_xlfn.XLOOKUP(B748, Customer!A:A, Customer!B:B), "Unknown Customer")</f>
        <v>Milad Kazemi</v>
      </c>
      <c r="D748" s="1">
        <v>45745</v>
      </c>
      <c r="E748" t="s">
        <v>9</v>
      </c>
      <c r="F748" t="s">
        <v>10</v>
      </c>
      <c r="G748">
        <v>3</v>
      </c>
      <c r="H748" t="s">
        <v>11</v>
      </c>
      <c r="I748" s="2">
        <v>57000</v>
      </c>
      <c r="J748" t="s">
        <v>21</v>
      </c>
      <c r="K748" s="3">
        <f t="shared" si="22"/>
        <v>171000</v>
      </c>
      <c r="L748" t="str">
        <f t="shared" si="23"/>
        <v>2025-03</v>
      </c>
    </row>
    <row r="749" spans="1:12" x14ac:dyDescent="0.25">
      <c r="A749">
        <v>1751</v>
      </c>
      <c r="B749">
        <v>90</v>
      </c>
      <c r="C749" t="str">
        <f>IFERROR(_xlfn.XLOOKUP(B749, Customer!A:A, Customer!B:B), "Unknown Customer")</f>
        <v>Yasaman Karimi</v>
      </c>
      <c r="D749" s="1">
        <v>45752</v>
      </c>
      <c r="E749" t="s">
        <v>20</v>
      </c>
      <c r="F749" t="s">
        <v>17</v>
      </c>
      <c r="G749">
        <v>1</v>
      </c>
      <c r="H749" t="s">
        <v>11</v>
      </c>
      <c r="I749" s="2">
        <v>50000</v>
      </c>
      <c r="J749" t="s">
        <v>24</v>
      </c>
      <c r="K749" s="3">
        <f t="shared" si="22"/>
        <v>50000</v>
      </c>
      <c r="L749" t="str">
        <f t="shared" si="23"/>
        <v>2025-04</v>
      </c>
    </row>
    <row r="750" spans="1:12" x14ac:dyDescent="0.25">
      <c r="A750">
        <v>1752</v>
      </c>
      <c r="B750">
        <v>66</v>
      </c>
      <c r="C750" t="str">
        <f>IFERROR(_xlfn.XLOOKUP(B750, Customer!A:A, Customer!B:B), "Unknown Customer")</f>
        <v>Farhad Abbasi</v>
      </c>
      <c r="D750" s="1">
        <v>45866</v>
      </c>
      <c r="E750" t="s">
        <v>30</v>
      </c>
      <c r="F750" t="s">
        <v>14</v>
      </c>
      <c r="G750">
        <v>1</v>
      </c>
      <c r="H750" t="s">
        <v>11</v>
      </c>
      <c r="I750" s="2">
        <v>48000</v>
      </c>
      <c r="J750" t="s">
        <v>15</v>
      </c>
      <c r="K750" s="3">
        <f t="shared" si="22"/>
        <v>48000</v>
      </c>
      <c r="L750" t="str">
        <f t="shared" si="23"/>
        <v>2025-07</v>
      </c>
    </row>
    <row r="751" spans="1:12" x14ac:dyDescent="0.25">
      <c r="A751">
        <v>1753</v>
      </c>
      <c r="B751">
        <v>98</v>
      </c>
      <c r="C751" t="str">
        <f>IFERROR(_xlfn.XLOOKUP(B751, Customer!A:A, Customer!B:B), "Unknown Customer")</f>
        <v>Elham Mousavi</v>
      </c>
      <c r="D751" s="1">
        <v>46018</v>
      </c>
      <c r="E751" t="s">
        <v>25</v>
      </c>
      <c r="F751" t="s">
        <v>10</v>
      </c>
      <c r="G751">
        <v>1</v>
      </c>
      <c r="H751" t="s">
        <v>11</v>
      </c>
      <c r="I751" s="2">
        <v>65000</v>
      </c>
      <c r="J751" t="s">
        <v>15</v>
      </c>
      <c r="K751" s="3">
        <f t="shared" si="22"/>
        <v>65000</v>
      </c>
      <c r="L751" t="str">
        <f t="shared" si="23"/>
        <v>2025-12</v>
      </c>
    </row>
    <row r="752" spans="1:12" x14ac:dyDescent="0.25">
      <c r="A752">
        <v>1754</v>
      </c>
      <c r="B752">
        <v>37</v>
      </c>
      <c r="C752" t="str">
        <f>IFERROR(_xlfn.XLOOKUP(B752, Customer!A:A, Customer!B:B), "Unknown Customer")</f>
        <v>Omid Sadeghi</v>
      </c>
      <c r="D752" s="1">
        <v>45758</v>
      </c>
      <c r="E752" t="s">
        <v>16</v>
      </c>
      <c r="F752" t="s">
        <v>17</v>
      </c>
      <c r="G752">
        <v>3</v>
      </c>
      <c r="H752" t="s">
        <v>11</v>
      </c>
      <c r="I752" s="2">
        <v>75000</v>
      </c>
      <c r="J752" t="s">
        <v>21</v>
      </c>
      <c r="K752" s="3">
        <f t="shared" si="22"/>
        <v>225000</v>
      </c>
      <c r="L752" t="str">
        <f t="shared" si="23"/>
        <v>2025-04</v>
      </c>
    </row>
    <row r="753" spans="1:12" x14ac:dyDescent="0.25">
      <c r="A753">
        <v>1755</v>
      </c>
      <c r="B753">
        <v>110</v>
      </c>
      <c r="C753" t="str">
        <f>IFERROR(_xlfn.XLOOKUP(B753, Customer!A:A, Customer!B:B), "Unknown Customer")</f>
        <v>Parisa Mousavi</v>
      </c>
      <c r="D753" s="1">
        <v>45842</v>
      </c>
      <c r="E753" t="s">
        <v>31</v>
      </c>
      <c r="F753" t="s">
        <v>17</v>
      </c>
      <c r="G753">
        <v>3</v>
      </c>
      <c r="H753" t="s">
        <v>11</v>
      </c>
      <c r="I753" s="2">
        <v>40000</v>
      </c>
      <c r="J753" t="s">
        <v>12</v>
      </c>
      <c r="K753" s="3">
        <f t="shared" si="22"/>
        <v>120000</v>
      </c>
      <c r="L753" t="str">
        <f t="shared" si="23"/>
        <v>2025-07</v>
      </c>
    </row>
    <row r="754" spans="1:12" x14ac:dyDescent="0.25">
      <c r="A754">
        <v>1756</v>
      </c>
      <c r="B754">
        <v>63</v>
      </c>
      <c r="C754" t="str">
        <f>IFERROR(_xlfn.XLOOKUP(B754, Customer!A:A, Customer!B:B), "Unknown Customer")</f>
        <v>Golnaz Rezaei</v>
      </c>
      <c r="D754" s="1">
        <v>45711</v>
      </c>
      <c r="E754" t="s">
        <v>27</v>
      </c>
      <c r="F754" t="s">
        <v>14</v>
      </c>
      <c r="G754">
        <v>2</v>
      </c>
      <c r="H754" t="s">
        <v>11</v>
      </c>
      <c r="I754" s="2">
        <v>30000</v>
      </c>
      <c r="J754" t="s">
        <v>15</v>
      </c>
      <c r="K754" s="3">
        <f t="shared" si="22"/>
        <v>60000</v>
      </c>
      <c r="L754" t="str">
        <f t="shared" si="23"/>
        <v>2025-02</v>
      </c>
    </row>
    <row r="755" spans="1:12" x14ac:dyDescent="0.25">
      <c r="A755">
        <v>1757</v>
      </c>
      <c r="B755">
        <v>52</v>
      </c>
      <c r="C755" t="str">
        <f>IFERROR(_xlfn.XLOOKUP(B755, Customer!A:A, Customer!B:B), "Unknown Customer")</f>
        <v>Kaveh Rostami</v>
      </c>
      <c r="D755" s="1">
        <v>45960</v>
      </c>
      <c r="E755" t="s">
        <v>22</v>
      </c>
      <c r="F755" t="s">
        <v>14</v>
      </c>
      <c r="G755">
        <v>1</v>
      </c>
      <c r="H755" t="s">
        <v>11</v>
      </c>
      <c r="I755" s="2">
        <v>60000</v>
      </c>
      <c r="J755" t="s">
        <v>24</v>
      </c>
      <c r="K755" s="3">
        <f t="shared" si="22"/>
        <v>60000</v>
      </c>
      <c r="L755" t="str">
        <f t="shared" si="23"/>
        <v>2025-10</v>
      </c>
    </row>
    <row r="756" spans="1:12" x14ac:dyDescent="0.25">
      <c r="A756">
        <v>1758</v>
      </c>
      <c r="B756">
        <v>77</v>
      </c>
      <c r="C756" t="str">
        <f>IFERROR(_xlfn.XLOOKUP(B756, Customer!A:A, Customer!B:B), "Unknown Customer")</f>
        <v>Iman Sadeghi</v>
      </c>
      <c r="D756" s="1">
        <v>45750</v>
      </c>
      <c r="E756" t="s">
        <v>31</v>
      </c>
      <c r="F756" t="s">
        <v>17</v>
      </c>
      <c r="G756">
        <v>3</v>
      </c>
      <c r="H756" t="s">
        <v>11</v>
      </c>
      <c r="I756" s="2">
        <v>40000</v>
      </c>
      <c r="J756" t="s">
        <v>12</v>
      </c>
      <c r="K756" s="3">
        <f t="shared" si="22"/>
        <v>120000</v>
      </c>
      <c r="L756" t="str">
        <f t="shared" si="23"/>
        <v>2025-04</v>
      </c>
    </row>
    <row r="757" spans="1:12" x14ac:dyDescent="0.25">
      <c r="A757">
        <v>1759</v>
      </c>
      <c r="B757">
        <v>96</v>
      </c>
      <c r="C757" t="str">
        <f>IFERROR(_xlfn.XLOOKUP(B757, Customer!A:A, Customer!B:B), "Unknown Customer")</f>
        <v>Milad Norouzi</v>
      </c>
      <c r="D757" s="1">
        <v>45695</v>
      </c>
      <c r="E757" t="s">
        <v>31</v>
      </c>
      <c r="F757" t="s">
        <v>17</v>
      </c>
      <c r="G757">
        <v>2</v>
      </c>
      <c r="H757" t="s">
        <v>11</v>
      </c>
      <c r="I757" s="2">
        <v>45000</v>
      </c>
      <c r="J757" t="s">
        <v>15</v>
      </c>
      <c r="K757" s="3">
        <f t="shared" si="22"/>
        <v>90000</v>
      </c>
      <c r="L757" t="str">
        <f t="shared" si="23"/>
        <v>2025-02</v>
      </c>
    </row>
    <row r="758" spans="1:12" x14ac:dyDescent="0.25">
      <c r="A758">
        <v>1760</v>
      </c>
      <c r="B758">
        <v>14</v>
      </c>
      <c r="C758" t="str">
        <f>IFERROR(_xlfn.XLOOKUP(B758, Customer!A:A, Customer!B:B), "Unknown Customer")</f>
        <v>Ali Ghasemi</v>
      </c>
      <c r="D758" s="1">
        <v>45905</v>
      </c>
      <c r="E758" t="s">
        <v>18</v>
      </c>
      <c r="F758" t="s">
        <v>14</v>
      </c>
      <c r="G758">
        <v>1</v>
      </c>
      <c r="H758" t="s">
        <v>11</v>
      </c>
      <c r="I758" s="2">
        <v>55000</v>
      </c>
      <c r="J758" t="s">
        <v>12</v>
      </c>
      <c r="K758" s="3">
        <f t="shared" si="22"/>
        <v>55000</v>
      </c>
      <c r="L758" t="str">
        <f t="shared" si="23"/>
        <v>2025-09</v>
      </c>
    </row>
    <row r="759" spans="1:12" x14ac:dyDescent="0.25">
      <c r="A759">
        <v>1761</v>
      </c>
      <c r="B759">
        <v>7</v>
      </c>
      <c r="C759" t="str">
        <f>IFERROR(_xlfn.XLOOKUP(B759, Customer!A:A, Customer!B:B), "Unknown Customer")</f>
        <v>Farhad Vakili</v>
      </c>
      <c r="D759" s="1">
        <v>45913</v>
      </c>
      <c r="E759" t="s">
        <v>18</v>
      </c>
      <c r="F759" t="s">
        <v>14</v>
      </c>
      <c r="G759">
        <v>1</v>
      </c>
      <c r="H759" t="s">
        <v>11</v>
      </c>
      <c r="I759" s="2">
        <v>55320</v>
      </c>
      <c r="J759" t="s">
        <v>24</v>
      </c>
      <c r="K759" s="3">
        <f t="shared" si="22"/>
        <v>55320</v>
      </c>
      <c r="L759" t="str">
        <f t="shared" si="23"/>
        <v>2025-09</v>
      </c>
    </row>
    <row r="760" spans="1:12" x14ac:dyDescent="0.25">
      <c r="A760">
        <v>1762</v>
      </c>
      <c r="B760">
        <v>39</v>
      </c>
      <c r="C760" t="str">
        <f>IFERROR(_xlfn.XLOOKUP(B760, Customer!A:A, Customer!B:B), "Unknown Customer")</f>
        <v>Mona Ghasemi</v>
      </c>
      <c r="D760" s="1">
        <v>45977</v>
      </c>
      <c r="E760" t="s">
        <v>20</v>
      </c>
      <c r="F760" t="s">
        <v>17</v>
      </c>
      <c r="G760">
        <v>3</v>
      </c>
      <c r="H760" t="s">
        <v>11</v>
      </c>
      <c r="I760" s="2">
        <v>55000</v>
      </c>
      <c r="J760" t="s">
        <v>24</v>
      </c>
      <c r="K760" s="3">
        <f t="shared" si="22"/>
        <v>165000</v>
      </c>
      <c r="L760" t="str">
        <f t="shared" si="23"/>
        <v>2025-11</v>
      </c>
    </row>
    <row r="761" spans="1:12" x14ac:dyDescent="0.25">
      <c r="A761">
        <v>1763</v>
      </c>
      <c r="B761">
        <v>38</v>
      </c>
      <c r="C761" t="str">
        <f>IFERROR(_xlfn.XLOOKUP(B761, Customer!A:A, Customer!B:B), "Unknown Customer")</f>
        <v>Setareh Naderi</v>
      </c>
      <c r="D761" s="1">
        <v>46000</v>
      </c>
      <c r="E761" t="s">
        <v>27</v>
      </c>
      <c r="F761" t="s">
        <v>14</v>
      </c>
      <c r="G761">
        <v>2</v>
      </c>
      <c r="H761" t="s">
        <v>11</v>
      </c>
      <c r="I761" s="2">
        <v>35000</v>
      </c>
      <c r="J761" t="s">
        <v>19</v>
      </c>
      <c r="K761" s="3">
        <f t="shared" si="22"/>
        <v>70000</v>
      </c>
      <c r="L761" t="str">
        <f t="shared" si="23"/>
        <v>2025-12</v>
      </c>
    </row>
    <row r="762" spans="1:12" x14ac:dyDescent="0.25">
      <c r="A762">
        <v>1764</v>
      </c>
      <c r="B762">
        <v>56</v>
      </c>
      <c r="C762" t="str">
        <f>IFERROR(_xlfn.XLOOKUP(B762, Customer!A:A, Customer!B:B), "Unknown Customer")</f>
        <v>Tara Jafari</v>
      </c>
      <c r="D762" s="1">
        <v>45854</v>
      </c>
      <c r="E762" t="s">
        <v>18</v>
      </c>
      <c r="F762" t="s">
        <v>14</v>
      </c>
      <c r="G762">
        <v>4</v>
      </c>
      <c r="H762" t="s">
        <v>11</v>
      </c>
      <c r="I762" s="2">
        <v>55000</v>
      </c>
      <c r="J762" t="s">
        <v>19</v>
      </c>
      <c r="K762" s="3">
        <f t="shared" si="22"/>
        <v>220000</v>
      </c>
      <c r="L762" t="str">
        <f t="shared" si="23"/>
        <v>2025-07</v>
      </c>
    </row>
    <row r="763" spans="1:12" x14ac:dyDescent="0.25">
      <c r="A763">
        <v>1765</v>
      </c>
      <c r="B763">
        <v>5</v>
      </c>
      <c r="C763" t="str">
        <f>IFERROR(_xlfn.XLOOKUP(B763, Customer!A:A, Customer!B:B), "Unknown Customer")</f>
        <v>Sara Sadeghi</v>
      </c>
      <c r="D763" s="1">
        <v>45943</v>
      </c>
      <c r="E763" t="s">
        <v>13</v>
      </c>
      <c r="F763" t="s">
        <v>14</v>
      </c>
      <c r="G763">
        <v>3</v>
      </c>
      <c r="H763" t="s">
        <v>11</v>
      </c>
      <c r="I763" s="2">
        <v>58142.857142857145</v>
      </c>
      <c r="J763" t="s">
        <v>24</v>
      </c>
      <c r="K763" s="3">
        <f t="shared" si="22"/>
        <v>174428.57142857142</v>
      </c>
      <c r="L763" t="str">
        <f t="shared" si="23"/>
        <v>2025-10</v>
      </c>
    </row>
    <row r="764" spans="1:12" x14ac:dyDescent="0.25">
      <c r="A764">
        <v>1766</v>
      </c>
      <c r="B764">
        <v>40</v>
      </c>
      <c r="C764" t="str">
        <f>IFERROR(_xlfn.XLOOKUP(B764, Customer!A:A, Customer!B:B), "Unknown Customer")</f>
        <v>Nazanin Hosseini</v>
      </c>
      <c r="D764" s="1">
        <v>45857</v>
      </c>
      <c r="E764" t="s">
        <v>22</v>
      </c>
      <c r="F764" t="s">
        <v>14</v>
      </c>
      <c r="G764">
        <v>2</v>
      </c>
      <c r="H764" t="s">
        <v>11</v>
      </c>
      <c r="I764" s="2">
        <v>60000</v>
      </c>
      <c r="J764" t="s">
        <v>15</v>
      </c>
      <c r="K764" s="3">
        <f t="shared" si="22"/>
        <v>120000</v>
      </c>
      <c r="L764" t="str">
        <f t="shared" si="23"/>
        <v>2025-07</v>
      </c>
    </row>
    <row r="765" spans="1:12" x14ac:dyDescent="0.25">
      <c r="A765">
        <v>1767</v>
      </c>
      <c r="B765">
        <v>72</v>
      </c>
      <c r="C765" t="str">
        <f>IFERROR(_xlfn.XLOOKUP(B765, Customer!A:A, Customer!B:B), "Unknown Customer")</f>
        <v>Roya Rostami</v>
      </c>
      <c r="D765" s="1">
        <v>45917</v>
      </c>
      <c r="E765" t="s">
        <v>13</v>
      </c>
      <c r="F765" t="s">
        <v>14</v>
      </c>
      <c r="G765">
        <v>1</v>
      </c>
      <c r="H765" t="s">
        <v>11</v>
      </c>
      <c r="I765" s="2">
        <v>58142.857142857145</v>
      </c>
      <c r="J765" t="s">
        <v>28</v>
      </c>
      <c r="K765" s="3">
        <f t="shared" si="22"/>
        <v>58142.857142857145</v>
      </c>
      <c r="L765" t="str">
        <f t="shared" si="23"/>
        <v>2025-09</v>
      </c>
    </row>
    <row r="766" spans="1:12" x14ac:dyDescent="0.25">
      <c r="A766">
        <v>1768</v>
      </c>
      <c r="B766">
        <v>87</v>
      </c>
      <c r="C766" t="str">
        <f>IFERROR(_xlfn.XLOOKUP(B766, Customer!A:A, Customer!B:B), "Unknown Customer")</f>
        <v>Sepideh Abbasi</v>
      </c>
      <c r="D766" s="1">
        <v>45803</v>
      </c>
      <c r="E766" t="s">
        <v>25</v>
      </c>
      <c r="F766" t="s">
        <v>10</v>
      </c>
      <c r="G766">
        <v>1</v>
      </c>
      <c r="H766" t="s">
        <v>11</v>
      </c>
      <c r="I766" s="2">
        <v>70000</v>
      </c>
      <c r="J766" t="s">
        <v>21</v>
      </c>
      <c r="K766" s="3">
        <f t="shared" si="22"/>
        <v>70000</v>
      </c>
      <c r="L766" t="str">
        <f t="shared" si="23"/>
        <v>2025-05</v>
      </c>
    </row>
    <row r="767" spans="1:12" x14ac:dyDescent="0.25">
      <c r="A767">
        <v>1769</v>
      </c>
      <c r="B767">
        <v>45</v>
      </c>
      <c r="C767" t="str">
        <f>IFERROR(_xlfn.XLOOKUP(B767, Customer!A:A, Customer!B:B), "Unknown Customer")</f>
        <v>Mona Vakili</v>
      </c>
      <c r="D767" s="1">
        <v>45956</v>
      </c>
      <c r="E767" t="s">
        <v>22</v>
      </c>
      <c r="F767" t="s">
        <v>14</v>
      </c>
      <c r="G767">
        <v>2</v>
      </c>
      <c r="H767" t="s">
        <v>11</v>
      </c>
      <c r="I767" s="2">
        <v>55000</v>
      </c>
      <c r="J767" t="s">
        <v>21</v>
      </c>
      <c r="K767" s="3">
        <f t="shared" si="22"/>
        <v>110000</v>
      </c>
      <c r="L767" t="str">
        <f t="shared" si="23"/>
        <v>2025-10</v>
      </c>
    </row>
    <row r="768" spans="1:12" x14ac:dyDescent="0.25">
      <c r="A768">
        <v>1770</v>
      </c>
      <c r="B768">
        <v>53</v>
      </c>
      <c r="C768" t="str">
        <f>IFERROR(_xlfn.XLOOKUP(B768, Customer!A:A, Customer!B:B), "Unknown Customer")</f>
        <v>Azadeh Moradi</v>
      </c>
      <c r="D768" s="1">
        <v>45686</v>
      </c>
      <c r="E768" t="s">
        <v>25</v>
      </c>
      <c r="F768" t="s">
        <v>10</v>
      </c>
      <c r="G768">
        <v>1</v>
      </c>
      <c r="H768" t="s">
        <v>11</v>
      </c>
      <c r="I768" s="2">
        <v>65000</v>
      </c>
      <c r="J768" t="s">
        <v>28</v>
      </c>
      <c r="K768" s="3">
        <f t="shared" si="22"/>
        <v>65000</v>
      </c>
      <c r="L768" t="str">
        <f t="shared" si="23"/>
        <v>2025-01</v>
      </c>
    </row>
    <row r="769" spans="1:12" x14ac:dyDescent="0.25">
      <c r="A769">
        <v>1771</v>
      </c>
      <c r="B769">
        <v>11</v>
      </c>
      <c r="C769" t="str">
        <f>IFERROR(_xlfn.XLOOKUP(B769, Customer!A:A, Customer!B:B), "Unknown Customer")</f>
        <v>Leila Kazemi</v>
      </c>
      <c r="D769" s="1">
        <v>45691</v>
      </c>
      <c r="E769" t="s">
        <v>22</v>
      </c>
      <c r="F769" t="s">
        <v>14</v>
      </c>
      <c r="G769">
        <v>1</v>
      </c>
      <c r="H769" t="s">
        <v>11</v>
      </c>
      <c r="I769" s="2">
        <v>60000</v>
      </c>
      <c r="J769" t="s">
        <v>19</v>
      </c>
      <c r="K769" s="3">
        <f t="shared" si="22"/>
        <v>60000</v>
      </c>
      <c r="L769" t="str">
        <f t="shared" si="23"/>
        <v>2025-02</v>
      </c>
    </row>
    <row r="770" spans="1:12" x14ac:dyDescent="0.25">
      <c r="A770">
        <v>1772</v>
      </c>
      <c r="B770">
        <v>59</v>
      </c>
      <c r="C770" t="str">
        <f>IFERROR(_xlfn.XLOOKUP(B770, Customer!A:A, Customer!B:B), "Unknown Customer")</f>
        <v>Niloofar Hosseini</v>
      </c>
      <c r="D770" s="1">
        <v>45785</v>
      </c>
      <c r="E770" t="s">
        <v>27</v>
      </c>
      <c r="F770" t="s">
        <v>14</v>
      </c>
      <c r="G770">
        <v>1</v>
      </c>
      <c r="H770" t="s">
        <v>11</v>
      </c>
      <c r="I770" s="2">
        <v>30000</v>
      </c>
      <c r="J770" t="s">
        <v>28</v>
      </c>
      <c r="K770" s="3">
        <f t="shared" si="22"/>
        <v>30000</v>
      </c>
      <c r="L770" t="str">
        <f t="shared" si="23"/>
        <v>2025-05</v>
      </c>
    </row>
    <row r="771" spans="1:12" x14ac:dyDescent="0.25">
      <c r="A771">
        <v>1773</v>
      </c>
      <c r="B771">
        <v>3</v>
      </c>
      <c r="C771" t="str">
        <f>IFERROR(_xlfn.XLOOKUP(B771, Customer!A:A, Customer!B:B), "Unknown Customer")</f>
        <v>Hamed Abbasi</v>
      </c>
      <c r="D771" s="1">
        <v>45851</v>
      </c>
      <c r="E771" t="s">
        <v>25</v>
      </c>
      <c r="F771" t="s">
        <v>10</v>
      </c>
      <c r="G771">
        <v>1</v>
      </c>
      <c r="H771" t="s">
        <v>11</v>
      </c>
      <c r="I771" s="2">
        <v>70000</v>
      </c>
      <c r="J771" t="s">
        <v>19</v>
      </c>
      <c r="K771" s="3">
        <f t="shared" ref="K771:K834" si="24">G771*I771</f>
        <v>70000</v>
      </c>
      <c r="L771" t="str">
        <f t="shared" ref="L771:L834" si="25">TEXT(D771,"YYYY-MM")</f>
        <v>2025-07</v>
      </c>
    </row>
    <row r="772" spans="1:12" x14ac:dyDescent="0.25">
      <c r="A772">
        <v>1774</v>
      </c>
      <c r="B772">
        <v>89</v>
      </c>
      <c r="C772" t="str">
        <f>IFERROR(_xlfn.XLOOKUP(B772, Customer!A:A, Customer!B:B), "Unknown Customer")</f>
        <v>Mona Moradi</v>
      </c>
      <c r="D772" s="1">
        <v>45763</v>
      </c>
      <c r="E772" t="s">
        <v>27</v>
      </c>
      <c r="F772" t="s">
        <v>14</v>
      </c>
      <c r="G772">
        <v>2</v>
      </c>
      <c r="H772" t="s">
        <v>11</v>
      </c>
      <c r="I772" s="2">
        <v>35000</v>
      </c>
      <c r="J772" t="s">
        <v>21</v>
      </c>
      <c r="K772" s="3">
        <f t="shared" si="24"/>
        <v>70000</v>
      </c>
      <c r="L772" t="str">
        <f t="shared" si="25"/>
        <v>2025-04</v>
      </c>
    </row>
    <row r="773" spans="1:12" x14ac:dyDescent="0.25">
      <c r="A773">
        <v>1775</v>
      </c>
      <c r="B773">
        <v>78</v>
      </c>
      <c r="C773" t="str">
        <f>IFERROR(_xlfn.XLOOKUP(B773, Customer!A:A, Customer!B:B), "Unknown Customer")</f>
        <v>Elham Karimi</v>
      </c>
      <c r="D773" s="1">
        <v>45761</v>
      </c>
      <c r="E773" t="s">
        <v>31</v>
      </c>
      <c r="F773" t="s">
        <v>17</v>
      </c>
      <c r="G773">
        <v>4</v>
      </c>
      <c r="H773" t="s">
        <v>11</v>
      </c>
      <c r="I773" s="2">
        <v>45000</v>
      </c>
      <c r="J773" t="s">
        <v>21</v>
      </c>
      <c r="K773" s="3">
        <f t="shared" si="24"/>
        <v>180000</v>
      </c>
      <c r="L773" t="str">
        <f t="shared" si="25"/>
        <v>2025-04</v>
      </c>
    </row>
    <row r="774" spans="1:12" x14ac:dyDescent="0.25">
      <c r="A774">
        <v>1776</v>
      </c>
      <c r="B774">
        <v>7</v>
      </c>
      <c r="C774" t="str">
        <f>IFERROR(_xlfn.XLOOKUP(B774, Customer!A:A, Customer!B:B), "Unknown Customer")</f>
        <v>Farhad Vakili</v>
      </c>
      <c r="D774" s="1">
        <v>45951</v>
      </c>
      <c r="E774" t="s">
        <v>9</v>
      </c>
      <c r="F774" t="s">
        <v>10</v>
      </c>
      <c r="G774">
        <v>2</v>
      </c>
      <c r="H774" t="s">
        <v>11</v>
      </c>
      <c r="I774" s="2">
        <v>57000</v>
      </c>
      <c r="J774" t="s">
        <v>28</v>
      </c>
      <c r="K774" s="3">
        <f t="shared" si="24"/>
        <v>114000</v>
      </c>
      <c r="L774" t="str">
        <f t="shared" si="25"/>
        <v>2025-10</v>
      </c>
    </row>
    <row r="775" spans="1:12" x14ac:dyDescent="0.25">
      <c r="A775">
        <v>1777</v>
      </c>
      <c r="B775">
        <v>44</v>
      </c>
      <c r="C775" t="str">
        <f>IFERROR(_xlfn.XLOOKUP(B775, Customer!A:A, Customer!B:B), "Unknown Customer")</f>
        <v>Payam Abbasi</v>
      </c>
      <c r="D775" s="1">
        <v>45749</v>
      </c>
      <c r="E775" t="s">
        <v>9</v>
      </c>
      <c r="F775" t="s">
        <v>10</v>
      </c>
      <c r="G775">
        <v>2</v>
      </c>
      <c r="H775" t="s">
        <v>11</v>
      </c>
      <c r="I775" s="2">
        <v>62000</v>
      </c>
      <c r="J775" t="s">
        <v>12</v>
      </c>
      <c r="K775" s="3">
        <f t="shared" si="24"/>
        <v>124000</v>
      </c>
      <c r="L775" t="str">
        <f t="shared" si="25"/>
        <v>2025-04</v>
      </c>
    </row>
    <row r="776" spans="1:12" x14ac:dyDescent="0.25">
      <c r="A776">
        <v>1778</v>
      </c>
      <c r="B776">
        <v>106</v>
      </c>
      <c r="C776" t="str">
        <f>IFERROR(_xlfn.XLOOKUP(B776, Customer!A:A, Customer!B:B), "Unknown Customer")</f>
        <v>Iman Zare</v>
      </c>
      <c r="D776" s="1">
        <v>45916</v>
      </c>
      <c r="E776" t="s">
        <v>9</v>
      </c>
      <c r="F776" t="s">
        <v>10</v>
      </c>
      <c r="G776">
        <v>3</v>
      </c>
      <c r="H776" t="s">
        <v>11</v>
      </c>
      <c r="I776" s="2">
        <v>67000</v>
      </c>
      <c r="J776" t="s">
        <v>15</v>
      </c>
      <c r="K776" s="3">
        <f t="shared" si="24"/>
        <v>201000</v>
      </c>
      <c r="L776" t="str">
        <f t="shared" si="25"/>
        <v>2025-09</v>
      </c>
    </row>
    <row r="777" spans="1:12" x14ac:dyDescent="0.25">
      <c r="A777">
        <v>1779</v>
      </c>
      <c r="B777">
        <v>52</v>
      </c>
      <c r="C777" t="str">
        <f>IFERROR(_xlfn.XLOOKUP(B777, Customer!A:A, Customer!B:B), "Unknown Customer")</f>
        <v>Kaveh Rostami</v>
      </c>
      <c r="D777" s="1">
        <v>45977</v>
      </c>
      <c r="E777" t="s">
        <v>9</v>
      </c>
      <c r="F777" t="s">
        <v>10</v>
      </c>
      <c r="G777">
        <v>3</v>
      </c>
      <c r="H777" t="s">
        <v>11</v>
      </c>
      <c r="I777" s="2">
        <v>67000</v>
      </c>
      <c r="J777" t="s">
        <v>12</v>
      </c>
      <c r="K777" s="3">
        <f t="shared" si="24"/>
        <v>201000</v>
      </c>
      <c r="L777" t="str">
        <f t="shared" si="25"/>
        <v>2025-11</v>
      </c>
    </row>
    <row r="778" spans="1:12" x14ac:dyDescent="0.25">
      <c r="A778">
        <v>1780</v>
      </c>
      <c r="B778">
        <v>91</v>
      </c>
      <c r="C778" t="str">
        <f>IFERROR(_xlfn.XLOOKUP(B778, Customer!A:A, Customer!B:B), "Unknown Customer")</f>
        <v>Ali Ebrahimi</v>
      </c>
      <c r="D778" s="1">
        <v>45812</v>
      </c>
      <c r="E778" t="s">
        <v>23</v>
      </c>
      <c r="F778" t="s">
        <v>17</v>
      </c>
      <c r="G778">
        <v>1</v>
      </c>
      <c r="H778" t="s">
        <v>11</v>
      </c>
      <c r="I778" s="2">
        <v>85000</v>
      </c>
      <c r="J778" t="s">
        <v>28</v>
      </c>
      <c r="K778" s="3">
        <f t="shared" si="24"/>
        <v>85000</v>
      </c>
      <c r="L778" t="str">
        <f t="shared" si="25"/>
        <v>2025-06</v>
      </c>
    </row>
    <row r="779" spans="1:12" x14ac:dyDescent="0.25">
      <c r="A779">
        <v>1781</v>
      </c>
      <c r="B779">
        <v>94</v>
      </c>
      <c r="C779" t="str">
        <f>IFERROR(_xlfn.XLOOKUP(B779, Customer!A:A, Customer!B:B), "Unknown Customer")</f>
        <v>Hamed Fallahi</v>
      </c>
      <c r="D779" s="1">
        <v>45688</v>
      </c>
      <c r="E779" t="s">
        <v>27</v>
      </c>
      <c r="F779" t="s">
        <v>14</v>
      </c>
      <c r="G779">
        <v>1</v>
      </c>
      <c r="H779" t="s">
        <v>11</v>
      </c>
      <c r="I779" s="2">
        <v>35000</v>
      </c>
      <c r="J779" t="s">
        <v>24</v>
      </c>
      <c r="K779" s="3">
        <f t="shared" si="24"/>
        <v>35000</v>
      </c>
      <c r="L779" t="str">
        <f t="shared" si="25"/>
        <v>2025-01</v>
      </c>
    </row>
    <row r="780" spans="1:12" x14ac:dyDescent="0.25">
      <c r="A780">
        <v>1782</v>
      </c>
      <c r="B780">
        <v>96</v>
      </c>
      <c r="C780" t="str">
        <f>IFERROR(_xlfn.XLOOKUP(B780, Customer!A:A, Customer!B:B), "Unknown Customer")</f>
        <v>Milad Norouzi</v>
      </c>
      <c r="D780" s="1">
        <v>45722</v>
      </c>
      <c r="E780" t="s">
        <v>27</v>
      </c>
      <c r="F780" t="s">
        <v>14</v>
      </c>
      <c r="G780">
        <v>1</v>
      </c>
      <c r="H780" t="s">
        <v>11</v>
      </c>
      <c r="I780" s="2">
        <v>30000</v>
      </c>
      <c r="J780" t="s">
        <v>15</v>
      </c>
      <c r="K780" s="3">
        <f t="shared" si="24"/>
        <v>30000</v>
      </c>
      <c r="L780" t="str">
        <f t="shared" si="25"/>
        <v>2025-03</v>
      </c>
    </row>
    <row r="781" spans="1:12" x14ac:dyDescent="0.25">
      <c r="A781">
        <v>1783</v>
      </c>
      <c r="B781">
        <v>35</v>
      </c>
      <c r="C781" t="str">
        <f>IFERROR(_xlfn.XLOOKUP(B781, Customer!A:A, Customer!B:B), "Unknown Customer")</f>
        <v>Babak Hosseini</v>
      </c>
      <c r="D781" s="1">
        <v>45988</v>
      </c>
      <c r="E781" t="s">
        <v>9</v>
      </c>
      <c r="F781" t="s">
        <v>10</v>
      </c>
      <c r="G781">
        <v>3</v>
      </c>
      <c r="H781" t="s">
        <v>11</v>
      </c>
      <c r="I781" s="2">
        <v>67000</v>
      </c>
      <c r="J781" t="s">
        <v>24</v>
      </c>
      <c r="K781" s="3">
        <f t="shared" si="24"/>
        <v>201000</v>
      </c>
      <c r="L781" t="str">
        <f t="shared" si="25"/>
        <v>2025-11</v>
      </c>
    </row>
    <row r="782" spans="1:12" x14ac:dyDescent="0.25">
      <c r="A782">
        <v>1784</v>
      </c>
      <c r="B782">
        <v>15</v>
      </c>
      <c r="C782" t="str">
        <f>IFERROR(_xlfn.XLOOKUP(B782, Customer!A:A, Customer!B:B), "Unknown Customer")</f>
        <v>Milad Zare</v>
      </c>
      <c r="D782" s="1">
        <v>45756</v>
      </c>
      <c r="E782" t="s">
        <v>13</v>
      </c>
      <c r="F782" t="s">
        <v>14</v>
      </c>
      <c r="G782">
        <v>4</v>
      </c>
      <c r="H782" t="s">
        <v>11</v>
      </c>
      <c r="I782" s="2">
        <v>58000</v>
      </c>
      <c r="J782" t="s">
        <v>28</v>
      </c>
      <c r="K782" s="3">
        <f t="shared" si="24"/>
        <v>232000</v>
      </c>
      <c r="L782" t="str">
        <f t="shared" si="25"/>
        <v>2025-04</v>
      </c>
    </row>
    <row r="783" spans="1:12" x14ac:dyDescent="0.25">
      <c r="A783">
        <v>1785</v>
      </c>
      <c r="B783">
        <v>56</v>
      </c>
      <c r="C783" t="str">
        <f>IFERROR(_xlfn.XLOOKUP(B783, Customer!A:A, Customer!B:B), "Unknown Customer")</f>
        <v>Tara Jafari</v>
      </c>
      <c r="D783" s="1">
        <v>45989</v>
      </c>
      <c r="E783" t="s">
        <v>31</v>
      </c>
      <c r="F783" t="s">
        <v>17</v>
      </c>
      <c r="G783">
        <v>1</v>
      </c>
      <c r="H783" t="s">
        <v>11</v>
      </c>
      <c r="I783" s="2">
        <v>40000</v>
      </c>
      <c r="J783" t="s">
        <v>21</v>
      </c>
      <c r="K783" s="3">
        <f t="shared" si="24"/>
        <v>40000</v>
      </c>
      <c r="L783" t="str">
        <f t="shared" si="25"/>
        <v>2025-11</v>
      </c>
    </row>
    <row r="784" spans="1:12" x14ac:dyDescent="0.25">
      <c r="A784">
        <v>1786</v>
      </c>
      <c r="B784">
        <v>102</v>
      </c>
      <c r="C784" t="str">
        <f>IFERROR(_xlfn.XLOOKUP(B784, Customer!A:A, Customer!B:B), "Unknown Customer")</f>
        <v>Yasaman Yousefi</v>
      </c>
      <c r="D784" s="1">
        <v>45995</v>
      </c>
      <c r="E784" t="s">
        <v>9</v>
      </c>
      <c r="F784" t="s">
        <v>10</v>
      </c>
      <c r="G784">
        <v>3</v>
      </c>
      <c r="H784" t="s">
        <v>11</v>
      </c>
      <c r="I784" s="2">
        <v>57000</v>
      </c>
      <c r="J784" t="s">
        <v>19</v>
      </c>
      <c r="K784" s="3">
        <f t="shared" si="24"/>
        <v>171000</v>
      </c>
      <c r="L784" t="str">
        <f t="shared" si="25"/>
        <v>2025-12</v>
      </c>
    </row>
    <row r="785" spans="1:12" x14ac:dyDescent="0.25">
      <c r="A785">
        <v>1787</v>
      </c>
      <c r="B785">
        <v>8</v>
      </c>
      <c r="C785" t="str">
        <f>IFERROR(_xlfn.XLOOKUP(B785, Customer!A:A, Customer!B:B), "Unknown Customer")</f>
        <v>Milad Norouzi</v>
      </c>
      <c r="D785" s="1">
        <v>45936</v>
      </c>
      <c r="E785" t="s">
        <v>18</v>
      </c>
      <c r="F785" t="s">
        <v>14</v>
      </c>
      <c r="G785">
        <v>4</v>
      </c>
      <c r="H785" t="s">
        <v>11</v>
      </c>
      <c r="I785" s="2">
        <v>50000</v>
      </c>
      <c r="J785" t="s">
        <v>12</v>
      </c>
      <c r="K785" s="3">
        <f t="shared" si="24"/>
        <v>200000</v>
      </c>
      <c r="L785" t="str">
        <f t="shared" si="25"/>
        <v>2025-10</v>
      </c>
    </row>
    <row r="786" spans="1:12" x14ac:dyDescent="0.25">
      <c r="A786">
        <v>1788</v>
      </c>
      <c r="B786">
        <v>85</v>
      </c>
      <c r="C786" t="str">
        <f>IFERROR(_xlfn.XLOOKUP(B786, Customer!A:A, Customer!B:B), "Unknown Customer")</f>
        <v>Sepideh Yousefi</v>
      </c>
      <c r="D786" s="1">
        <v>45861</v>
      </c>
      <c r="E786" t="s">
        <v>18</v>
      </c>
      <c r="F786" t="s">
        <v>14</v>
      </c>
      <c r="G786">
        <v>1</v>
      </c>
      <c r="H786" t="s">
        <v>11</v>
      </c>
      <c r="I786" s="2">
        <v>50000</v>
      </c>
      <c r="J786" t="s">
        <v>28</v>
      </c>
      <c r="K786" s="3">
        <f t="shared" si="24"/>
        <v>50000</v>
      </c>
      <c r="L786" t="str">
        <f t="shared" si="25"/>
        <v>2025-07</v>
      </c>
    </row>
    <row r="787" spans="1:12" x14ac:dyDescent="0.25">
      <c r="A787">
        <v>1789</v>
      </c>
      <c r="B787">
        <v>86</v>
      </c>
      <c r="C787" t="str">
        <f>IFERROR(_xlfn.XLOOKUP(B787, Customer!A:A, Customer!B:B), "Unknown Customer")</f>
        <v>Payam Fallahi</v>
      </c>
      <c r="D787" s="1">
        <v>45926</v>
      </c>
      <c r="E787" t="s">
        <v>20</v>
      </c>
      <c r="F787" t="s">
        <v>17</v>
      </c>
      <c r="G787">
        <v>-1</v>
      </c>
      <c r="H787" t="s">
        <v>26</v>
      </c>
      <c r="I787" s="2">
        <v>50000</v>
      </c>
      <c r="J787" t="s">
        <v>21</v>
      </c>
      <c r="K787" s="3">
        <f t="shared" si="24"/>
        <v>-50000</v>
      </c>
      <c r="L787" t="str">
        <f t="shared" si="25"/>
        <v>2025-09</v>
      </c>
    </row>
    <row r="788" spans="1:12" x14ac:dyDescent="0.25">
      <c r="A788">
        <v>1790</v>
      </c>
      <c r="B788">
        <v>43</v>
      </c>
      <c r="C788" t="str">
        <f>IFERROR(_xlfn.XLOOKUP(B788, Customer!A:A, Customer!B:B), "Unknown Customer")</f>
        <v>Ali Mousavi</v>
      </c>
      <c r="D788" s="1">
        <v>45857</v>
      </c>
      <c r="E788" t="s">
        <v>20</v>
      </c>
      <c r="F788" t="s">
        <v>17</v>
      </c>
      <c r="G788">
        <v>2</v>
      </c>
      <c r="H788" t="s">
        <v>11</v>
      </c>
      <c r="I788" s="2">
        <v>50000</v>
      </c>
      <c r="J788" t="s">
        <v>24</v>
      </c>
      <c r="K788" s="3">
        <f t="shared" si="24"/>
        <v>100000</v>
      </c>
      <c r="L788" t="str">
        <f t="shared" si="25"/>
        <v>2025-07</v>
      </c>
    </row>
    <row r="789" spans="1:12" x14ac:dyDescent="0.25">
      <c r="A789">
        <v>1791</v>
      </c>
      <c r="B789">
        <v>28</v>
      </c>
      <c r="C789" t="str">
        <f>IFERROR(_xlfn.XLOOKUP(B789, Customer!A:A, Customer!B:B), "Unknown Customer")</f>
        <v>Yasaman Naderi</v>
      </c>
      <c r="D789" s="1">
        <v>45883</v>
      </c>
      <c r="E789" t="s">
        <v>9</v>
      </c>
      <c r="F789" t="s">
        <v>10</v>
      </c>
      <c r="G789">
        <v>4</v>
      </c>
      <c r="H789" t="s">
        <v>11</v>
      </c>
      <c r="I789" s="2">
        <v>67000</v>
      </c>
      <c r="J789" t="s">
        <v>28</v>
      </c>
      <c r="K789" s="3">
        <f t="shared" si="24"/>
        <v>268000</v>
      </c>
      <c r="L789" t="str">
        <f t="shared" si="25"/>
        <v>2025-08</v>
      </c>
    </row>
    <row r="790" spans="1:12" x14ac:dyDescent="0.25">
      <c r="A790">
        <v>1792</v>
      </c>
      <c r="B790">
        <v>48</v>
      </c>
      <c r="C790" t="str">
        <f>IFERROR(_xlfn.XLOOKUP(B790, Customer!A:A, Customer!B:B), "Unknown Customer")</f>
        <v>Hamed Jafari</v>
      </c>
      <c r="D790" s="1">
        <v>45715</v>
      </c>
      <c r="E790" t="s">
        <v>22</v>
      </c>
      <c r="F790" t="s">
        <v>14</v>
      </c>
      <c r="G790">
        <v>2</v>
      </c>
      <c r="H790" t="s">
        <v>11</v>
      </c>
      <c r="I790" s="2">
        <v>60000</v>
      </c>
      <c r="J790" t="s">
        <v>21</v>
      </c>
      <c r="K790" s="3">
        <f t="shared" si="24"/>
        <v>120000</v>
      </c>
      <c r="L790" t="str">
        <f t="shared" si="25"/>
        <v>2025-02</v>
      </c>
    </row>
    <row r="791" spans="1:12" x14ac:dyDescent="0.25">
      <c r="A791">
        <v>1793</v>
      </c>
      <c r="B791">
        <v>61</v>
      </c>
      <c r="C791" t="str">
        <f>IFERROR(_xlfn.XLOOKUP(B791, Customer!A:A, Customer!B:B), "Unknown Customer")</f>
        <v>Arman Moradi</v>
      </c>
      <c r="D791" s="1">
        <v>45846</v>
      </c>
      <c r="E791" t="s">
        <v>22</v>
      </c>
      <c r="F791" t="s">
        <v>14</v>
      </c>
      <c r="G791">
        <v>3</v>
      </c>
      <c r="H791" t="s">
        <v>11</v>
      </c>
      <c r="I791" s="2">
        <v>65000</v>
      </c>
      <c r="J791" t="s">
        <v>12</v>
      </c>
      <c r="K791" s="3">
        <f t="shared" si="24"/>
        <v>195000</v>
      </c>
      <c r="L791" t="str">
        <f t="shared" si="25"/>
        <v>2025-07</v>
      </c>
    </row>
    <row r="792" spans="1:12" x14ac:dyDescent="0.25">
      <c r="A792">
        <v>1794</v>
      </c>
      <c r="B792">
        <v>118</v>
      </c>
      <c r="C792" t="str">
        <f>IFERROR(_xlfn.XLOOKUP(B792, Customer!A:A, Customer!B:B), "Unknown Customer")</f>
        <v>Hamed Rezaei</v>
      </c>
      <c r="D792" s="1">
        <v>45721</v>
      </c>
      <c r="E792" t="s">
        <v>27</v>
      </c>
      <c r="F792" t="s">
        <v>14</v>
      </c>
      <c r="G792">
        <v>1</v>
      </c>
      <c r="H792" t="s">
        <v>11</v>
      </c>
      <c r="I792" s="2">
        <v>35000</v>
      </c>
      <c r="J792" t="s">
        <v>28</v>
      </c>
      <c r="K792" s="3">
        <f t="shared" si="24"/>
        <v>35000</v>
      </c>
      <c r="L792" t="str">
        <f t="shared" si="25"/>
        <v>2025-03</v>
      </c>
    </row>
    <row r="793" spans="1:12" x14ac:dyDescent="0.25">
      <c r="A793">
        <v>1795</v>
      </c>
      <c r="B793">
        <v>111</v>
      </c>
      <c r="C793" t="str">
        <f>IFERROR(_xlfn.XLOOKUP(B793, Customer!A:A, Customer!B:B), "Unknown Customer")</f>
        <v>Sepideh Yousefi</v>
      </c>
      <c r="D793" s="1">
        <v>45884</v>
      </c>
      <c r="E793" t="s">
        <v>30</v>
      </c>
      <c r="F793" t="s">
        <v>14</v>
      </c>
      <c r="G793">
        <v>2</v>
      </c>
      <c r="H793" t="s">
        <v>11</v>
      </c>
      <c r="I793" s="2">
        <v>48000</v>
      </c>
      <c r="J793" t="s">
        <v>24</v>
      </c>
      <c r="K793" s="3">
        <f t="shared" si="24"/>
        <v>96000</v>
      </c>
      <c r="L793" t="str">
        <f t="shared" si="25"/>
        <v>2025-08</v>
      </c>
    </row>
    <row r="794" spans="1:12" x14ac:dyDescent="0.25">
      <c r="A794">
        <v>1796</v>
      </c>
      <c r="B794">
        <v>39</v>
      </c>
      <c r="C794" t="str">
        <f>IFERROR(_xlfn.XLOOKUP(B794, Customer!A:A, Customer!B:B), "Unknown Customer")</f>
        <v>Mona Ghasemi</v>
      </c>
      <c r="D794" s="1">
        <v>45740</v>
      </c>
      <c r="E794" t="s">
        <v>30</v>
      </c>
      <c r="F794" t="s">
        <v>14</v>
      </c>
      <c r="G794">
        <v>4</v>
      </c>
      <c r="H794" t="s">
        <v>11</v>
      </c>
      <c r="I794" s="2">
        <v>48000</v>
      </c>
      <c r="J794" t="s">
        <v>19</v>
      </c>
      <c r="K794" s="3">
        <f t="shared" si="24"/>
        <v>192000</v>
      </c>
      <c r="L794" t="str">
        <f t="shared" si="25"/>
        <v>2025-03</v>
      </c>
    </row>
    <row r="795" spans="1:12" x14ac:dyDescent="0.25">
      <c r="A795">
        <v>1797</v>
      </c>
      <c r="B795">
        <v>106</v>
      </c>
      <c r="C795" t="str">
        <f>IFERROR(_xlfn.XLOOKUP(B795, Customer!A:A, Customer!B:B), "Unknown Customer")</f>
        <v>Iman Zare</v>
      </c>
      <c r="D795" s="1">
        <v>45899</v>
      </c>
      <c r="E795" t="s">
        <v>16</v>
      </c>
      <c r="F795" t="s">
        <v>17</v>
      </c>
      <c r="G795">
        <v>4</v>
      </c>
      <c r="H795" t="s">
        <v>11</v>
      </c>
      <c r="I795" s="2">
        <v>75000</v>
      </c>
      <c r="J795" t="s">
        <v>19</v>
      </c>
      <c r="K795" s="3">
        <f t="shared" si="24"/>
        <v>300000</v>
      </c>
      <c r="L795" t="str">
        <f t="shared" si="25"/>
        <v>2025-08</v>
      </c>
    </row>
    <row r="796" spans="1:12" x14ac:dyDescent="0.25">
      <c r="A796">
        <v>1798</v>
      </c>
      <c r="B796">
        <v>106</v>
      </c>
      <c r="C796" t="str">
        <f>IFERROR(_xlfn.XLOOKUP(B796, Customer!A:A, Customer!B:B), "Unknown Customer")</f>
        <v>Iman Zare</v>
      </c>
      <c r="D796" s="1">
        <v>46015</v>
      </c>
      <c r="E796" t="s">
        <v>13</v>
      </c>
      <c r="F796" t="s">
        <v>14</v>
      </c>
      <c r="G796">
        <v>1</v>
      </c>
      <c r="H796" t="s">
        <v>11</v>
      </c>
      <c r="I796" s="2">
        <v>58142.857142857145</v>
      </c>
      <c r="J796" t="s">
        <v>15</v>
      </c>
      <c r="K796" s="3">
        <f t="shared" si="24"/>
        <v>58142.857142857145</v>
      </c>
      <c r="L796" t="str">
        <f t="shared" si="25"/>
        <v>2025-12</v>
      </c>
    </row>
    <row r="797" spans="1:12" x14ac:dyDescent="0.25">
      <c r="A797">
        <v>1799</v>
      </c>
      <c r="B797">
        <v>89</v>
      </c>
      <c r="C797" t="str">
        <f>IFERROR(_xlfn.XLOOKUP(B797, Customer!A:A, Customer!B:B), "Unknown Customer")</f>
        <v>Mona Moradi</v>
      </c>
      <c r="D797" s="1">
        <v>45684</v>
      </c>
      <c r="E797" t="s">
        <v>29</v>
      </c>
      <c r="F797" t="s">
        <v>14</v>
      </c>
      <c r="G797">
        <v>3</v>
      </c>
      <c r="H797" t="s">
        <v>11</v>
      </c>
      <c r="I797" s="2">
        <v>45000</v>
      </c>
      <c r="J797" t="s">
        <v>19</v>
      </c>
      <c r="K797" s="3">
        <f t="shared" si="24"/>
        <v>135000</v>
      </c>
      <c r="L797" t="str">
        <f t="shared" si="25"/>
        <v>2025-01</v>
      </c>
    </row>
    <row r="798" spans="1:12" x14ac:dyDescent="0.25">
      <c r="A798">
        <v>1800</v>
      </c>
      <c r="B798">
        <v>52</v>
      </c>
      <c r="C798" t="str">
        <f>IFERROR(_xlfn.XLOOKUP(B798, Customer!A:A, Customer!B:B), "Unknown Customer")</f>
        <v>Kaveh Rostami</v>
      </c>
      <c r="D798" s="1">
        <v>45979</v>
      </c>
      <c r="E798" t="s">
        <v>30</v>
      </c>
      <c r="F798" t="s">
        <v>14</v>
      </c>
      <c r="G798">
        <v>2</v>
      </c>
      <c r="H798" t="s">
        <v>11</v>
      </c>
      <c r="I798" s="2">
        <v>43000</v>
      </c>
      <c r="J798" t="s">
        <v>32</v>
      </c>
      <c r="K798" s="3">
        <f t="shared" si="24"/>
        <v>86000</v>
      </c>
      <c r="L798" t="str">
        <f t="shared" si="25"/>
        <v>2025-11</v>
      </c>
    </row>
    <row r="799" spans="1:12" x14ac:dyDescent="0.25">
      <c r="A799">
        <v>1801</v>
      </c>
      <c r="B799">
        <v>67</v>
      </c>
      <c r="C799" t="str">
        <f>IFERROR(_xlfn.XLOOKUP(B799, Customer!A:A, Customer!B:B), "Unknown Customer")</f>
        <v>Reza Jafari</v>
      </c>
      <c r="D799" s="1">
        <v>45990</v>
      </c>
      <c r="E799" t="s">
        <v>22</v>
      </c>
      <c r="F799" t="s">
        <v>14</v>
      </c>
      <c r="G799">
        <v>4</v>
      </c>
      <c r="H799" t="s">
        <v>11</v>
      </c>
      <c r="I799" s="2">
        <v>59954.128440366971</v>
      </c>
      <c r="J799" t="s">
        <v>12</v>
      </c>
      <c r="K799" s="3">
        <f t="shared" si="24"/>
        <v>239816.51376146788</v>
      </c>
      <c r="L799" t="str">
        <f t="shared" si="25"/>
        <v>2025-11</v>
      </c>
    </row>
    <row r="800" spans="1:12" x14ac:dyDescent="0.25">
      <c r="A800">
        <v>1802</v>
      </c>
      <c r="B800">
        <v>18</v>
      </c>
      <c r="C800" t="str">
        <f>IFERROR(_xlfn.XLOOKUP(B800, Customer!A:A, Customer!B:B), "Unknown Customer")</f>
        <v>Niloofar Abbasi</v>
      </c>
      <c r="D800" s="1">
        <v>45746</v>
      </c>
      <c r="E800" t="s">
        <v>9</v>
      </c>
      <c r="F800" t="s">
        <v>10</v>
      </c>
      <c r="G800">
        <v>4</v>
      </c>
      <c r="H800" t="s">
        <v>11</v>
      </c>
      <c r="I800" s="2">
        <v>62000</v>
      </c>
      <c r="J800" t="s">
        <v>15</v>
      </c>
      <c r="K800" s="3">
        <f t="shared" si="24"/>
        <v>248000</v>
      </c>
      <c r="L800" t="str">
        <f t="shared" si="25"/>
        <v>2025-03</v>
      </c>
    </row>
    <row r="801" spans="1:12" x14ac:dyDescent="0.25">
      <c r="A801">
        <v>1803</v>
      </c>
      <c r="B801">
        <v>48</v>
      </c>
      <c r="C801" t="str">
        <f>IFERROR(_xlfn.XLOOKUP(B801, Customer!A:A, Customer!B:B), "Unknown Customer")</f>
        <v>Hamed Jafari</v>
      </c>
      <c r="D801" s="1">
        <v>45859</v>
      </c>
      <c r="E801" t="s">
        <v>13</v>
      </c>
      <c r="F801" t="s">
        <v>14</v>
      </c>
      <c r="G801">
        <v>1</v>
      </c>
      <c r="H801" t="s">
        <v>11</v>
      </c>
      <c r="I801" s="2">
        <v>53000</v>
      </c>
      <c r="J801" t="s">
        <v>19</v>
      </c>
      <c r="K801" s="3">
        <f t="shared" si="24"/>
        <v>53000</v>
      </c>
      <c r="L801" t="str">
        <f t="shared" si="25"/>
        <v>2025-07</v>
      </c>
    </row>
    <row r="802" spans="1:12" x14ac:dyDescent="0.25">
      <c r="A802">
        <v>1804</v>
      </c>
      <c r="B802">
        <v>78</v>
      </c>
      <c r="C802" t="str">
        <f>IFERROR(_xlfn.XLOOKUP(B802, Customer!A:A, Customer!B:B), "Unknown Customer")</f>
        <v>Elham Karimi</v>
      </c>
      <c r="D802" s="1">
        <v>45759</v>
      </c>
      <c r="E802" t="s">
        <v>16</v>
      </c>
      <c r="F802" t="s">
        <v>17</v>
      </c>
      <c r="G802">
        <v>1</v>
      </c>
      <c r="H802" t="s">
        <v>11</v>
      </c>
      <c r="I802" s="2">
        <v>75000</v>
      </c>
      <c r="J802" t="s">
        <v>28</v>
      </c>
      <c r="K802" s="3">
        <f t="shared" si="24"/>
        <v>75000</v>
      </c>
      <c r="L802" t="str">
        <f t="shared" si="25"/>
        <v>2025-04</v>
      </c>
    </row>
    <row r="803" spans="1:12" x14ac:dyDescent="0.25">
      <c r="A803">
        <v>1805</v>
      </c>
      <c r="B803">
        <v>34</v>
      </c>
      <c r="C803" t="str">
        <f>IFERROR(_xlfn.XLOOKUP(B803, Customer!A:A, Customer!B:B), "Unknown Customer")</f>
        <v>Reza Rezaei</v>
      </c>
      <c r="D803" s="1">
        <v>45703</v>
      </c>
      <c r="E803" t="s">
        <v>13</v>
      </c>
      <c r="F803" t="s">
        <v>14</v>
      </c>
      <c r="G803">
        <v>2</v>
      </c>
      <c r="H803" t="s">
        <v>11</v>
      </c>
      <c r="I803" s="2">
        <v>53000</v>
      </c>
      <c r="J803" t="s">
        <v>15</v>
      </c>
      <c r="K803" s="3">
        <f t="shared" si="24"/>
        <v>106000</v>
      </c>
      <c r="L803" t="str">
        <f t="shared" si="25"/>
        <v>2025-02</v>
      </c>
    </row>
    <row r="804" spans="1:12" x14ac:dyDescent="0.25">
      <c r="A804">
        <v>1806</v>
      </c>
      <c r="B804">
        <v>106</v>
      </c>
      <c r="C804" t="str">
        <f>IFERROR(_xlfn.XLOOKUP(B804, Customer!A:A, Customer!B:B), "Unknown Customer")</f>
        <v>Iman Zare</v>
      </c>
      <c r="D804" s="1">
        <v>45911</v>
      </c>
      <c r="E804" t="s">
        <v>27</v>
      </c>
      <c r="F804" t="s">
        <v>14</v>
      </c>
      <c r="G804">
        <v>1</v>
      </c>
      <c r="H804" t="s">
        <v>11</v>
      </c>
      <c r="I804" s="2">
        <v>35000</v>
      </c>
      <c r="J804" t="s">
        <v>21</v>
      </c>
      <c r="K804" s="3">
        <f t="shared" si="24"/>
        <v>35000</v>
      </c>
      <c r="L804" t="str">
        <f t="shared" si="25"/>
        <v>2025-09</v>
      </c>
    </row>
    <row r="805" spans="1:12" x14ac:dyDescent="0.25">
      <c r="A805">
        <v>1807</v>
      </c>
      <c r="B805">
        <v>96</v>
      </c>
      <c r="C805" t="str">
        <f>IFERROR(_xlfn.XLOOKUP(B805, Customer!A:A, Customer!B:B), "Unknown Customer")</f>
        <v>Milad Norouzi</v>
      </c>
      <c r="D805" s="1">
        <v>45853</v>
      </c>
      <c r="E805" t="s">
        <v>16</v>
      </c>
      <c r="F805" t="s">
        <v>17</v>
      </c>
      <c r="G805">
        <v>4</v>
      </c>
      <c r="H805" t="s">
        <v>11</v>
      </c>
      <c r="I805" s="2">
        <v>75000</v>
      </c>
      <c r="J805" t="s">
        <v>32</v>
      </c>
      <c r="K805" s="3">
        <f t="shared" si="24"/>
        <v>300000</v>
      </c>
      <c r="L805" t="str">
        <f t="shared" si="25"/>
        <v>2025-07</v>
      </c>
    </row>
    <row r="806" spans="1:12" x14ac:dyDescent="0.25">
      <c r="A806">
        <v>1808</v>
      </c>
      <c r="B806">
        <v>94</v>
      </c>
      <c r="C806" t="str">
        <f>IFERROR(_xlfn.XLOOKUP(B806, Customer!A:A, Customer!B:B), "Unknown Customer")</f>
        <v>Hamed Fallahi</v>
      </c>
      <c r="D806" s="1">
        <v>45754</v>
      </c>
      <c r="E806" t="s">
        <v>27</v>
      </c>
      <c r="F806" t="s">
        <v>14</v>
      </c>
      <c r="G806">
        <v>2</v>
      </c>
      <c r="H806" t="s">
        <v>11</v>
      </c>
      <c r="I806" s="2">
        <v>35000</v>
      </c>
      <c r="J806" t="s">
        <v>21</v>
      </c>
      <c r="K806" s="3">
        <f t="shared" si="24"/>
        <v>70000</v>
      </c>
      <c r="L806" t="str">
        <f t="shared" si="25"/>
        <v>2025-04</v>
      </c>
    </row>
    <row r="807" spans="1:12" x14ac:dyDescent="0.25">
      <c r="A807">
        <v>1809</v>
      </c>
      <c r="B807">
        <v>31</v>
      </c>
      <c r="C807" t="str">
        <f>IFERROR(_xlfn.XLOOKUP(B807, Customer!A:A, Customer!B:B), "Unknown Customer")</f>
        <v>Sara Karimi</v>
      </c>
      <c r="D807" s="1">
        <v>45888</v>
      </c>
      <c r="E807" t="s">
        <v>20</v>
      </c>
      <c r="F807" t="s">
        <v>17</v>
      </c>
      <c r="G807">
        <v>2</v>
      </c>
      <c r="H807" t="s">
        <v>11</v>
      </c>
      <c r="I807" s="2">
        <v>50000</v>
      </c>
      <c r="J807" t="s">
        <v>15</v>
      </c>
      <c r="K807" s="3">
        <f t="shared" si="24"/>
        <v>100000</v>
      </c>
      <c r="L807" t="str">
        <f t="shared" si="25"/>
        <v>2025-08</v>
      </c>
    </row>
    <row r="808" spans="1:12" x14ac:dyDescent="0.25">
      <c r="A808">
        <v>1810</v>
      </c>
      <c r="B808">
        <v>18</v>
      </c>
      <c r="C808" t="str">
        <f>IFERROR(_xlfn.XLOOKUP(B808, Customer!A:A, Customer!B:B), "Unknown Customer")</f>
        <v>Niloofar Abbasi</v>
      </c>
      <c r="D808" s="1">
        <v>46012</v>
      </c>
      <c r="E808" t="s">
        <v>25</v>
      </c>
      <c r="F808" t="s">
        <v>10</v>
      </c>
      <c r="G808">
        <v>-3</v>
      </c>
      <c r="H808" t="s">
        <v>26</v>
      </c>
      <c r="I808" s="2">
        <v>65000</v>
      </c>
      <c r="J808" t="s">
        <v>12</v>
      </c>
      <c r="K808" s="3">
        <f t="shared" si="24"/>
        <v>-195000</v>
      </c>
      <c r="L808" t="str">
        <f t="shared" si="25"/>
        <v>2025-12</v>
      </c>
    </row>
    <row r="809" spans="1:12" x14ac:dyDescent="0.25">
      <c r="A809">
        <v>1811</v>
      </c>
      <c r="B809">
        <v>77</v>
      </c>
      <c r="C809" t="str">
        <f>IFERROR(_xlfn.XLOOKUP(B809, Customer!A:A, Customer!B:B), "Unknown Customer")</f>
        <v>Iman Sadeghi</v>
      </c>
      <c r="D809" s="1">
        <v>45695</v>
      </c>
      <c r="E809" t="s">
        <v>9</v>
      </c>
      <c r="F809" t="s">
        <v>10</v>
      </c>
      <c r="G809">
        <v>1</v>
      </c>
      <c r="H809" t="s">
        <v>11</v>
      </c>
      <c r="I809" s="2">
        <v>62000</v>
      </c>
      <c r="J809" t="s">
        <v>21</v>
      </c>
      <c r="K809" s="3">
        <f t="shared" si="24"/>
        <v>62000</v>
      </c>
      <c r="L809" t="str">
        <f t="shared" si="25"/>
        <v>2025-02</v>
      </c>
    </row>
    <row r="810" spans="1:12" x14ac:dyDescent="0.25">
      <c r="A810">
        <v>1812</v>
      </c>
      <c r="B810">
        <v>78</v>
      </c>
      <c r="C810" t="str">
        <f>IFERROR(_xlfn.XLOOKUP(B810, Customer!A:A, Customer!B:B), "Unknown Customer")</f>
        <v>Elham Karimi</v>
      </c>
      <c r="D810" s="1">
        <v>45964</v>
      </c>
      <c r="E810" t="s">
        <v>27</v>
      </c>
      <c r="F810" t="s">
        <v>14</v>
      </c>
      <c r="G810">
        <v>1</v>
      </c>
      <c r="H810" t="s">
        <v>11</v>
      </c>
      <c r="I810" s="2">
        <v>35000</v>
      </c>
      <c r="J810" t="s">
        <v>32</v>
      </c>
      <c r="K810" s="3">
        <f t="shared" si="24"/>
        <v>35000</v>
      </c>
      <c r="L810" t="str">
        <f t="shared" si="25"/>
        <v>2025-11</v>
      </c>
    </row>
    <row r="811" spans="1:12" x14ac:dyDescent="0.25">
      <c r="A811">
        <v>1813</v>
      </c>
      <c r="B811">
        <v>51</v>
      </c>
      <c r="C811" t="str">
        <f>IFERROR(_xlfn.XLOOKUP(B811, Customer!A:A, Customer!B:B), "Unknown Customer")</f>
        <v>Azadeh Karimi</v>
      </c>
      <c r="D811" s="1">
        <v>45847</v>
      </c>
      <c r="E811" t="s">
        <v>27</v>
      </c>
      <c r="F811" t="s">
        <v>14</v>
      </c>
      <c r="G811">
        <v>2</v>
      </c>
      <c r="H811" t="s">
        <v>11</v>
      </c>
      <c r="I811" s="2">
        <v>35000</v>
      </c>
      <c r="J811" t="s">
        <v>28</v>
      </c>
      <c r="K811" s="3">
        <f t="shared" si="24"/>
        <v>70000</v>
      </c>
      <c r="L811" t="str">
        <f t="shared" si="25"/>
        <v>2025-07</v>
      </c>
    </row>
    <row r="812" spans="1:12" x14ac:dyDescent="0.25">
      <c r="A812">
        <v>1814</v>
      </c>
      <c r="B812">
        <v>64</v>
      </c>
      <c r="C812" t="str">
        <f>IFERROR(_xlfn.XLOOKUP(B812, Customer!A:A, Customer!B:B), "Unknown Customer")</f>
        <v>Milad Yousefi</v>
      </c>
      <c r="D812" s="1">
        <v>45897</v>
      </c>
      <c r="E812" t="s">
        <v>25</v>
      </c>
      <c r="F812" t="s">
        <v>10</v>
      </c>
      <c r="G812">
        <v>1</v>
      </c>
      <c r="H812" t="s">
        <v>11</v>
      </c>
      <c r="I812" s="2">
        <v>70000</v>
      </c>
      <c r="J812" t="s">
        <v>21</v>
      </c>
      <c r="K812" s="3">
        <f t="shared" si="24"/>
        <v>70000</v>
      </c>
      <c r="L812" t="str">
        <f t="shared" si="25"/>
        <v>2025-08</v>
      </c>
    </row>
    <row r="813" spans="1:12" x14ac:dyDescent="0.25">
      <c r="A813">
        <v>1815</v>
      </c>
      <c r="B813">
        <v>15</v>
      </c>
      <c r="C813" t="str">
        <f>IFERROR(_xlfn.XLOOKUP(B813, Customer!A:A, Customer!B:B), "Unknown Customer")</f>
        <v>Milad Zare</v>
      </c>
      <c r="D813" s="1">
        <v>45680</v>
      </c>
      <c r="E813" t="s">
        <v>25</v>
      </c>
      <c r="F813" t="s">
        <v>10</v>
      </c>
      <c r="G813">
        <v>4</v>
      </c>
      <c r="H813" t="s">
        <v>11</v>
      </c>
      <c r="I813" s="2">
        <v>65000</v>
      </c>
      <c r="J813" t="s">
        <v>15</v>
      </c>
      <c r="K813" s="3">
        <f t="shared" si="24"/>
        <v>260000</v>
      </c>
      <c r="L813" t="str">
        <f t="shared" si="25"/>
        <v>2025-01</v>
      </c>
    </row>
    <row r="814" spans="1:12" x14ac:dyDescent="0.25">
      <c r="A814">
        <v>1816</v>
      </c>
      <c r="B814">
        <v>37</v>
      </c>
      <c r="C814" t="str">
        <f>IFERROR(_xlfn.XLOOKUP(B814, Customer!A:A, Customer!B:B), "Unknown Customer")</f>
        <v>Omid Sadeghi</v>
      </c>
      <c r="D814" s="1">
        <v>45941</v>
      </c>
      <c r="E814" t="s">
        <v>9</v>
      </c>
      <c r="F814" t="s">
        <v>10</v>
      </c>
      <c r="G814">
        <v>2</v>
      </c>
      <c r="H814" t="s">
        <v>11</v>
      </c>
      <c r="I814" s="2">
        <v>62000</v>
      </c>
      <c r="J814" t="s">
        <v>24</v>
      </c>
      <c r="K814" s="3">
        <f t="shared" si="24"/>
        <v>124000</v>
      </c>
      <c r="L814" t="str">
        <f t="shared" si="25"/>
        <v>2025-10</v>
      </c>
    </row>
    <row r="815" spans="1:12" x14ac:dyDescent="0.25">
      <c r="A815">
        <v>1817</v>
      </c>
      <c r="B815">
        <v>72</v>
      </c>
      <c r="C815" t="str">
        <f>IFERROR(_xlfn.XLOOKUP(B815, Customer!A:A, Customer!B:B), "Unknown Customer")</f>
        <v>Roya Rostami</v>
      </c>
      <c r="D815" s="1">
        <v>45983</v>
      </c>
      <c r="E815" t="s">
        <v>27</v>
      </c>
      <c r="F815" t="s">
        <v>14</v>
      </c>
      <c r="G815">
        <v>1</v>
      </c>
      <c r="H815" t="s">
        <v>11</v>
      </c>
      <c r="I815" s="2">
        <v>35000</v>
      </c>
      <c r="J815" t="s">
        <v>24</v>
      </c>
      <c r="K815" s="3">
        <f t="shared" si="24"/>
        <v>35000</v>
      </c>
      <c r="L815" t="str">
        <f t="shared" si="25"/>
        <v>2025-11</v>
      </c>
    </row>
    <row r="816" spans="1:12" x14ac:dyDescent="0.25">
      <c r="A816">
        <v>1818</v>
      </c>
      <c r="B816">
        <v>5</v>
      </c>
      <c r="C816" t="str">
        <f>IFERROR(_xlfn.XLOOKUP(B816, Customer!A:A, Customer!B:B), "Unknown Customer")</f>
        <v>Sara Sadeghi</v>
      </c>
      <c r="D816" s="1">
        <v>45791</v>
      </c>
      <c r="E816" t="s">
        <v>16</v>
      </c>
      <c r="F816" t="s">
        <v>17</v>
      </c>
      <c r="G816">
        <v>1</v>
      </c>
      <c r="H816" t="s">
        <v>11</v>
      </c>
      <c r="I816" s="2">
        <v>75256.41025641025</v>
      </c>
      <c r="J816" t="s">
        <v>15</v>
      </c>
      <c r="K816" s="3">
        <f t="shared" si="24"/>
        <v>75256.41025641025</v>
      </c>
      <c r="L816" t="str">
        <f t="shared" si="25"/>
        <v>2025-05</v>
      </c>
    </row>
    <row r="817" spans="1:12" x14ac:dyDescent="0.25">
      <c r="A817">
        <v>1819</v>
      </c>
      <c r="B817">
        <v>46</v>
      </c>
      <c r="C817" t="str">
        <f>IFERROR(_xlfn.XLOOKUP(B817, Customer!A:A, Customer!B:B), "Unknown Customer")</f>
        <v>Mahsa Ghasemi</v>
      </c>
      <c r="D817" s="1">
        <v>45945</v>
      </c>
      <c r="E817" t="s">
        <v>22</v>
      </c>
      <c r="F817" t="s">
        <v>14</v>
      </c>
      <c r="G817">
        <v>1</v>
      </c>
      <c r="H817" t="s">
        <v>11</v>
      </c>
      <c r="I817" s="2">
        <v>55000</v>
      </c>
      <c r="J817" t="s">
        <v>19</v>
      </c>
      <c r="K817" s="3">
        <f t="shared" si="24"/>
        <v>55000</v>
      </c>
      <c r="L817" t="str">
        <f t="shared" si="25"/>
        <v>2025-10</v>
      </c>
    </row>
    <row r="818" spans="1:12" x14ac:dyDescent="0.25">
      <c r="A818">
        <v>1820</v>
      </c>
      <c r="B818">
        <v>45</v>
      </c>
      <c r="C818" t="str">
        <f>IFERROR(_xlfn.XLOOKUP(B818, Customer!A:A, Customer!B:B), "Unknown Customer")</f>
        <v>Mona Vakili</v>
      </c>
      <c r="D818" s="1">
        <v>45762</v>
      </c>
      <c r="E818" t="s">
        <v>18</v>
      </c>
      <c r="F818" t="s">
        <v>14</v>
      </c>
      <c r="G818">
        <v>4</v>
      </c>
      <c r="H818" t="s">
        <v>11</v>
      </c>
      <c r="I818" s="2">
        <v>55000</v>
      </c>
      <c r="J818" t="s">
        <v>28</v>
      </c>
      <c r="K818" s="3">
        <f t="shared" si="24"/>
        <v>220000</v>
      </c>
      <c r="L818" t="str">
        <f t="shared" si="25"/>
        <v>2025-04</v>
      </c>
    </row>
    <row r="819" spans="1:12" x14ac:dyDescent="0.25">
      <c r="A819">
        <v>1821</v>
      </c>
      <c r="B819">
        <v>115</v>
      </c>
      <c r="C819" t="str">
        <f>IFERROR(_xlfn.XLOOKUP(B819, Customer!A:A, Customer!B:B), "Unknown Customer")</f>
        <v>Setareh Ahmadi</v>
      </c>
      <c r="D819" s="1">
        <v>45957</v>
      </c>
      <c r="E819" t="s">
        <v>27</v>
      </c>
      <c r="F819" t="s">
        <v>14</v>
      </c>
      <c r="G819">
        <v>2</v>
      </c>
      <c r="H819" t="s">
        <v>11</v>
      </c>
      <c r="I819" s="2">
        <v>40000</v>
      </c>
      <c r="J819" t="s">
        <v>19</v>
      </c>
      <c r="K819" s="3">
        <f t="shared" si="24"/>
        <v>80000</v>
      </c>
      <c r="L819" t="str">
        <f t="shared" si="25"/>
        <v>2025-10</v>
      </c>
    </row>
    <row r="820" spans="1:12" x14ac:dyDescent="0.25">
      <c r="A820">
        <v>1822</v>
      </c>
      <c r="B820">
        <v>32</v>
      </c>
      <c r="C820" t="str">
        <f>IFERROR(_xlfn.XLOOKUP(B820, Customer!A:A, Customer!B:B), "Unknown Customer")</f>
        <v>Elham Karimi</v>
      </c>
      <c r="D820" s="1">
        <v>46004</v>
      </c>
      <c r="E820" t="s">
        <v>16</v>
      </c>
      <c r="F820" t="s">
        <v>17</v>
      </c>
      <c r="G820">
        <v>1</v>
      </c>
      <c r="H820" t="s">
        <v>11</v>
      </c>
      <c r="I820" s="2">
        <v>75000</v>
      </c>
      <c r="J820" t="s">
        <v>15</v>
      </c>
      <c r="K820" s="3">
        <f t="shared" si="24"/>
        <v>75000</v>
      </c>
      <c r="L820" t="str">
        <f t="shared" si="25"/>
        <v>2025-12</v>
      </c>
    </row>
    <row r="821" spans="1:12" x14ac:dyDescent="0.25">
      <c r="A821">
        <v>1823</v>
      </c>
      <c r="B821">
        <v>48</v>
      </c>
      <c r="C821" t="str">
        <f>IFERROR(_xlfn.XLOOKUP(B821, Customer!A:A, Customer!B:B), "Unknown Customer")</f>
        <v>Hamed Jafari</v>
      </c>
      <c r="D821" s="1">
        <v>45712</v>
      </c>
      <c r="E821" t="s">
        <v>20</v>
      </c>
      <c r="F821" t="s">
        <v>17</v>
      </c>
      <c r="G821">
        <v>1</v>
      </c>
      <c r="H821" t="s">
        <v>11</v>
      </c>
      <c r="I821" s="2">
        <v>45000</v>
      </c>
      <c r="J821" t="s">
        <v>15</v>
      </c>
      <c r="K821" s="3">
        <f t="shared" si="24"/>
        <v>45000</v>
      </c>
      <c r="L821" t="str">
        <f t="shared" si="25"/>
        <v>2025-02</v>
      </c>
    </row>
    <row r="822" spans="1:12" x14ac:dyDescent="0.25">
      <c r="A822">
        <v>1824</v>
      </c>
      <c r="B822">
        <v>81</v>
      </c>
      <c r="C822" t="str">
        <f>IFERROR(_xlfn.XLOOKUP(B822, Customer!A:A, Customer!B:B), "Unknown Customer")</f>
        <v>Nazanin Fallahi</v>
      </c>
      <c r="D822" s="1">
        <v>45962</v>
      </c>
      <c r="E822" t="s">
        <v>9</v>
      </c>
      <c r="F822" t="s">
        <v>10</v>
      </c>
      <c r="G822">
        <v>1</v>
      </c>
      <c r="H822" t="s">
        <v>11</v>
      </c>
      <c r="I822" s="2">
        <v>57000</v>
      </c>
      <c r="J822" t="s">
        <v>21</v>
      </c>
      <c r="K822" s="3">
        <f t="shared" si="24"/>
        <v>57000</v>
      </c>
      <c r="L822" t="str">
        <f t="shared" si="25"/>
        <v>2025-11</v>
      </c>
    </row>
    <row r="823" spans="1:12" x14ac:dyDescent="0.25">
      <c r="A823">
        <v>1825</v>
      </c>
      <c r="B823">
        <v>55</v>
      </c>
      <c r="C823" t="str">
        <f>IFERROR(_xlfn.XLOOKUP(B823, Customer!A:A, Customer!B:B), "Unknown Customer")</f>
        <v>Payam Jafari</v>
      </c>
      <c r="D823" s="1">
        <v>45949</v>
      </c>
      <c r="E823" t="s">
        <v>22</v>
      </c>
      <c r="F823" t="s">
        <v>14</v>
      </c>
      <c r="G823">
        <v>4</v>
      </c>
      <c r="H823" t="s">
        <v>11</v>
      </c>
      <c r="I823" s="2">
        <v>55000</v>
      </c>
      <c r="J823" t="s">
        <v>21</v>
      </c>
      <c r="K823" s="3">
        <f t="shared" si="24"/>
        <v>220000</v>
      </c>
      <c r="L823" t="str">
        <f t="shared" si="25"/>
        <v>2025-10</v>
      </c>
    </row>
    <row r="824" spans="1:12" x14ac:dyDescent="0.25">
      <c r="A824">
        <v>1826</v>
      </c>
      <c r="B824">
        <v>103</v>
      </c>
      <c r="C824" t="str">
        <f>IFERROR(_xlfn.XLOOKUP(B824, Customer!A:A, Customer!B:B), "Unknown Customer")</f>
        <v>Babak Rezaei</v>
      </c>
      <c r="D824" s="1">
        <v>45810</v>
      </c>
      <c r="E824" t="s">
        <v>29</v>
      </c>
      <c r="F824" t="s">
        <v>14</v>
      </c>
      <c r="G824">
        <v>1</v>
      </c>
      <c r="H824" t="s">
        <v>11</v>
      </c>
      <c r="I824" s="2">
        <v>45000</v>
      </c>
      <c r="J824" t="s">
        <v>24</v>
      </c>
      <c r="K824" s="3">
        <f t="shared" si="24"/>
        <v>45000</v>
      </c>
      <c r="L824" t="str">
        <f t="shared" si="25"/>
        <v>2025-06</v>
      </c>
    </row>
    <row r="825" spans="1:12" x14ac:dyDescent="0.25">
      <c r="A825">
        <v>1827</v>
      </c>
      <c r="B825">
        <v>118</v>
      </c>
      <c r="C825" t="str">
        <f>IFERROR(_xlfn.XLOOKUP(B825, Customer!A:A, Customer!B:B), "Unknown Customer")</f>
        <v>Hamed Rezaei</v>
      </c>
      <c r="D825" s="1">
        <v>45703</v>
      </c>
      <c r="E825" t="s">
        <v>31</v>
      </c>
      <c r="F825" t="s">
        <v>17</v>
      </c>
      <c r="G825">
        <v>1</v>
      </c>
      <c r="H825" t="s">
        <v>11</v>
      </c>
      <c r="I825" s="2">
        <v>40000</v>
      </c>
      <c r="J825" t="s">
        <v>12</v>
      </c>
      <c r="K825" s="3">
        <f t="shared" si="24"/>
        <v>40000</v>
      </c>
      <c r="L825" t="str">
        <f t="shared" si="25"/>
        <v>2025-02</v>
      </c>
    </row>
    <row r="826" spans="1:12" x14ac:dyDescent="0.25">
      <c r="A826">
        <v>1828</v>
      </c>
      <c r="B826">
        <v>97</v>
      </c>
      <c r="C826" t="str">
        <f>IFERROR(_xlfn.XLOOKUP(B826, Customer!A:A, Customer!B:B), "Unknown Customer")</f>
        <v>Setareh Sadeghi</v>
      </c>
      <c r="D826" s="1">
        <v>45736</v>
      </c>
      <c r="E826" t="s">
        <v>27</v>
      </c>
      <c r="F826" t="s">
        <v>14</v>
      </c>
      <c r="G826">
        <v>-2</v>
      </c>
      <c r="H826" t="s">
        <v>26</v>
      </c>
      <c r="I826" s="2">
        <v>35000</v>
      </c>
      <c r="J826" t="s">
        <v>32</v>
      </c>
      <c r="K826" s="3">
        <f t="shared" si="24"/>
        <v>-70000</v>
      </c>
      <c r="L826" t="str">
        <f t="shared" si="25"/>
        <v>2025-03</v>
      </c>
    </row>
    <row r="827" spans="1:12" x14ac:dyDescent="0.25">
      <c r="A827">
        <v>1829</v>
      </c>
      <c r="B827">
        <v>78</v>
      </c>
      <c r="C827" t="str">
        <f>IFERROR(_xlfn.XLOOKUP(B827, Customer!A:A, Customer!B:B), "Unknown Customer")</f>
        <v>Elham Karimi</v>
      </c>
      <c r="D827" s="1">
        <v>45841</v>
      </c>
      <c r="E827" t="s">
        <v>13</v>
      </c>
      <c r="F827" t="s">
        <v>14</v>
      </c>
      <c r="G827">
        <v>1</v>
      </c>
      <c r="H827" t="s">
        <v>11</v>
      </c>
      <c r="I827" s="2">
        <v>58000</v>
      </c>
      <c r="J827" t="s">
        <v>15</v>
      </c>
      <c r="K827" s="3">
        <f t="shared" si="24"/>
        <v>58000</v>
      </c>
      <c r="L827" t="str">
        <f t="shared" si="25"/>
        <v>2025-07</v>
      </c>
    </row>
    <row r="828" spans="1:12" x14ac:dyDescent="0.25">
      <c r="A828">
        <v>1830</v>
      </c>
      <c r="B828">
        <v>58</v>
      </c>
      <c r="C828" t="str">
        <f>IFERROR(_xlfn.XLOOKUP(B828, Customer!A:A, Customer!B:B), "Unknown Customer")</f>
        <v>Mona Moradi</v>
      </c>
      <c r="D828" s="1">
        <v>45666</v>
      </c>
      <c r="E828" t="s">
        <v>31</v>
      </c>
      <c r="F828" t="s">
        <v>17</v>
      </c>
      <c r="G828">
        <v>1</v>
      </c>
      <c r="H828" t="s">
        <v>11</v>
      </c>
      <c r="I828" s="2">
        <v>40000</v>
      </c>
      <c r="J828" t="s">
        <v>15</v>
      </c>
      <c r="K828" s="3">
        <f t="shared" si="24"/>
        <v>40000</v>
      </c>
      <c r="L828" t="str">
        <f t="shared" si="25"/>
        <v>2025-01</v>
      </c>
    </row>
    <row r="829" spans="1:12" x14ac:dyDescent="0.25">
      <c r="A829">
        <v>1831</v>
      </c>
      <c r="B829">
        <v>81</v>
      </c>
      <c r="C829" t="str">
        <f>IFERROR(_xlfn.XLOOKUP(B829, Customer!A:A, Customer!B:B), "Unknown Customer")</f>
        <v>Nazanin Fallahi</v>
      </c>
      <c r="D829" s="1">
        <v>45705</v>
      </c>
      <c r="E829" t="s">
        <v>31</v>
      </c>
      <c r="F829" t="s">
        <v>17</v>
      </c>
      <c r="G829">
        <v>2</v>
      </c>
      <c r="H829" t="s">
        <v>11</v>
      </c>
      <c r="I829" s="2">
        <v>40428.571428571428</v>
      </c>
      <c r="J829" t="s">
        <v>15</v>
      </c>
      <c r="K829" s="3">
        <f t="shared" si="24"/>
        <v>80857.142857142855</v>
      </c>
      <c r="L829" t="str">
        <f t="shared" si="25"/>
        <v>2025-02</v>
      </c>
    </row>
    <row r="830" spans="1:12" x14ac:dyDescent="0.25">
      <c r="A830">
        <v>1832</v>
      </c>
      <c r="B830">
        <v>68</v>
      </c>
      <c r="C830" t="str">
        <f>IFERROR(_xlfn.XLOOKUP(B830, Customer!A:A, Customer!B:B), "Unknown Customer")</f>
        <v>Farhad Mousavi</v>
      </c>
      <c r="D830" s="1">
        <v>45989</v>
      </c>
      <c r="E830" t="s">
        <v>27</v>
      </c>
      <c r="F830" t="s">
        <v>14</v>
      </c>
      <c r="G830">
        <v>-1</v>
      </c>
      <c r="H830" t="s">
        <v>26</v>
      </c>
      <c r="I830" s="2">
        <v>35000</v>
      </c>
      <c r="J830" t="s">
        <v>15</v>
      </c>
      <c r="K830" s="3">
        <f t="shared" si="24"/>
        <v>-35000</v>
      </c>
      <c r="L830" t="str">
        <f t="shared" si="25"/>
        <v>2025-11</v>
      </c>
    </row>
    <row r="831" spans="1:12" x14ac:dyDescent="0.25">
      <c r="A831">
        <v>1833</v>
      </c>
      <c r="B831">
        <v>39</v>
      </c>
      <c r="C831" t="str">
        <f>IFERROR(_xlfn.XLOOKUP(B831, Customer!A:A, Customer!B:B), "Unknown Customer")</f>
        <v>Mona Ghasemi</v>
      </c>
      <c r="D831" s="1">
        <v>45841</v>
      </c>
      <c r="E831" t="s">
        <v>13</v>
      </c>
      <c r="F831" t="s">
        <v>14</v>
      </c>
      <c r="G831">
        <v>4</v>
      </c>
      <c r="H831" t="s">
        <v>11</v>
      </c>
      <c r="I831" s="2">
        <v>58000</v>
      </c>
      <c r="J831" t="s">
        <v>21</v>
      </c>
      <c r="K831" s="3">
        <f t="shared" si="24"/>
        <v>232000</v>
      </c>
      <c r="L831" t="str">
        <f t="shared" si="25"/>
        <v>2025-07</v>
      </c>
    </row>
    <row r="832" spans="1:12" x14ac:dyDescent="0.25">
      <c r="A832">
        <v>1834</v>
      </c>
      <c r="B832">
        <v>73</v>
      </c>
      <c r="C832" t="str">
        <f>IFERROR(_xlfn.XLOOKUP(B832, Customer!A:A, Customer!B:B), "Unknown Customer")</f>
        <v>Niloofar Ebrahimi</v>
      </c>
      <c r="D832" s="1">
        <v>45940</v>
      </c>
      <c r="E832" t="s">
        <v>29</v>
      </c>
      <c r="F832" t="s">
        <v>14</v>
      </c>
      <c r="G832">
        <v>2</v>
      </c>
      <c r="H832" t="s">
        <v>11</v>
      </c>
      <c r="I832" s="2">
        <v>40000</v>
      </c>
      <c r="J832" t="s">
        <v>15</v>
      </c>
      <c r="K832" s="3">
        <f t="shared" si="24"/>
        <v>80000</v>
      </c>
      <c r="L832" t="str">
        <f t="shared" si="25"/>
        <v>2025-10</v>
      </c>
    </row>
    <row r="833" spans="1:12" x14ac:dyDescent="0.25">
      <c r="A833">
        <v>1835</v>
      </c>
      <c r="B833">
        <v>13</v>
      </c>
      <c r="C833" t="str">
        <f>IFERROR(_xlfn.XLOOKUP(B833, Customer!A:A, Customer!B:B), "Unknown Customer")</f>
        <v>Milad Naderi</v>
      </c>
      <c r="D833" s="1">
        <v>45789</v>
      </c>
      <c r="E833" t="s">
        <v>16</v>
      </c>
      <c r="F833" t="s">
        <v>17</v>
      </c>
      <c r="G833">
        <v>1</v>
      </c>
      <c r="H833" t="s">
        <v>11</v>
      </c>
      <c r="I833" s="2">
        <v>75000</v>
      </c>
      <c r="J833" t="s">
        <v>28</v>
      </c>
      <c r="K833" s="3">
        <f t="shared" si="24"/>
        <v>75000</v>
      </c>
      <c r="L833" t="str">
        <f t="shared" si="25"/>
        <v>2025-05</v>
      </c>
    </row>
    <row r="834" spans="1:12" x14ac:dyDescent="0.25">
      <c r="A834">
        <v>1836</v>
      </c>
      <c r="B834">
        <v>3</v>
      </c>
      <c r="C834" t="str">
        <f>IFERROR(_xlfn.XLOOKUP(B834, Customer!A:A, Customer!B:B), "Unknown Customer")</f>
        <v>Hamed Abbasi</v>
      </c>
      <c r="D834" s="1">
        <v>45996</v>
      </c>
      <c r="E834" t="s">
        <v>18</v>
      </c>
      <c r="F834" t="s">
        <v>14</v>
      </c>
      <c r="G834">
        <v>4</v>
      </c>
      <c r="H834" t="s">
        <v>11</v>
      </c>
      <c r="I834" s="2">
        <v>55000</v>
      </c>
      <c r="J834" t="s">
        <v>19</v>
      </c>
      <c r="K834" s="3">
        <f t="shared" si="24"/>
        <v>220000</v>
      </c>
      <c r="L834" t="str">
        <f t="shared" si="25"/>
        <v>2025-12</v>
      </c>
    </row>
    <row r="835" spans="1:12" x14ac:dyDescent="0.25">
      <c r="A835">
        <v>1837</v>
      </c>
      <c r="B835">
        <v>54</v>
      </c>
      <c r="C835" t="str">
        <f>IFERROR(_xlfn.XLOOKUP(B835, Customer!A:A, Customer!B:B), "Unknown Customer")</f>
        <v>Parisa Rostami</v>
      </c>
      <c r="D835" s="1">
        <v>45694</v>
      </c>
      <c r="E835" t="s">
        <v>22</v>
      </c>
      <c r="F835" t="s">
        <v>14</v>
      </c>
      <c r="G835">
        <v>4</v>
      </c>
      <c r="H835" t="s">
        <v>11</v>
      </c>
      <c r="I835" s="2">
        <v>60000</v>
      </c>
      <c r="J835" t="s">
        <v>21</v>
      </c>
      <c r="K835" s="3">
        <f t="shared" ref="K835:K898" si="26">G835*I835</f>
        <v>240000</v>
      </c>
      <c r="L835" t="str">
        <f t="shared" ref="L835:L898" si="27">TEXT(D835,"YYYY-MM")</f>
        <v>2025-02</v>
      </c>
    </row>
    <row r="836" spans="1:12" x14ac:dyDescent="0.25">
      <c r="A836">
        <v>1838</v>
      </c>
      <c r="B836">
        <v>118</v>
      </c>
      <c r="C836" t="str">
        <f>IFERROR(_xlfn.XLOOKUP(B836, Customer!A:A, Customer!B:B), "Unknown Customer")</f>
        <v>Hamed Rezaei</v>
      </c>
      <c r="D836" s="1">
        <v>45766</v>
      </c>
      <c r="E836" t="s">
        <v>13</v>
      </c>
      <c r="F836" t="s">
        <v>14</v>
      </c>
      <c r="G836">
        <v>3</v>
      </c>
      <c r="H836" t="s">
        <v>11</v>
      </c>
      <c r="I836" s="2">
        <v>63000</v>
      </c>
      <c r="J836" t="s">
        <v>15</v>
      </c>
      <c r="K836" s="3">
        <f t="shared" si="26"/>
        <v>189000</v>
      </c>
      <c r="L836" t="str">
        <f t="shared" si="27"/>
        <v>2025-04</v>
      </c>
    </row>
    <row r="837" spans="1:12" x14ac:dyDescent="0.25">
      <c r="A837">
        <v>1839</v>
      </c>
      <c r="B837">
        <v>69</v>
      </c>
      <c r="C837" t="str">
        <f>IFERROR(_xlfn.XLOOKUP(B837, Customer!A:A, Customer!B:B), "Unknown Customer")</f>
        <v>Mahsa Ebrahimi</v>
      </c>
      <c r="D837" s="1">
        <v>45660</v>
      </c>
      <c r="E837" t="s">
        <v>29</v>
      </c>
      <c r="F837" t="s">
        <v>14</v>
      </c>
      <c r="G837">
        <v>1</v>
      </c>
      <c r="H837" t="s">
        <v>11</v>
      </c>
      <c r="I837" s="2">
        <v>45000</v>
      </c>
      <c r="J837" t="s">
        <v>15</v>
      </c>
      <c r="K837" s="3">
        <f t="shared" si="26"/>
        <v>45000</v>
      </c>
      <c r="L837" t="str">
        <f t="shared" si="27"/>
        <v>2025-01</v>
      </c>
    </row>
    <row r="838" spans="1:12" x14ac:dyDescent="0.25">
      <c r="A838">
        <v>1840</v>
      </c>
      <c r="B838">
        <v>89</v>
      </c>
      <c r="C838" t="str">
        <f>IFERROR(_xlfn.XLOOKUP(B838, Customer!A:A, Customer!B:B), "Unknown Customer")</f>
        <v>Mona Moradi</v>
      </c>
      <c r="D838" s="1">
        <v>45728</v>
      </c>
      <c r="E838" t="s">
        <v>31</v>
      </c>
      <c r="F838" t="s">
        <v>17</v>
      </c>
      <c r="G838">
        <v>1</v>
      </c>
      <c r="H838" t="s">
        <v>11</v>
      </c>
      <c r="I838" s="2">
        <v>45000</v>
      </c>
      <c r="J838" t="s">
        <v>12</v>
      </c>
      <c r="K838" s="3">
        <f t="shared" si="26"/>
        <v>45000</v>
      </c>
      <c r="L838" t="str">
        <f t="shared" si="27"/>
        <v>2025-03</v>
      </c>
    </row>
    <row r="839" spans="1:12" x14ac:dyDescent="0.25">
      <c r="A839">
        <v>1841</v>
      </c>
      <c r="B839">
        <v>87</v>
      </c>
      <c r="C839" t="str">
        <f>IFERROR(_xlfn.XLOOKUP(B839, Customer!A:A, Customer!B:B), "Unknown Customer")</f>
        <v>Sepideh Abbasi</v>
      </c>
      <c r="D839" s="1">
        <v>46003</v>
      </c>
      <c r="E839" t="s">
        <v>22</v>
      </c>
      <c r="F839" t="s">
        <v>14</v>
      </c>
      <c r="G839">
        <v>1</v>
      </c>
      <c r="H839" t="s">
        <v>11</v>
      </c>
      <c r="I839" s="2">
        <v>60000</v>
      </c>
      <c r="J839" t="s">
        <v>32</v>
      </c>
      <c r="K839" s="3">
        <f t="shared" si="26"/>
        <v>60000</v>
      </c>
      <c r="L839" t="str">
        <f t="shared" si="27"/>
        <v>2025-12</v>
      </c>
    </row>
    <row r="840" spans="1:12" x14ac:dyDescent="0.25">
      <c r="A840">
        <v>1842</v>
      </c>
      <c r="B840">
        <v>15</v>
      </c>
      <c r="C840" t="str">
        <f>IFERROR(_xlfn.XLOOKUP(B840, Customer!A:A, Customer!B:B), "Unknown Customer")</f>
        <v>Milad Zare</v>
      </c>
      <c r="D840" s="1">
        <v>46014</v>
      </c>
      <c r="E840" t="s">
        <v>29</v>
      </c>
      <c r="F840" t="s">
        <v>14</v>
      </c>
      <c r="G840">
        <v>1</v>
      </c>
      <c r="H840" t="s">
        <v>11</v>
      </c>
      <c r="I840" s="2">
        <v>45000</v>
      </c>
      <c r="J840" t="s">
        <v>12</v>
      </c>
      <c r="K840" s="3">
        <f t="shared" si="26"/>
        <v>45000</v>
      </c>
      <c r="L840" t="str">
        <f t="shared" si="27"/>
        <v>2025-12</v>
      </c>
    </row>
    <row r="841" spans="1:12" x14ac:dyDescent="0.25">
      <c r="A841">
        <v>1843</v>
      </c>
      <c r="B841">
        <v>31</v>
      </c>
      <c r="C841" t="str">
        <f>IFERROR(_xlfn.XLOOKUP(B841, Customer!A:A, Customer!B:B), "Unknown Customer")</f>
        <v>Sara Karimi</v>
      </c>
      <c r="D841" s="1">
        <v>45978</v>
      </c>
      <c r="E841" t="s">
        <v>31</v>
      </c>
      <c r="F841" t="s">
        <v>17</v>
      </c>
      <c r="G841">
        <v>1</v>
      </c>
      <c r="H841" t="s">
        <v>11</v>
      </c>
      <c r="I841" s="2">
        <v>40000</v>
      </c>
      <c r="J841" t="s">
        <v>15</v>
      </c>
      <c r="K841" s="3">
        <f t="shared" si="26"/>
        <v>40000</v>
      </c>
      <c r="L841" t="str">
        <f t="shared" si="27"/>
        <v>2025-11</v>
      </c>
    </row>
    <row r="842" spans="1:12" x14ac:dyDescent="0.25">
      <c r="A842">
        <v>1844</v>
      </c>
      <c r="B842">
        <v>55</v>
      </c>
      <c r="C842" t="str">
        <f>IFERROR(_xlfn.XLOOKUP(B842, Customer!A:A, Customer!B:B), "Unknown Customer")</f>
        <v>Payam Jafari</v>
      </c>
      <c r="D842" s="1">
        <v>45717</v>
      </c>
      <c r="E842" t="s">
        <v>29</v>
      </c>
      <c r="F842" t="s">
        <v>14</v>
      </c>
      <c r="G842">
        <v>3</v>
      </c>
      <c r="H842" t="s">
        <v>11</v>
      </c>
      <c r="I842" s="2">
        <v>45000</v>
      </c>
      <c r="J842" t="s">
        <v>19</v>
      </c>
      <c r="K842" s="3">
        <f t="shared" si="26"/>
        <v>135000</v>
      </c>
      <c r="L842" t="str">
        <f t="shared" si="27"/>
        <v>2025-03</v>
      </c>
    </row>
    <row r="843" spans="1:12" x14ac:dyDescent="0.25">
      <c r="A843">
        <v>1845</v>
      </c>
      <c r="B843">
        <v>111</v>
      </c>
      <c r="C843" t="str">
        <f>IFERROR(_xlfn.XLOOKUP(B843, Customer!A:A, Customer!B:B), "Unknown Customer")</f>
        <v>Sepideh Yousefi</v>
      </c>
      <c r="D843" s="1">
        <v>45957</v>
      </c>
      <c r="E843" t="s">
        <v>16</v>
      </c>
      <c r="F843" t="s">
        <v>17</v>
      </c>
      <c r="G843">
        <v>1</v>
      </c>
      <c r="H843" t="s">
        <v>11</v>
      </c>
      <c r="I843" s="2">
        <v>80000</v>
      </c>
      <c r="J843" t="s">
        <v>21</v>
      </c>
      <c r="K843" s="3">
        <f t="shared" si="26"/>
        <v>80000</v>
      </c>
      <c r="L843" t="str">
        <f t="shared" si="27"/>
        <v>2025-10</v>
      </c>
    </row>
    <row r="844" spans="1:12" x14ac:dyDescent="0.25">
      <c r="A844">
        <v>1846</v>
      </c>
      <c r="B844">
        <v>2</v>
      </c>
      <c r="C844" t="str">
        <f>IFERROR(_xlfn.XLOOKUP(B844, Customer!A:A, Customer!B:B), "Unknown Customer")</f>
        <v>Reza Naderi</v>
      </c>
      <c r="D844" s="1">
        <v>45980</v>
      </c>
      <c r="E844" t="s">
        <v>18</v>
      </c>
      <c r="F844" t="s">
        <v>14</v>
      </c>
      <c r="G844">
        <v>2</v>
      </c>
      <c r="H844" t="s">
        <v>11</v>
      </c>
      <c r="I844" s="2">
        <v>55000</v>
      </c>
      <c r="J844" t="s">
        <v>19</v>
      </c>
      <c r="K844" s="3">
        <f t="shared" si="26"/>
        <v>110000</v>
      </c>
      <c r="L844" t="str">
        <f t="shared" si="27"/>
        <v>2025-11</v>
      </c>
    </row>
    <row r="845" spans="1:12" x14ac:dyDescent="0.25">
      <c r="A845">
        <v>1847</v>
      </c>
      <c r="B845">
        <v>63</v>
      </c>
      <c r="C845" t="str">
        <f>IFERROR(_xlfn.XLOOKUP(B845, Customer!A:A, Customer!B:B), "Unknown Customer")</f>
        <v>Golnaz Rezaei</v>
      </c>
      <c r="D845" s="1">
        <v>45817</v>
      </c>
      <c r="E845" t="s">
        <v>31</v>
      </c>
      <c r="F845" t="s">
        <v>17</v>
      </c>
      <c r="G845">
        <v>1</v>
      </c>
      <c r="H845" t="s">
        <v>11</v>
      </c>
      <c r="I845" s="2">
        <v>35000</v>
      </c>
      <c r="J845" t="s">
        <v>15</v>
      </c>
      <c r="K845" s="3">
        <f t="shared" si="26"/>
        <v>35000</v>
      </c>
      <c r="L845" t="str">
        <f t="shared" si="27"/>
        <v>2025-06</v>
      </c>
    </row>
    <row r="846" spans="1:12" x14ac:dyDescent="0.25">
      <c r="A846">
        <v>1848</v>
      </c>
      <c r="B846">
        <v>74</v>
      </c>
      <c r="C846" t="str">
        <f>IFERROR(_xlfn.XLOOKUP(B846, Customer!A:A, Customer!B:B), "Unknown Customer")</f>
        <v>Amir Vakili</v>
      </c>
      <c r="D846" s="1">
        <v>45971</v>
      </c>
      <c r="E846" t="s">
        <v>25</v>
      </c>
      <c r="F846" t="s">
        <v>10</v>
      </c>
      <c r="G846">
        <v>3</v>
      </c>
      <c r="H846" t="s">
        <v>11</v>
      </c>
      <c r="I846" s="2">
        <v>65000</v>
      </c>
      <c r="J846" t="s">
        <v>15</v>
      </c>
      <c r="K846" s="3">
        <f t="shared" si="26"/>
        <v>195000</v>
      </c>
      <c r="L846" t="str">
        <f t="shared" si="27"/>
        <v>2025-11</v>
      </c>
    </row>
    <row r="847" spans="1:12" x14ac:dyDescent="0.25">
      <c r="A847">
        <v>1849</v>
      </c>
      <c r="B847">
        <v>80</v>
      </c>
      <c r="C847" t="str">
        <f>IFERROR(_xlfn.XLOOKUP(B847, Customer!A:A, Customer!B:B), "Unknown Customer")</f>
        <v>Mona Yousefi</v>
      </c>
      <c r="D847" s="1">
        <v>45835</v>
      </c>
      <c r="E847" t="s">
        <v>27</v>
      </c>
      <c r="F847" t="s">
        <v>14</v>
      </c>
      <c r="G847">
        <v>1</v>
      </c>
      <c r="H847" t="s">
        <v>11</v>
      </c>
      <c r="I847" s="2">
        <v>35000</v>
      </c>
      <c r="J847" t="s">
        <v>15</v>
      </c>
      <c r="K847" s="3">
        <f t="shared" si="26"/>
        <v>35000</v>
      </c>
      <c r="L847" t="str">
        <f t="shared" si="27"/>
        <v>2025-06</v>
      </c>
    </row>
    <row r="848" spans="1:12" x14ac:dyDescent="0.25">
      <c r="A848">
        <v>1850</v>
      </c>
      <c r="B848">
        <v>45</v>
      </c>
      <c r="C848" t="str">
        <f>IFERROR(_xlfn.XLOOKUP(B848, Customer!A:A, Customer!B:B), "Unknown Customer")</f>
        <v>Mona Vakili</v>
      </c>
      <c r="D848" s="1">
        <v>45776</v>
      </c>
      <c r="E848" t="s">
        <v>16</v>
      </c>
      <c r="F848" t="s">
        <v>17</v>
      </c>
      <c r="G848">
        <v>1</v>
      </c>
      <c r="H848" t="s">
        <v>11</v>
      </c>
      <c r="I848" s="2">
        <v>75000</v>
      </c>
      <c r="J848" t="s">
        <v>24</v>
      </c>
      <c r="K848" s="3">
        <f t="shared" si="26"/>
        <v>75000</v>
      </c>
      <c r="L848" t="str">
        <f t="shared" si="27"/>
        <v>2025-04</v>
      </c>
    </row>
    <row r="849" spans="1:12" x14ac:dyDescent="0.25">
      <c r="A849">
        <v>1851</v>
      </c>
      <c r="B849">
        <v>114</v>
      </c>
      <c r="C849" t="str">
        <f>IFERROR(_xlfn.XLOOKUP(B849, Customer!A:A, Customer!B:B), "Unknown Customer")</f>
        <v>Omid Fallahi</v>
      </c>
      <c r="D849" s="1">
        <v>46022</v>
      </c>
      <c r="E849" t="s">
        <v>9</v>
      </c>
      <c r="F849" t="s">
        <v>10</v>
      </c>
      <c r="G849">
        <v>4</v>
      </c>
      <c r="H849" t="s">
        <v>11</v>
      </c>
      <c r="I849" s="2">
        <v>62000</v>
      </c>
      <c r="J849" t="s">
        <v>28</v>
      </c>
      <c r="K849" s="3">
        <f t="shared" si="26"/>
        <v>248000</v>
      </c>
      <c r="L849" t="str">
        <f t="shared" si="27"/>
        <v>2025-12</v>
      </c>
    </row>
    <row r="850" spans="1:12" x14ac:dyDescent="0.25">
      <c r="A850">
        <v>1852</v>
      </c>
      <c r="B850">
        <v>27</v>
      </c>
      <c r="C850" t="str">
        <f>IFERROR(_xlfn.XLOOKUP(B850, Customer!A:A, Customer!B:B), "Unknown Customer")</f>
        <v>Sina Fallahi</v>
      </c>
      <c r="D850" s="1">
        <v>46011</v>
      </c>
      <c r="E850" t="s">
        <v>9</v>
      </c>
      <c r="F850" t="s">
        <v>10</v>
      </c>
      <c r="G850">
        <v>3</v>
      </c>
      <c r="H850" t="s">
        <v>11</v>
      </c>
      <c r="I850" s="2">
        <v>62000</v>
      </c>
      <c r="J850" t="s">
        <v>24</v>
      </c>
      <c r="K850" s="3">
        <f t="shared" si="26"/>
        <v>186000</v>
      </c>
      <c r="L850" t="str">
        <f t="shared" si="27"/>
        <v>2025-12</v>
      </c>
    </row>
    <row r="851" spans="1:12" x14ac:dyDescent="0.25">
      <c r="A851">
        <v>1853</v>
      </c>
      <c r="B851">
        <v>21</v>
      </c>
      <c r="C851" t="str">
        <f>IFERROR(_xlfn.XLOOKUP(B851, Customer!A:A, Customer!B:B), "Unknown Customer")</f>
        <v>Sina Naderi</v>
      </c>
      <c r="D851" s="1">
        <v>45909</v>
      </c>
      <c r="E851" t="s">
        <v>20</v>
      </c>
      <c r="F851" t="s">
        <v>17</v>
      </c>
      <c r="G851">
        <v>2</v>
      </c>
      <c r="H851" t="s">
        <v>11</v>
      </c>
      <c r="I851" s="2">
        <v>50000</v>
      </c>
      <c r="J851" t="s">
        <v>28</v>
      </c>
      <c r="K851" s="3">
        <f t="shared" si="26"/>
        <v>100000</v>
      </c>
      <c r="L851" t="str">
        <f t="shared" si="27"/>
        <v>2025-09</v>
      </c>
    </row>
    <row r="852" spans="1:12" x14ac:dyDescent="0.25">
      <c r="A852">
        <v>1854</v>
      </c>
      <c r="B852">
        <v>7</v>
      </c>
      <c r="C852" t="str">
        <f>IFERROR(_xlfn.XLOOKUP(B852, Customer!A:A, Customer!B:B), "Unknown Customer")</f>
        <v>Farhad Vakili</v>
      </c>
      <c r="D852" s="1">
        <v>45723</v>
      </c>
      <c r="E852" t="s">
        <v>29</v>
      </c>
      <c r="F852" t="s">
        <v>14</v>
      </c>
      <c r="G852">
        <v>3</v>
      </c>
      <c r="H852" t="s">
        <v>11</v>
      </c>
      <c r="I852" s="2">
        <v>45000</v>
      </c>
      <c r="J852" t="s">
        <v>19</v>
      </c>
      <c r="K852" s="3">
        <f t="shared" si="26"/>
        <v>135000</v>
      </c>
      <c r="L852" t="str">
        <f t="shared" si="27"/>
        <v>2025-03</v>
      </c>
    </row>
    <row r="853" spans="1:12" x14ac:dyDescent="0.25">
      <c r="A853">
        <v>1855</v>
      </c>
      <c r="B853">
        <v>44</v>
      </c>
      <c r="C853" t="str">
        <f>IFERROR(_xlfn.XLOOKUP(B853, Customer!A:A, Customer!B:B), "Unknown Customer")</f>
        <v>Payam Abbasi</v>
      </c>
      <c r="D853" s="1">
        <v>45716</v>
      </c>
      <c r="E853" t="s">
        <v>31</v>
      </c>
      <c r="F853" t="s">
        <v>17</v>
      </c>
      <c r="G853">
        <v>1</v>
      </c>
      <c r="H853" t="s">
        <v>11</v>
      </c>
      <c r="I853" s="2">
        <v>45000</v>
      </c>
      <c r="J853" t="s">
        <v>21</v>
      </c>
      <c r="K853" s="3">
        <f t="shared" si="26"/>
        <v>45000</v>
      </c>
      <c r="L853" t="str">
        <f t="shared" si="27"/>
        <v>2025-02</v>
      </c>
    </row>
    <row r="854" spans="1:12" x14ac:dyDescent="0.25">
      <c r="A854">
        <v>1856</v>
      </c>
      <c r="B854">
        <v>44</v>
      </c>
      <c r="C854" t="str">
        <f>IFERROR(_xlfn.XLOOKUP(B854, Customer!A:A, Customer!B:B), "Unknown Customer")</f>
        <v>Payam Abbasi</v>
      </c>
      <c r="D854" s="1">
        <v>45681</v>
      </c>
      <c r="E854" t="s">
        <v>25</v>
      </c>
      <c r="F854" t="s">
        <v>10</v>
      </c>
      <c r="G854">
        <v>1</v>
      </c>
      <c r="H854" t="s">
        <v>11</v>
      </c>
      <c r="I854" s="2">
        <v>70000</v>
      </c>
      <c r="J854" t="s">
        <v>12</v>
      </c>
      <c r="K854" s="3">
        <f t="shared" si="26"/>
        <v>70000</v>
      </c>
      <c r="L854" t="str">
        <f t="shared" si="27"/>
        <v>2025-01</v>
      </c>
    </row>
    <row r="855" spans="1:12" x14ac:dyDescent="0.25">
      <c r="A855">
        <v>1857</v>
      </c>
      <c r="B855">
        <v>7</v>
      </c>
      <c r="C855" t="str">
        <f>IFERROR(_xlfn.XLOOKUP(B855, Customer!A:A, Customer!B:B), "Unknown Customer")</f>
        <v>Farhad Vakili</v>
      </c>
      <c r="D855" s="1">
        <v>45892</v>
      </c>
      <c r="E855" t="s">
        <v>16</v>
      </c>
      <c r="F855" t="s">
        <v>17</v>
      </c>
      <c r="G855">
        <v>4</v>
      </c>
      <c r="H855" t="s">
        <v>11</v>
      </c>
      <c r="I855" s="2">
        <v>80000</v>
      </c>
      <c r="J855" t="s">
        <v>28</v>
      </c>
      <c r="K855" s="3">
        <f t="shared" si="26"/>
        <v>320000</v>
      </c>
      <c r="L855" t="str">
        <f t="shared" si="27"/>
        <v>2025-08</v>
      </c>
    </row>
    <row r="856" spans="1:12" x14ac:dyDescent="0.25">
      <c r="A856">
        <v>1858</v>
      </c>
      <c r="B856">
        <v>6</v>
      </c>
      <c r="C856" t="str">
        <f>IFERROR(_xlfn.XLOOKUP(B856, Customer!A:A, Customer!B:B), "Unknown Customer")</f>
        <v>Sepideh Mousavi</v>
      </c>
      <c r="D856" s="1">
        <v>45711</v>
      </c>
      <c r="E856" t="s">
        <v>23</v>
      </c>
      <c r="F856" t="s">
        <v>17</v>
      </c>
      <c r="G856">
        <v>4</v>
      </c>
      <c r="H856" t="s">
        <v>11</v>
      </c>
      <c r="I856" s="2">
        <v>85000</v>
      </c>
      <c r="J856" t="s">
        <v>12</v>
      </c>
      <c r="K856" s="3">
        <f t="shared" si="26"/>
        <v>340000</v>
      </c>
      <c r="L856" t="str">
        <f t="shared" si="27"/>
        <v>2025-02</v>
      </c>
    </row>
    <row r="857" spans="1:12" x14ac:dyDescent="0.25">
      <c r="A857">
        <v>1859</v>
      </c>
      <c r="B857">
        <v>38</v>
      </c>
      <c r="C857" t="str">
        <f>IFERROR(_xlfn.XLOOKUP(B857, Customer!A:A, Customer!B:B), "Unknown Customer")</f>
        <v>Setareh Naderi</v>
      </c>
      <c r="D857" s="1">
        <v>45884</v>
      </c>
      <c r="E857" t="s">
        <v>22</v>
      </c>
      <c r="F857" t="s">
        <v>14</v>
      </c>
      <c r="G857">
        <v>3</v>
      </c>
      <c r="H857" t="s">
        <v>11</v>
      </c>
      <c r="I857" s="2">
        <v>55000</v>
      </c>
      <c r="J857" t="s">
        <v>21</v>
      </c>
      <c r="K857" s="3">
        <f t="shared" si="26"/>
        <v>165000</v>
      </c>
      <c r="L857" t="str">
        <f t="shared" si="27"/>
        <v>2025-08</v>
      </c>
    </row>
    <row r="858" spans="1:12" x14ac:dyDescent="0.25">
      <c r="A858">
        <v>1860</v>
      </c>
      <c r="B858">
        <v>105</v>
      </c>
      <c r="C858" t="str">
        <f>IFERROR(_xlfn.XLOOKUP(B858, Customer!A:A, Customer!B:B), "Unknown Customer")</f>
        <v>Tara Ghasemi</v>
      </c>
      <c r="D858" s="1">
        <v>45750</v>
      </c>
      <c r="E858" t="s">
        <v>13</v>
      </c>
      <c r="F858" t="s">
        <v>14</v>
      </c>
      <c r="G858">
        <v>2</v>
      </c>
      <c r="H858" t="s">
        <v>11</v>
      </c>
      <c r="I858" s="2">
        <v>53000</v>
      </c>
      <c r="J858" t="s">
        <v>21</v>
      </c>
      <c r="K858" s="3">
        <f t="shared" si="26"/>
        <v>106000</v>
      </c>
      <c r="L858" t="str">
        <f t="shared" si="27"/>
        <v>2025-04</v>
      </c>
    </row>
    <row r="859" spans="1:12" x14ac:dyDescent="0.25">
      <c r="A859">
        <v>1861</v>
      </c>
      <c r="B859">
        <v>37</v>
      </c>
      <c r="C859" t="str">
        <f>IFERROR(_xlfn.XLOOKUP(B859, Customer!A:A, Customer!B:B), "Unknown Customer")</f>
        <v>Omid Sadeghi</v>
      </c>
      <c r="D859" s="1">
        <v>45745</v>
      </c>
      <c r="E859" t="s">
        <v>23</v>
      </c>
      <c r="F859" t="s">
        <v>17</v>
      </c>
      <c r="G859">
        <v>1</v>
      </c>
      <c r="H859" t="s">
        <v>11</v>
      </c>
      <c r="I859" s="2">
        <v>85000</v>
      </c>
      <c r="J859" t="s">
        <v>24</v>
      </c>
      <c r="K859" s="3">
        <f t="shared" si="26"/>
        <v>85000</v>
      </c>
      <c r="L859" t="str">
        <f t="shared" si="27"/>
        <v>2025-03</v>
      </c>
    </row>
    <row r="860" spans="1:12" x14ac:dyDescent="0.25">
      <c r="A860">
        <v>1862</v>
      </c>
      <c r="B860">
        <v>97</v>
      </c>
      <c r="C860" t="str">
        <f>IFERROR(_xlfn.XLOOKUP(B860, Customer!A:A, Customer!B:B), "Unknown Customer")</f>
        <v>Setareh Sadeghi</v>
      </c>
      <c r="D860" s="1">
        <v>45873</v>
      </c>
      <c r="E860" t="s">
        <v>23</v>
      </c>
      <c r="F860" t="s">
        <v>17</v>
      </c>
      <c r="G860">
        <v>4</v>
      </c>
      <c r="H860" t="s">
        <v>11</v>
      </c>
      <c r="I860" s="2">
        <v>85000</v>
      </c>
      <c r="J860" t="s">
        <v>15</v>
      </c>
      <c r="K860" s="3">
        <f t="shared" si="26"/>
        <v>340000</v>
      </c>
      <c r="L860" t="str">
        <f t="shared" si="27"/>
        <v>2025-08</v>
      </c>
    </row>
    <row r="861" spans="1:12" x14ac:dyDescent="0.25">
      <c r="A861">
        <v>1863</v>
      </c>
      <c r="B861">
        <v>55</v>
      </c>
      <c r="C861" t="str">
        <f>IFERROR(_xlfn.XLOOKUP(B861, Customer!A:A, Customer!B:B), "Unknown Customer")</f>
        <v>Payam Jafari</v>
      </c>
      <c r="D861" s="1">
        <v>46007</v>
      </c>
      <c r="E861" t="s">
        <v>23</v>
      </c>
      <c r="F861" t="s">
        <v>17</v>
      </c>
      <c r="G861">
        <v>2</v>
      </c>
      <c r="H861" t="s">
        <v>11</v>
      </c>
      <c r="I861" s="2">
        <v>85000</v>
      </c>
      <c r="J861" t="s">
        <v>19</v>
      </c>
      <c r="K861" s="3">
        <f t="shared" si="26"/>
        <v>170000</v>
      </c>
      <c r="L861" t="str">
        <f t="shared" si="27"/>
        <v>2025-12</v>
      </c>
    </row>
    <row r="862" spans="1:12" x14ac:dyDescent="0.25">
      <c r="A862">
        <v>1864</v>
      </c>
      <c r="B862">
        <v>44</v>
      </c>
      <c r="C862" t="str">
        <f>IFERROR(_xlfn.XLOOKUP(B862, Customer!A:A, Customer!B:B), "Unknown Customer")</f>
        <v>Payam Abbasi</v>
      </c>
      <c r="D862" s="1">
        <v>45863</v>
      </c>
      <c r="E862" t="s">
        <v>25</v>
      </c>
      <c r="F862" t="s">
        <v>10</v>
      </c>
      <c r="G862">
        <v>1</v>
      </c>
      <c r="H862" t="s">
        <v>11</v>
      </c>
      <c r="I862" s="2">
        <v>65000</v>
      </c>
      <c r="J862" t="s">
        <v>28</v>
      </c>
      <c r="K862" s="3">
        <f t="shared" si="26"/>
        <v>65000</v>
      </c>
      <c r="L862" t="str">
        <f t="shared" si="27"/>
        <v>2025-07</v>
      </c>
    </row>
    <row r="863" spans="1:12" x14ac:dyDescent="0.25">
      <c r="A863">
        <v>1865</v>
      </c>
      <c r="B863">
        <v>8</v>
      </c>
      <c r="C863" t="str">
        <f>IFERROR(_xlfn.XLOOKUP(B863, Customer!A:A, Customer!B:B), "Unknown Customer")</f>
        <v>Milad Norouzi</v>
      </c>
      <c r="D863" s="1">
        <v>45789</v>
      </c>
      <c r="E863" t="s">
        <v>27</v>
      </c>
      <c r="F863" t="s">
        <v>14</v>
      </c>
      <c r="G863">
        <v>2</v>
      </c>
      <c r="H863" t="s">
        <v>11</v>
      </c>
      <c r="I863" s="2">
        <v>35000</v>
      </c>
      <c r="J863" t="s">
        <v>32</v>
      </c>
      <c r="K863" s="3">
        <f t="shared" si="26"/>
        <v>70000</v>
      </c>
      <c r="L863" t="str">
        <f t="shared" si="27"/>
        <v>2025-05</v>
      </c>
    </row>
    <row r="864" spans="1:12" x14ac:dyDescent="0.25">
      <c r="A864">
        <v>1866</v>
      </c>
      <c r="B864">
        <v>96</v>
      </c>
      <c r="C864" t="str">
        <f>IFERROR(_xlfn.XLOOKUP(B864, Customer!A:A, Customer!B:B), "Unknown Customer")</f>
        <v>Milad Norouzi</v>
      </c>
      <c r="D864" s="1">
        <v>45834</v>
      </c>
      <c r="E864" t="s">
        <v>25</v>
      </c>
      <c r="F864" t="s">
        <v>10</v>
      </c>
      <c r="G864">
        <v>2</v>
      </c>
      <c r="H864" t="s">
        <v>11</v>
      </c>
      <c r="I864" s="2">
        <v>70000</v>
      </c>
      <c r="J864" t="s">
        <v>15</v>
      </c>
      <c r="K864" s="3">
        <f t="shared" si="26"/>
        <v>140000</v>
      </c>
      <c r="L864" t="str">
        <f t="shared" si="27"/>
        <v>2025-06</v>
      </c>
    </row>
    <row r="865" spans="1:12" x14ac:dyDescent="0.25">
      <c r="A865">
        <v>1867</v>
      </c>
      <c r="B865">
        <v>83</v>
      </c>
      <c r="C865" t="str">
        <f>IFERROR(_xlfn.XLOOKUP(B865, Customer!A:A, Customer!B:B), "Unknown Customer")</f>
        <v>Roya Yousefi</v>
      </c>
      <c r="D865" s="1">
        <v>45818</v>
      </c>
      <c r="E865" t="s">
        <v>30</v>
      </c>
      <c r="F865" t="s">
        <v>14</v>
      </c>
      <c r="G865">
        <v>3</v>
      </c>
      <c r="H865" t="s">
        <v>11</v>
      </c>
      <c r="I865" s="2">
        <v>48000</v>
      </c>
      <c r="J865" t="s">
        <v>24</v>
      </c>
      <c r="K865" s="3">
        <f t="shared" si="26"/>
        <v>144000</v>
      </c>
      <c r="L865" t="str">
        <f t="shared" si="27"/>
        <v>2025-06</v>
      </c>
    </row>
    <row r="866" spans="1:12" x14ac:dyDescent="0.25">
      <c r="A866">
        <v>1868</v>
      </c>
      <c r="B866">
        <v>113</v>
      </c>
      <c r="C866" t="str">
        <f>IFERROR(_xlfn.XLOOKUP(B866, Customer!A:A, Customer!B:B), "Unknown Customer")</f>
        <v>Arman Jafari</v>
      </c>
      <c r="D866" s="1">
        <v>45701</v>
      </c>
      <c r="E866" t="s">
        <v>9</v>
      </c>
      <c r="F866" t="s">
        <v>10</v>
      </c>
      <c r="G866">
        <v>2</v>
      </c>
      <c r="H866" t="s">
        <v>11</v>
      </c>
      <c r="I866" s="2">
        <v>62000</v>
      </c>
      <c r="J866" t="s">
        <v>24</v>
      </c>
      <c r="K866" s="3">
        <f t="shared" si="26"/>
        <v>124000</v>
      </c>
      <c r="L866" t="str">
        <f t="shared" si="27"/>
        <v>2025-02</v>
      </c>
    </row>
    <row r="867" spans="1:12" x14ac:dyDescent="0.25">
      <c r="A867">
        <v>1869</v>
      </c>
      <c r="B867">
        <v>12</v>
      </c>
      <c r="C867" t="str">
        <f>IFERROR(_xlfn.XLOOKUP(B867, Customer!A:A, Customer!B:B), "Unknown Customer")</f>
        <v>Golnaz Karimi</v>
      </c>
      <c r="D867" s="1">
        <v>45940</v>
      </c>
      <c r="E867" t="s">
        <v>23</v>
      </c>
      <c r="F867" t="s">
        <v>17</v>
      </c>
      <c r="G867">
        <v>4</v>
      </c>
      <c r="H867" t="s">
        <v>11</v>
      </c>
      <c r="I867" s="2">
        <v>85000</v>
      </c>
      <c r="J867" t="s">
        <v>28</v>
      </c>
      <c r="K867" s="3">
        <f t="shared" si="26"/>
        <v>340000</v>
      </c>
      <c r="L867" t="str">
        <f t="shared" si="27"/>
        <v>2025-10</v>
      </c>
    </row>
    <row r="868" spans="1:12" x14ac:dyDescent="0.25">
      <c r="A868">
        <v>1870</v>
      </c>
      <c r="B868">
        <v>76</v>
      </c>
      <c r="C868" t="str">
        <f>IFERROR(_xlfn.XLOOKUP(B868, Customer!A:A, Customer!B:B), "Unknown Customer")</f>
        <v>Setareh Yousefi</v>
      </c>
      <c r="D868" s="1">
        <v>45752</v>
      </c>
      <c r="E868" t="s">
        <v>9</v>
      </c>
      <c r="F868" t="s">
        <v>10</v>
      </c>
      <c r="G868">
        <v>2</v>
      </c>
      <c r="H868" t="s">
        <v>11</v>
      </c>
      <c r="I868" s="2">
        <v>57000</v>
      </c>
      <c r="J868" t="s">
        <v>21</v>
      </c>
      <c r="K868" s="3">
        <f t="shared" si="26"/>
        <v>114000</v>
      </c>
      <c r="L868" t="str">
        <f t="shared" si="27"/>
        <v>2025-04</v>
      </c>
    </row>
    <row r="869" spans="1:12" x14ac:dyDescent="0.25">
      <c r="A869">
        <v>1871</v>
      </c>
      <c r="B869">
        <v>34</v>
      </c>
      <c r="C869" t="str">
        <f>IFERROR(_xlfn.XLOOKUP(B869, Customer!A:A, Customer!B:B), "Unknown Customer")</f>
        <v>Reza Rezaei</v>
      </c>
      <c r="D869" s="1">
        <v>45917</v>
      </c>
      <c r="E869" t="s">
        <v>27</v>
      </c>
      <c r="F869" t="s">
        <v>14</v>
      </c>
      <c r="G869">
        <v>1</v>
      </c>
      <c r="H869" t="s">
        <v>11</v>
      </c>
      <c r="I869" s="2">
        <v>30000</v>
      </c>
      <c r="J869" t="s">
        <v>28</v>
      </c>
      <c r="K869" s="3">
        <f t="shared" si="26"/>
        <v>30000</v>
      </c>
      <c r="L869" t="str">
        <f t="shared" si="27"/>
        <v>2025-09</v>
      </c>
    </row>
    <row r="870" spans="1:12" x14ac:dyDescent="0.25">
      <c r="A870">
        <v>1872</v>
      </c>
      <c r="B870">
        <v>95</v>
      </c>
      <c r="C870" t="str">
        <f>IFERROR(_xlfn.XLOOKUP(B870, Customer!A:A, Customer!B:B), "Unknown Customer")</f>
        <v>Elham Norouzi</v>
      </c>
      <c r="D870" s="1">
        <v>45890</v>
      </c>
      <c r="E870" t="s">
        <v>29</v>
      </c>
      <c r="F870" t="s">
        <v>14</v>
      </c>
      <c r="G870">
        <v>4</v>
      </c>
      <c r="H870" t="s">
        <v>11</v>
      </c>
      <c r="I870" s="2">
        <v>50000</v>
      </c>
      <c r="J870" t="s">
        <v>21</v>
      </c>
      <c r="K870" s="3">
        <f t="shared" si="26"/>
        <v>200000</v>
      </c>
      <c r="L870" t="str">
        <f t="shared" si="27"/>
        <v>2025-08</v>
      </c>
    </row>
    <row r="871" spans="1:12" x14ac:dyDescent="0.25">
      <c r="A871">
        <v>1873</v>
      </c>
      <c r="B871">
        <v>39</v>
      </c>
      <c r="C871" t="str">
        <f>IFERROR(_xlfn.XLOOKUP(B871, Customer!A:A, Customer!B:B), "Unknown Customer")</f>
        <v>Mona Ghasemi</v>
      </c>
      <c r="D871" s="1">
        <v>45999</v>
      </c>
      <c r="E871" t="s">
        <v>9</v>
      </c>
      <c r="F871" t="s">
        <v>10</v>
      </c>
      <c r="G871">
        <v>3</v>
      </c>
      <c r="H871" t="s">
        <v>11</v>
      </c>
      <c r="I871" s="2">
        <v>62000</v>
      </c>
      <c r="J871" t="s">
        <v>19</v>
      </c>
      <c r="K871" s="3">
        <f t="shared" si="26"/>
        <v>186000</v>
      </c>
      <c r="L871" t="str">
        <f t="shared" si="27"/>
        <v>2025-12</v>
      </c>
    </row>
    <row r="872" spans="1:12" x14ac:dyDescent="0.25">
      <c r="A872">
        <v>1874</v>
      </c>
      <c r="B872">
        <v>42</v>
      </c>
      <c r="C872" t="str">
        <f>IFERROR(_xlfn.XLOOKUP(B872, Customer!A:A, Customer!B:B), "Unknown Customer")</f>
        <v>Niloofar Ebrahimi</v>
      </c>
      <c r="D872" s="1">
        <v>45956</v>
      </c>
      <c r="E872" t="s">
        <v>23</v>
      </c>
      <c r="F872" t="s">
        <v>17</v>
      </c>
      <c r="G872">
        <v>2</v>
      </c>
      <c r="H872" t="s">
        <v>11</v>
      </c>
      <c r="I872" s="2">
        <v>80000</v>
      </c>
      <c r="J872" t="s">
        <v>15</v>
      </c>
      <c r="K872" s="3">
        <f t="shared" si="26"/>
        <v>160000</v>
      </c>
      <c r="L872" t="str">
        <f t="shared" si="27"/>
        <v>2025-10</v>
      </c>
    </row>
    <row r="873" spans="1:12" x14ac:dyDescent="0.25">
      <c r="A873">
        <v>1875</v>
      </c>
      <c r="B873">
        <v>11</v>
      </c>
      <c r="C873" t="str">
        <f>IFERROR(_xlfn.XLOOKUP(B873, Customer!A:A, Customer!B:B), "Unknown Customer")</f>
        <v>Leila Kazemi</v>
      </c>
      <c r="D873" s="1">
        <v>45689</v>
      </c>
      <c r="E873" t="s">
        <v>18</v>
      </c>
      <c r="F873" t="s">
        <v>14</v>
      </c>
      <c r="G873">
        <v>2</v>
      </c>
      <c r="H873" t="s">
        <v>11</v>
      </c>
      <c r="I873" s="2">
        <v>55000</v>
      </c>
      <c r="J873" t="s">
        <v>21</v>
      </c>
      <c r="K873" s="3">
        <f t="shared" si="26"/>
        <v>110000</v>
      </c>
      <c r="L873" t="str">
        <f t="shared" si="27"/>
        <v>2025-02</v>
      </c>
    </row>
    <row r="874" spans="1:12" x14ac:dyDescent="0.25">
      <c r="A874">
        <v>1876</v>
      </c>
      <c r="B874">
        <v>87</v>
      </c>
      <c r="C874" t="str">
        <f>IFERROR(_xlfn.XLOOKUP(B874, Customer!A:A, Customer!B:B), "Unknown Customer")</f>
        <v>Sepideh Abbasi</v>
      </c>
      <c r="D874" s="1">
        <v>45864</v>
      </c>
      <c r="E874" t="s">
        <v>23</v>
      </c>
      <c r="F874" t="s">
        <v>17</v>
      </c>
      <c r="G874">
        <v>4</v>
      </c>
      <c r="H874" t="s">
        <v>11</v>
      </c>
      <c r="I874" s="2">
        <v>85000</v>
      </c>
      <c r="J874" t="s">
        <v>12</v>
      </c>
      <c r="K874" s="3">
        <f t="shared" si="26"/>
        <v>340000</v>
      </c>
      <c r="L874" t="str">
        <f t="shared" si="27"/>
        <v>2025-07</v>
      </c>
    </row>
    <row r="875" spans="1:12" x14ac:dyDescent="0.25">
      <c r="A875">
        <v>1877</v>
      </c>
      <c r="B875">
        <v>55</v>
      </c>
      <c r="C875" t="str">
        <f>IFERROR(_xlfn.XLOOKUP(B875, Customer!A:A, Customer!B:B), "Unknown Customer")</f>
        <v>Payam Jafari</v>
      </c>
      <c r="D875" s="1">
        <v>46010</v>
      </c>
      <c r="E875" t="s">
        <v>16</v>
      </c>
      <c r="F875" t="s">
        <v>17</v>
      </c>
      <c r="G875">
        <v>4</v>
      </c>
      <c r="H875" t="s">
        <v>11</v>
      </c>
      <c r="I875" s="2">
        <v>75000</v>
      </c>
      <c r="J875" t="s">
        <v>15</v>
      </c>
      <c r="K875" s="3">
        <f t="shared" si="26"/>
        <v>300000</v>
      </c>
      <c r="L875" t="str">
        <f t="shared" si="27"/>
        <v>2025-12</v>
      </c>
    </row>
    <row r="876" spans="1:12" x14ac:dyDescent="0.25">
      <c r="A876">
        <v>1878</v>
      </c>
      <c r="B876">
        <v>92</v>
      </c>
      <c r="C876" t="str">
        <f>IFERROR(_xlfn.XLOOKUP(B876, Customer!A:A, Customer!B:B), "Unknown Customer")</f>
        <v>Payam Zare</v>
      </c>
      <c r="D876" s="1">
        <v>45724</v>
      </c>
      <c r="E876" t="s">
        <v>16</v>
      </c>
      <c r="F876" t="s">
        <v>17</v>
      </c>
      <c r="G876">
        <v>3</v>
      </c>
      <c r="H876" t="s">
        <v>11</v>
      </c>
      <c r="I876" s="2">
        <v>75000</v>
      </c>
      <c r="J876" t="s">
        <v>19</v>
      </c>
      <c r="K876" s="3">
        <f t="shared" si="26"/>
        <v>225000</v>
      </c>
      <c r="L876" t="str">
        <f t="shared" si="27"/>
        <v>2025-03</v>
      </c>
    </row>
    <row r="877" spans="1:12" x14ac:dyDescent="0.25">
      <c r="A877">
        <v>1879</v>
      </c>
      <c r="B877">
        <v>96</v>
      </c>
      <c r="C877" t="str">
        <f>IFERROR(_xlfn.XLOOKUP(B877, Customer!A:A, Customer!B:B), "Unknown Customer")</f>
        <v>Milad Norouzi</v>
      </c>
      <c r="D877" s="1">
        <v>45944</v>
      </c>
      <c r="E877" t="s">
        <v>13</v>
      </c>
      <c r="F877" t="s">
        <v>14</v>
      </c>
      <c r="G877">
        <v>2</v>
      </c>
      <c r="H877" t="s">
        <v>11</v>
      </c>
      <c r="I877" s="2">
        <v>58000</v>
      </c>
      <c r="J877" t="s">
        <v>21</v>
      </c>
      <c r="K877" s="3">
        <f t="shared" si="26"/>
        <v>116000</v>
      </c>
      <c r="L877" t="str">
        <f t="shared" si="27"/>
        <v>2025-10</v>
      </c>
    </row>
    <row r="878" spans="1:12" x14ac:dyDescent="0.25">
      <c r="A878">
        <v>1880</v>
      </c>
      <c r="B878">
        <v>74</v>
      </c>
      <c r="C878" t="str">
        <f>IFERROR(_xlfn.XLOOKUP(B878, Customer!A:A, Customer!B:B), "Unknown Customer")</f>
        <v>Amir Vakili</v>
      </c>
      <c r="D878" s="1">
        <v>45678</v>
      </c>
      <c r="E878" t="s">
        <v>9</v>
      </c>
      <c r="F878" t="s">
        <v>10</v>
      </c>
      <c r="G878">
        <v>1</v>
      </c>
      <c r="H878" t="s">
        <v>11</v>
      </c>
      <c r="I878" s="2">
        <v>62000</v>
      </c>
      <c r="J878" t="s">
        <v>21</v>
      </c>
      <c r="K878" s="3">
        <f t="shared" si="26"/>
        <v>62000</v>
      </c>
      <c r="L878" t="str">
        <f t="shared" si="27"/>
        <v>2025-01</v>
      </c>
    </row>
    <row r="879" spans="1:12" x14ac:dyDescent="0.25">
      <c r="A879">
        <v>1881</v>
      </c>
      <c r="B879">
        <v>38</v>
      </c>
      <c r="C879" t="str">
        <f>IFERROR(_xlfn.XLOOKUP(B879, Customer!A:A, Customer!B:B), "Unknown Customer")</f>
        <v>Setareh Naderi</v>
      </c>
      <c r="D879" s="1">
        <v>45672</v>
      </c>
      <c r="E879" t="s">
        <v>16</v>
      </c>
      <c r="F879" t="s">
        <v>17</v>
      </c>
      <c r="G879">
        <v>4</v>
      </c>
      <c r="H879" t="s">
        <v>11</v>
      </c>
      <c r="I879" s="2">
        <v>80000</v>
      </c>
      <c r="J879" t="s">
        <v>21</v>
      </c>
      <c r="K879" s="3">
        <f t="shared" si="26"/>
        <v>320000</v>
      </c>
      <c r="L879" t="str">
        <f t="shared" si="27"/>
        <v>2025-01</v>
      </c>
    </row>
    <row r="880" spans="1:12" x14ac:dyDescent="0.25">
      <c r="A880">
        <v>1882</v>
      </c>
      <c r="B880">
        <v>114</v>
      </c>
      <c r="C880" t="str">
        <f>IFERROR(_xlfn.XLOOKUP(B880, Customer!A:A, Customer!B:B), "Unknown Customer")</f>
        <v>Omid Fallahi</v>
      </c>
      <c r="D880" s="1">
        <v>45768</v>
      </c>
      <c r="E880" t="s">
        <v>9</v>
      </c>
      <c r="F880" t="s">
        <v>10</v>
      </c>
      <c r="G880">
        <v>1</v>
      </c>
      <c r="H880" t="s">
        <v>11</v>
      </c>
      <c r="I880" s="2">
        <v>62265.486725663715</v>
      </c>
      <c r="J880" t="s">
        <v>19</v>
      </c>
      <c r="K880" s="3">
        <f t="shared" si="26"/>
        <v>62265.486725663715</v>
      </c>
      <c r="L880" t="str">
        <f t="shared" si="27"/>
        <v>2025-04</v>
      </c>
    </row>
    <row r="881" spans="1:12" x14ac:dyDescent="0.25">
      <c r="A881">
        <v>1883</v>
      </c>
      <c r="B881">
        <v>112</v>
      </c>
      <c r="C881" t="str">
        <f>IFERROR(_xlfn.XLOOKUP(B881, Customer!A:A, Customer!B:B), "Unknown Customer")</f>
        <v>Amir Fallahi</v>
      </c>
      <c r="D881" s="1">
        <v>45696</v>
      </c>
      <c r="E881" t="s">
        <v>29</v>
      </c>
      <c r="F881" t="s">
        <v>14</v>
      </c>
      <c r="G881">
        <v>2</v>
      </c>
      <c r="H881" t="s">
        <v>11</v>
      </c>
      <c r="I881" s="2">
        <v>45353.535353535357</v>
      </c>
      <c r="J881" t="s">
        <v>15</v>
      </c>
      <c r="K881" s="3">
        <f t="shared" si="26"/>
        <v>90707.070707070714</v>
      </c>
      <c r="L881" t="str">
        <f t="shared" si="27"/>
        <v>2025-02</v>
      </c>
    </row>
    <row r="882" spans="1:12" x14ac:dyDescent="0.25">
      <c r="A882">
        <v>1884</v>
      </c>
      <c r="B882">
        <v>107</v>
      </c>
      <c r="C882" t="str">
        <f>IFERROR(_xlfn.XLOOKUP(B882, Customer!A:A, Customer!B:B), "Unknown Customer")</f>
        <v>Mona Abbasi</v>
      </c>
      <c r="D882" s="1">
        <v>45968</v>
      </c>
      <c r="E882" t="s">
        <v>22</v>
      </c>
      <c r="F882" t="s">
        <v>14</v>
      </c>
      <c r="G882">
        <v>2</v>
      </c>
      <c r="H882" t="s">
        <v>11</v>
      </c>
      <c r="I882" s="2">
        <v>60000</v>
      </c>
      <c r="J882" t="s">
        <v>24</v>
      </c>
      <c r="K882" s="3">
        <f t="shared" si="26"/>
        <v>120000</v>
      </c>
      <c r="L882" t="str">
        <f t="shared" si="27"/>
        <v>2025-11</v>
      </c>
    </row>
    <row r="883" spans="1:12" x14ac:dyDescent="0.25">
      <c r="A883">
        <v>1885</v>
      </c>
      <c r="B883">
        <v>111</v>
      </c>
      <c r="C883" t="str">
        <f>IFERROR(_xlfn.XLOOKUP(B883, Customer!A:A, Customer!B:B), "Unknown Customer")</f>
        <v>Sepideh Yousefi</v>
      </c>
      <c r="D883" s="1">
        <v>45824</v>
      </c>
      <c r="E883" t="s">
        <v>22</v>
      </c>
      <c r="F883" t="s">
        <v>14</v>
      </c>
      <c r="G883">
        <v>2</v>
      </c>
      <c r="H883" t="s">
        <v>11</v>
      </c>
      <c r="I883" s="2">
        <v>60000</v>
      </c>
      <c r="J883" t="s">
        <v>28</v>
      </c>
      <c r="K883" s="3">
        <f t="shared" si="26"/>
        <v>120000</v>
      </c>
      <c r="L883" t="str">
        <f t="shared" si="27"/>
        <v>2025-06</v>
      </c>
    </row>
    <row r="884" spans="1:12" x14ac:dyDescent="0.25">
      <c r="A884">
        <v>1886</v>
      </c>
      <c r="B884">
        <v>6</v>
      </c>
      <c r="C884" t="str">
        <f>IFERROR(_xlfn.XLOOKUP(B884, Customer!A:A, Customer!B:B), "Unknown Customer")</f>
        <v>Sepideh Mousavi</v>
      </c>
      <c r="D884" s="1">
        <v>45884</v>
      </c>
      <c r="E884" t="s">
        <v>27</v>
      </c>
      <c r="F884" t="s">
        <v>14</v>
      </c>
      <c r="G884">
        <v>3</v>
      </c>
      <c r="H884" t="s">
        <v>11</v>
      </c>
      <c r="I884" s="2">
        <v>30000</v>
      </c>
      <c r="J884" t="s">
        <v>28</v>
      </c>
      <c r="K884" s="3">
        <f t="shared" si="26"/>
        <v>90000</v>
      </c>
      <c r="L884" t="str">
        <f t="shared" si="27"/>
        <v>2025-08</v>
      </c>
    </row>
    <row r="885" spans="1:12" x14ac:dyDescent="0.25">
      <c r="A885">
        <v>1887</v>
      </c>
      <c r="B885">
        <v>81</v>
      </c>
      <c r="C885" t="str">
        <f>IFERROR(_xlfn.XLOOKUP(B885, Customer!A:A, Customer!B:B), "Unknown Customer")</f>
        <v>Nazanin Fallahi</v>
      </c>
      <c r="D885" s="1">
        <v>45816</v>
      </c>
      <c r="E885" t="s">
        <v>22</v>
      </c>
      <c r="F885" t="s">
        <v>14</v>
      </c>
      <c r="G885">
        <v>3</v>
      </c>
      <c r="H885" t="s">
        <v>11</v>
      </c>
      <c r="I885" s="2">
        <v>65000</v>
      </c>
      <c r="J885" t="s">
        <v>28</v>
      </c>
      <c r="K885" s="3">
        <f t="shared" si="26"/>
        <v>195000</v>
      </c>
      <c r="L885" t="str">
        <f t="shared" si="27"/>
        <v>2025-06</v>
      </c>
    </row>
    <row r="886" spans="1:12" x14ac:dyDescent="0.25">
      <c r="A886">
        <v>1888</v>
      </c>
      <c r="B886">
        <v>70</v>
      </c>
      <c r="C886" t="str">
        <f>IFERROR(_xlfn.XLOOKUP(B886, Customer!A:A, Customer!B:B), "Unknown Customer")</f>
        <v>Iman Naderi</v>
      </c>
      <c r="D886" s="1">
        <v>45685</v>
      </c>
      <c r="E886" t="s">
        <v>20</v>
      </c>
      <c r="F886" t="s">
        <v>17</v>
      </c>
      <c r="G886">
        <v>4</v>
      </c>
      <c r="H886" t="s">
        <v>11</v>
      </c>
      <c r="I886" s="2">
        <v>50000</v>
      </c>
      <c r="J886" t="s">
        <v>19</v>
      </c>
      <c r="K886" s="3">
        <f t="shared" si="26"/>
        <v>200000</v>
      </c>
      <c r="L886" t="str">
        <f t="shared" si="27"/>
        <v>2025-01</v>
      </c>
    </row>
    <row r="887" spans="1:12" x14ac:dyDescent="0.25">
      <c r="A887">
        <v>1889</v>
      </c>
      <c r="B887">
        <v>85</v>
      </c>
      <c r="C887" t="str">
        <f>IFERROR(_xlfn.XLOOKUP(B887, Customer!A:A, Customer!B:B), "Unknown Customer")</f>
        <v>Sepideh Yousefi</v>
      </c>
      <c r="D887" s="1">
        <v>45720</v>
      </c>
      <c r="E887" t="s">
        <v>23</v>
      </c>
      <c r="F887" t="s">
        <v>17</v>
      </c>
      <c r="G887">
        <v>4</v>
      </c>
      <c r="H887" t="s">
        <v>11</v>
      </c>
      <c r="I887" s="2">
        <v>85000</v>
      </c>
      <c r="J887" t="s">
        <v>19</v>
      </c>
      <c r="K887" s="3">
        <f t="shared" si="26"/>
        <v>340000</v>
      </c>
      <c r="L887" t="str">
        <f t="shared" si="27"/>
        <v>2025-03</v>
      </c>
    </row>
    <row r="888" spans="1:12" x14ac:dyDescent="0.25">
      <c r="A888">
        <v>1890</v>
      </c>
      <c r="B888">
        <v>104</v>
      </c>
      <c r="C888" t="str">
        <f>IFERROR(_xlfn.XLOOKUP(B888, Customer!A:A, Customer!B:B), "Unknown Customer")</f>
        <v>Kian Zare</v>
      </c>
      <c r="D888" s="1">
        <v>45849</v>
      </c>
      <c r="E888" t="s">
        <v>23</v>
      </c>
      <c r="F888" t="s">
        <v>17</v>
      </c>
      <c r="G888">
        <v>2</v>
      </c>
      <c r="H888" t="s">
        <v>11</v>
      </c>
      <c r="I888" s="2">
        <v>80000</v>
      </c>
      <c r="J888" t="s">
        <v>21</v>
      </c>
      <c r="K888" s="3">
        <f t="shared" si="26"/>
        <v>160000</v>
      </c>
      <c r="L888" t="str">
        <f t="shared" si="27"/>
        <v>2025-07</v>
      </c>
    </row>
    <row r="889" spans="1:12" x14ac:dyDescent="0.25">
      <c r="A889">
        <v>1891</v>
      </c>
      <c r="B889">
        <v>56</v>
      </c>
      <c r="C889" t="str">
        <f>IFERROR(_xlfn.XLOOKUP(B889, Customer!A:A, Customer!B:B), "Unknown Customer")</f>
        <v>Tara Jafari</v>
      </c>
      <c r="D889" s="1">
        <v>45665</v>
      </c>
      <c r="E889" t="s">
        <v>13</v>
      </c>
      <c r="F889" t="s">
        <v>14</v>
      </c>
      <c r="G889">
        <v>2</v>
      </c>
      <c r="H889" t="s">
        <v>11</v>
      </c>
      <c r="I889" s="2">
        <v>58000</v>
      </c>
      <c r="J889" t="s">
        <v>19</v>
      </c>
      <c r="K889" s="3">
        <f t="shared" si="26"/>
        <v>116000</v>
      </c>
      <c r="L889" t="str">
        <f t="shared" si="27"/>
        <v>2025-01</v>
      </c>
    </row>
    <row r="890" spans="1:12" x14ac:dyDescent="0.25">
      <c r="A890">
        <v>1892</v>
      </c>
      <c r="B890">
        <v>70</v>
      </c>
      <c r="C890" t="str">
        <f>IFERROR(_xlfn.XLOOKUP(B890, Customer!A:A, Customer!B:B), "Unknown Customer")</f>
        <v>Iman Naderi</v>
      </c>
      <c r="D890" s="1">
        <v>45804</v>
      </c>
      <c r="E890" t="s">
        <v>13</v>
      </c>
      <c r="F890" t="s">
        <v>14</v>
      </c>
      <c r="G890">
        <v>1</v>
      </c>
      <c r="H890" t="s">
        <v>11</v>
      </c>
      <c r="I890" s="2">
        <v>53000</v>
      </c>
      <c r="J890" t="s">
        <v>15</v>
      </c>
      <c r="K890" s="3">
        <f t="shared" si="26"/>
        <v>53000</v>
      </c>
      <c r="L890" t="str">
        <f t="shared" si="27"/>
        <v>2025-05</v>
      </c>
    </row>
    <row r="891" spans="1:12" x14ac:dyDescent="0.25">
      <c r="A891">
        <v>1893</v>
      </c>
      <c r="B891">
        <v>87</v>
      </c>
      <c r="C891" t="str">
        <f>IFERROR(_xlfn.XLOOKUP(B891, Customer!A:A, Customer!B:B), "Unknown Customer")</f>
        <v>Sepideh Abbasi</v>
      </c>
      <c r="D891" s="1">
        <v>45688</v>
      </c>
      <c r="E891" t="s">
        <v>13</v>
      </c>
      <c r="F891" t="s">
        <v>14</v>
      </c>
      <c r="G891">
        <v>1</v>
      </c>
      <c r="H891" t="s">
        <v>11</v>
      </c>
      <c r="I891" s="2">
        <v>53000</v>
      </c>
      <c r="J891" t="s">
        <v>21</v>
      </c>
      <c r="K891" s="3">
        <f t="shared" si="26"/>
        <v>53000</v>
      </c>
      <c r="L891" t="str">
        <f t="shared" si="27"/>
        <v>2025-01</v>
      </c>
    </row>
    <row r="892" spans="1:12" x14ac:dyDescent="0.25">
      <c r="A892">
        <v>1894</v>
      </c>
      <c r="B892">
        <v>50</v>
      </c>
      <c r="C892" t="str">
        <f>IFERROR(_xlfn.XLOOKUP(B892, Customer!A:A, Customer!B:B), "Unknown Customer")</f>
        <v>Mona Naderi</v>
      </c>
      <c r="D892" s="1">
        <v>45821</v>
      </c>
      <c r="E892" t="s">
        <v>18</v>
      </c>
      <c r="F892" t="s">
        <v>14</v>
      </c>
      <c r="G892">
        <v>1</v>
      </c>
      <c r="H892" t="s">
        <v>11</v>
      </c>
      <c r="I892" s="2">
        <v>55000</v>
      </c>
      <c r="J892" t="s">
        <v>19</v>
      </c>
      <c r="K892" s="3">
        <f t="shared" si="26"/>
        <v>55000</v>
      </c>
      <c r="L892" t="str">
        <f t="shared" si="27"/>
        <v>2025-06</v>
      </c>
    </row>
    <row r="893" spans="1:12" x14ac:dyDescent="0.25">
      <c r="A893">
        <v>1895</v>
      </c>
      <c r="B893">
        <v>26</v>
      </c>
      <c r="C893" t="str">
        <f>IFERROR(_xlfn.XLOOKUP(B893, Customer!A:A, Customer!B:B), "Unknown Customer")</f>
        <v>Mona Karimi</v>
      </c>
      <c r="D893" s="1">
        <v>45963</v>
      </c>
      <c r="E893" t="s">
        <v>30</v>
      </c>
      <c r="F893" t="s">
        <v>14</v>
      </c>
      <c r="G893">
        <v>2</v>
      </c>
      <c r="H893" t="s">
        <v>11</v>
      </c>
      <c r="I893" s="2">
        <v>53000</v>
      </c>
      <c r="J893" t="s">
        <v>19</v>
      </c>
      <c r="K893" s="3">
        <f t="shared" si="26"/>
        <v>106000</v>
      </c>
      <c r="L893" t="str">
        <f t="shared" si="27"/>
        <v>2025-11</v>
      </c>
    </row>
    <row r="894" spans="1:12" x14ac:dyDescent="0.25">
      <c r="A894">
        <v>1896</v>
      </c>
      <c r="B894">
        <v>35</v>
      </c>
      <c r="C894" t="str">
        <f>IFERROR(_xlfn.XLOOKUP(B894, Customer!A:A, Customer!B:B), "Unknown Customer")</f>
        <v>Babak Hosseini</v>
      </c>
      <c r="D894" s="1">
        <v>45997</v>
      </c>
      <c r="E894" t="s">
        <v>29</v>
      </c>
      <c r="F894" t="s">
        <v>14</v>
      </c>
      <c r="G894">
        <v>1</v>
      </c>
      <c r="H894" t="s">
        <v>11</v>
      </c>
      <c r="I894" s="2">
        <v>45000</v>
      </c>
      <c r="J894" t="s">
        <v>12</v>
      </c>
      <c r="K894" s="3">
        <f t="shared" si="26"/>
        <v>45000</v>
      </c>
      <c r="L894" t="str">
        <f t="shared" si="27"/>
        <v>2025-12</v>
      </c>
    </row>
    <row r="895" spans="1:12" x14ac:dyDescent="0.25">
      <c r="A895">
        <v>1897</v>
      </c>
      <c r="B895">
        <v>30</v>
      </c>
      <c r="C895" t="str">
        <f>IFERROR(_xlfn.XLOOKUP(B895, Customer!A:A, Customer!B:B), "Unknown Customer")</f>
        <v>Mona Mousavi</v>
      </c>
      <c r="D895" s="1">
        <v>45795</v>
      </c>
      <c r="E895" t="s">
        <v>29</v>
      </c>
      <c r="F895" t="s">
        <v>14</v>
      </c>
      <c r="G895">
        <v>1</v>
      </c>
      <c r="H895" t="s">
        <v>11</v>
      </c>
      <c r="I895" s="2">
        <v>50000</v>
      </c>
      <c r="J895" t="s">
        <v>21</v>
      </c>
      <c r="K895" s="3">
        <f t="shared" si="26"/>
        <v>50000</v>
      </c>
      <c r="L895" t="str">
        <f t="shared" si="27"/>
        <v>2025-05</v>
      </c>
    </row>
    <row r="896" spans="1:12" x14ac:dyDescent="0.25">
      <c r="A896">
        <v>1898</v>
      </c>
      <c r="B896">
        <v>73</v>
      </c>
      <c r="C896" t="str">
        <f>IFERROR(_xlfn.XLOOKUP(B896, Customer!A:A, Customer!B:B), "Unknown Customer")</f>
        <v>Niloofar Ebrahimi</v>
      </c>
      <c r="D896" s="1">
        <v>45886</v>
      </c>
      <c r="E896" t="s">
        <v>31</v>
      </c>
      <c r="F896" t="s">
        <v>17</v>
      </c>
      <c r="G896">
        <v>4</v>
      </c>
      <c r="H896" t="s">
        <v>11</v>
      </c>
      <c r="I896" s="2">
        <v>40000</v>
      </c>
      <c r="J896" t="s">
        <v>24</v>
      </c>
      <c r="K896" s="3">
        <f t="shared" si="26"/>
        <v>160000</v>
      </c>
      <c r="L896" t="str">
        <f t="shared" si="27"/>
        <v>2025-08</v>
      </c>
    </row>
    <row r="897" spans="1:12" x14ac:dyDescent="0.25">
      <c r="A897">
        <v>1899</v>
      </c>
      <c r="B897">
        <v>69</v>
      </c>
      <c r="C897" t="str">
        <f>IFERROR(_xlfn.XLOOKUP(B897, Customer!A:A, Customer!B:B), "Unknown Customer")</f>
        <v>Mahsa Ebrahimi</v>
      </c>
      <c r="D897" s="1">
        <v>45942</v>
      </c>
      <c r="E897" t="s">
        <v>31</v>
      </c>
      <c r="F897" t="s">
        <v>17</v>
      </c>
      <c r="G897">
        <v>1</v>
      </c>
      <c r="H897" t="s">
        <v>11</v>
      </c>
      <c r="I897" s="2">
        <v>40000</v>
      </c>
      <c r="J897" t="s">
        <v>12</v>
      </c>
      <c r="K897" s="3">
        <f t="shared" si="26"/>
        <v>40000</v>
      </c>
      <c r="L897" t="str">
        <f t="shared" si="27"/>
        <v>2025-10</v>
      </c>
    </row>
    <row r="898" spans="1:12" x14ac:dyDescent="0.25">
      <c r="A898">
        <v>1900</v>
      </c>
      <c r="B898">
        <v>78</v>
      </c>
      <c r="C898" t="str">
        <f>IFERROR(_xlfn.XLOOKUP(B898, Customer!A:A, Customer!B:B), "Unknown Customer")</f>
        <v>Elham Karimi</v>
      </c>
      <c r="D898" s="1">
        <v>45658</v>
      </c>
      <c r="E898" t="s">
        <v>13</v>
      </c>
      <c r="F898" t="s">
        <v>14</v>
      </c>
      <c r="G898">
        <v>1</v>
      </c>
      <c r="H898" t="s">
        <v>11</v>
      </c>
      <c r="I898" s="2">
        <v>63000</v>
      </c>
      <c r="J898" t="s">
        <v>21</v>
      </c>
      <c r="K898" s="3">
        <f t="shared" si="26"/>
        <v>63000</v>
      </c>
      <c r="L898" t="str">
        <f t="shared" si="27"/>
        <v>2025-01</v>
      </c>
    </row>
    <row r="899" spans="1:12" x14ac:dyDescent="0.25">
      <c r="A899">
        <v>1901</v>
      </c>
      <c r="B899">
        <v>108</v>
      </c>
      <c r="C899" t="str">
        <f>IFERROR(_xlfn.XLOOKUP(B899, Customer!A:A, Customer!B:B), "Unknown Customer")</f>
        <v>Omid Kazemi</v>
      </c>
      <c r="D899" s="1">
        <v>45766</v>
      </c>
      <c r="E899" t="s">
        <v>27</v>
      </c>
      <c r="F899" t="s">
        <v>14</v>
      </c>
      <c r="G899">
        <v>1</v>
      </c>
      <c r="H899" t="s">
        <v>11</v>
      </c>
      <c r="I899" s="2">
        <v>35000</v>
      </c>
      <c r="J899" t="s">
        <v>21</v>
      </c>
      <c r="K899" s="3">
        <f t="shared" ref="K899:K962" si="28">G899*I899</f>
        <v>35000</v>
      </c>
      <c r="L899" t="str">
        <f t="shared" ref="L899:L962" si="29">TEXT(D899,"YYYY-MM")</f>
        <v>2025-04</v>
      </c>
    </row>
    <row r="900" spans="1:12" x14ac:dyDescent="0.25">
      <c r="A900">
        <v>1902</v>
      </c>
      <c r="B900">
        <v>12</v>
      </c>
      <c r="C900" t="str">
        <f>IFERROR(_xlfn.XLOOKUP(B900, Customer!A:A, Customer!B:B), "Unknown Customer")</f>
        <v>Golnaz Karimi</v>
      </c>
      <c r="D900" s="1">
        <v>46015</v>
      </c>
      <c r="E900" t="s">
        <v>31</v>
      </c>
      <c r="F900" t="s">
        <v>17</v>
      </c>
      <c r="G900">
        <v>-3</v>
      </c>
      <c r="H900" t="s">
        <v>26</v>
      </c>
      <c r="I900" s="2">
        <v>45000</v>
      </c>
      <c r="J900" t="s">
        <v>24</v>
      </c>
      <c r="K900" s="3">
        <f t="shared" si="28"/>
        <v>-135000</v>
      </c>
      <c r="L900" t="str">
        <f t="shared" si="29"/>
        <v>2025-12</v>
      </c>
    </row>
    <row r="901" spans="1:12" x14ac:dyDescent="0.25">
      <c r="A901">
        <v>1903</v>
      </c>
      <c r="B901">
        <v>79</v>
      </c>
      <c r="C901" t="str">
        <f>IFERROR(_xlfn.XLOOKUP(B901, Customer!A:A, Customer!B:B), "Unknown Customer")</f>
        <v>Niloofar Ahmadi</v>
      </c>
      <c r="D901" s="1">
        <v>45997</v>
      </c>
      <c r="E901" t="s">
        <v>23</v>
      </c>
      <c r="F901" t="s">
        <v>17</v>
      </c>
      <c r="G901">
        <v>3</v>
      </c>
      <c r="H901" t="s">
        <v>11</v>
      </c>
      <c r="I901" s="2">
        <v>85000</v>
      </c>
      <c r="J901" t="s">
        <v>21</v>
      </c>
      <c r="K901" s="3">
        <f t="shared" si="28"/>
        <v>255000</v>
      </c>
      <c r="L901" t="str">
        <f t="shared" si="29"/>
        <v>2025-12</v>
      </c>
    </row>
    <row r="902" spans="1:12" x14ac:dyDescent="0.25">
      <c r="A902">
        <v>1904</v>
      </c>
      <c r="B902">
        <v>32</v>
      </c>
      <c r="C902" t="str">
        <f>IFERROR(_xlfn.XLOOKUP(B902, Customer!A:A, Customer!B:B), "Unknown Customer")</f>
        <v>Elham Karimi</v>
      </c>
      <c r="D902" s="1">
        <v>45822</v>
      </c>
      <c r="E902" t="s">
        <v>27</v>
      </c>
      <c r="F902" t="s">
        <v>14</v>
      </c>
      <c r="G902">
        <v>2</v>
      </c>
      <c r="H902" t="s">
        <v>11</v>
      </c>
      <c r="I902" s="2">
        <v>40000</v>
      </c>
      <c r="J902" t="s">
        <v>12</v>
      </c>
      <c r="K902" s="3">
        <f t="shared" si="28"/>
        <v>80000</v>
      </c>
      <c r="L902" t="str">
        <f t="shared" si="29"/>
        <v>2025-06</v>
      </c>
    </row>
    <row r="903" spans="1:12" x14ac:dyDescent="0.25">
      <c r="A903">
        <v>1905</v>
      </c>
      <c r="B903">
        <v>18</v>
      </c>
      <c r="C903" t="str">
        <f>IFERROR(_xlfn.XLOOKUP(B903, Customer!A:A, Customer!B:B), "Unknown Customer")</f>
        <v>Niloofar Abbasi</v>
      </c>
      <c r="D903" s="1">
        <v>45689</v>
      </c>
      <c r="E903" t="s">
        <v>27</v>
      </c>
      <c r="F903" t="s">
        <v>14</v>
      </c>
      <c r="G903">
        <v>1</v>
      </c>
      <c r="H903" t="s">
        <v>11</v>
      </c>
      <c r="I903" s="2">
        <v>30000</v>
      </c>
      <c r="J903" t="s">
        <v>15</v>
      </c>
      <c r="K903" s="3">
        <f t="shared" si="28"/>
        <v>30000</v>
      </c>
      <c r="L903" t="str">
        <f t="shared" si="29"/>
        <v>2025-02</v>
      </c>
    </row>
    <row r="904" spans="1:12" x14ac:dyDescent="0.25">
      <c r="A904">
        <v>1906</v>
      </c>
      <c r="B904">
        <v>72</v>
      </c>
      <c r="C904" t="str">
        <f>IFERROR(_xlfn.XLOOKUP(B904, Customer!A:A, Customer!B:B), "Unknown Customer")</f>
        <v>Roya Rostami</v>
      </c>
      <c r="D904" s="1">
        <v>46018</v>
      </c>
      <c r="E904" t="s">
        <v>22</v>
      </c>
      <c r="F904" t="s">
        <v>14</v>
      </c>
      <c r="G904">
        <v>2</v>
      </c>
      <c r="H904" t="s">
        <v>11</v>
      </c>
      <c r="I904" s="2">
        <v>55000</v>
      </c>
      <c r="J904" t="s">
        <v>28</v>
      </c>
      <c r="K904" s="3">
        <f t="shared" si="28"/>
        <v>110000</v>
      </c>
      <c r="L904" t="str">
        <f t="shared" si="29"/>
        <v>2025-12</v>
      </c>
    </row>
    <row r="905" spans="1:12" x14ac:dyDescent="0.25">
      <c r="A905">
        <v>1907</v>
      </c>
      <c r="B905">
        <v>4</v>
      </c>
      <c r="C905" t="str">
        <f>IFERROR(_xlfn.XLOOKUP(B905, Customer!A:A, Customer!B:B), "Unknown Customer")</f>
        <v>Kaveh Salehi</v>
      </c>
      <c r="D905" s="1">
        <v>45885</v>
      </c>
      <c r="E905" t="s">
        <v>27</v>
      </c>
      <c r="F905" t="s">
        <v>14</v>
      </c>
      <c r="G905">
        <v>1</v>
      </c>
      <c r="H905" t="s">
        <v>11</v>
      </c>
      <c r="I905" s="2">
        <v>35000</v>
      </c>
      <c r="J905" t="s">
        <v>15</v>
      </c>
      <c r="K905" s="3">
        <f t="shared" si="28"/>
        <v>35000</v>
      </c>
      <c r="L905" t="str">
        <f t="shared" si="29"/>
        <v>2025-08</v>
      </c>
    </row>
    <row r="906" spans="1:12" x14ac:dyDescent="0.25">
      <c r="A906">
        <v>1908</v>
      </c>
      <c r="B906">
        <v>23</v>
      </c>
      <c r="C906" t="str">
        <f>IFERROR(_xlfn.XLOOKUP(B906, Customer!A:A, Customer!B:B), "Unknown Customer")</f>
        <v>Milad Rezaei</v>
      </c>
      <c r="D906" s="1">
        <v>45778</v>
      </c>
      <c r="E906" t="s">
        <v>22</v>
      </c>
      <c r="F906" t="s">
        <v>14</v>
      </c>
      <c r="G906">
        <v>1</v>
      </c>
      <c r="H906" t="s">
        <v>11</v>
      </c>
      <c r="I906" s="2">
        <v>60000</v>
      </c>
      <c r="J906" t="s">
        <v>32</v>
      </c>
      <c r="K906" s="3">
        <f t="shared" si="28"/>
        <v>60000</v>
      </c>
      <c r="L906" t="str">
        <f t="shared" si="29"/>
        <v>2025-05</v>
      </c>
    </row>
    <row r="907" spans="1:12" x14ac:dyDescent="0.25">
      <c r="A907">
        <v>1909</v>
      </c>
      <c r="B907">
        <v>96</v>
      </c>
      <c r="C907" t="str">
        <f>IFERROR(_xlfn.XLOOKUP(B907, Customer!A:A, Customer!B:B), "Unknown Customer")</f>
        <v>Milad Norouzi</v>
      </c>
      <c r="D907" s="1">
        <v>45801</v>
      </c>
      <c r="E907" t="s">
        <v>29</v>
      </c>
      <c r="F907" t="s">
        <v>14</v>
      </c>
      <c r="G907">
        <v>1</v>
      </c>
      <c r="H907" t="s">
        <v>11</v>
      </c>
      <c r="I907" s="2">
        <v>40000</v>
      </c>
      <c r="J907" t="s">
        <v>12</v>
      </c>
      <c r="K907" s="3">
        <f t="shared" si="28"/>
        <v>40000</v>
      </c>
      <c r="L907" t="str">
        <f t="shared" si="29"/>
        <v>2025-05</v>
      </c>
    </row>
    <row r="908" spans="1:12" x14ac:dyDescent="0.25">
      <c r="A908">
        <v>1910</v>
      </c>
      <c r="B908">
        <v>29</v>
      </c>
      <c r="C908" t="str">
        <f>IFERROR(_xlfn.XLOOKUP(B908, Customer!A:A, Customer!B:B), "Unknown Customer")</f>
        <v>Leila Kazemi</v>
      </c>
      <c r="D908" s="1">
        <v>45910</v>
      </c>
      <c r="E908" t="s">
        <v>30</v>
      </c>
      <c r="F908" t="s">
        <v>14</v>
      </c>
      <c r="G908">
        <v>1</v>
      </c>
      <c r="H908" t="s">
        <v>11</v>
      </c>
      <c r="I908" s="2">
        <v>48000</v>
      </c>
      <c r="J908" t="s">
        <v>19</v>
      </c>
      <c r="K908" s="3">
        <f t="shared" si="28"/>
        <v>48000</v>
      </c>
      <c r="L908" t="str">
        <f t="shared" si="29"/>
        <v>2025-09</v>
      </c>
    </row>
    <row r="909" spans="1:12" x14ac:dyDescent="0.25">
      <c r="A909">
        <v>1911</v>
      </c>
      <c r="B909">
        <v>26</v>
      </c>
      <c r="C909" t="str">
        <f>IFERROR(_xlfn.XLOOKUP(B909, Customer!A:A, Customer!B:B), "Unknown Customer")</f>
        <v>Mona Karimi</v>
      </c>
      <c r="D909" s="1">
        <v>45860</v>
      </c>
      <c r="E909" t="s">
        <v>27</v>
      </c>
      <c r="F909" t="s">
        <v>14</v>
      </c>
      <c r="G909">
        <v>2</v>
      </c>
      <c r="H909" t="s">
        <v>11</v>
      </c>
      <c r="I909" s="2">
        <v>40000</v>
      </c>
      <c r="J909" t="s">
        <v>28</v>
      </c>
      <c r="K909" s="3">
        <f t="shared" si="28"/>
        <v>80000</v>
      </c>
      <c r="L909" t="str">
        <f t="shared" si="29"/>
        <v>2025-07</v>
      </c>
    </row>
    <row r="910" spans="1:12" x14ac:dyDescent="0.25">
      <c r="A910">
        <v>1912</v>
      </c>
      <c r="B910">
        <v>25</v>
      </c>
      <c r="C910" t="str">
        <f>IFERROR(_xlfn.XLOOKUP(B910, Customer!A:A, Customer!B:B), "Unknown Customer")</f>
        <v>Milad Kazemi</v>
      </c>
      <c r="D910" s="1">
        <v>45947</v>
      </c>
      <c r="E910" t="s">
        <v>27</v>
      </c>
      <c r="F910" t="s">
        <v>14</v>
      </c>
      <c r="G910">
        <v>1</v>
      </c>
      <c r="H910" t="s">
        <v>11</v>
      </c>
      <c r="I910" s="2">
        <v>40000</v>
      </c>
      <c r="J910" t="s">
        <v>24</v>
      </c>
      <c r="K910" s="3">
        <f t="shared" si="28"/>
        <v>40000</v>
      </c>
      <c r="L910" t="str">
        <f t="shared" si="29"/>
        <v>2025-10</v>
      </c>
    </row>
    <row r="911" spans="1:12" x14ac:dyDescent="0.25">
      <c r="A911">
        <v>1913</v>
      </c>
      <c r="B911">
        <v>34</v>
      </c>
      <c r="C911" t="str">
        <f>IFERROR(_xlfn.XLOOKUP(B911, Customer!A:A, Customer!B:B), "Unknown Customer")</f>
        <v>Reza Rezaei</v>
      </c>
      <c r="D911" s="1">
        <v>45774</v>
      </c>
      <c r="E911" t="s">
        <v>20</v>
      </c>
      <c r="F911" t="s">
        <v>17</v>
      </c>
      <c r="G911">
        <v>1</v>
      </c>
      <c r="H911" t="s">
        <v>11</v>
      </c>
      <c r="I911" s="2">
        <v>45000</v>
      </c>
      <c r="J911" t="s">
        <v>12</v>
      </c>
      <c r="K911" s="3">
        <f t="shared" si="28"/>
        <v>45000</v>
      </c>
      <c r="L911" t="str">
        <f t="shared" si="29"/>
        <v>2025-04</v>
      </c>
    </row>
    <row r="912" spans="1:12" x14ac:dyDescent="0.25">
      <c r="A912">
        <v>1914</v>
      </c>
      <c r="B912">
        <v>72</v>
      </c>
      <c r="C912" t="str">
        <f>IFERROR(_xlfn.XLOOKUP(B912, Customer!A:A, Customer!B:B), "Unknown Customer")</f>
        <v>Roya Rostami</v>
      </c>
      <c r="D912" s="1">
        <v>45659</v>
      </c>
      <c r="E912" t="s">
        <v>16</v>
      </c>
      <c r="F912" t="s">
        <v>17</v>
      </c>
      <c r="G912">
        <v>4</v>
      </c>
      <c r="H912" t="s">
        <v>11</v>
      </c>
      <c r="I912" s="2">
        <v>75000</v>
      </c>
      <c r="J912" t="s">
        <v>21</v>
      </c>
      <c r="K912" s="3">
        <f t="shared" si="28"/>
        <v>300000</v>
      </c>
      <c r="L912" t="str">
        <f t="shared" si="29"/>
        <v>2025-01</v>
      </c>
    </row>
    <row r="913" spans="1:12" x14ac:dyDescent="0.25">
      <c r="A913">
        <v>1915</v>
      </c>
      <c r="B913">
        <v>16</v>
      </c>
      <c r="C913" t="str">
        <f>IFERROR(_xlfn.XLOOKUP(B913, Customer!A:A, Customer!B:B), "Unknown Customer")</f>
        <v>Milad Yousefi</v>
      </c>
      <c r="D913" s="1">
        <v>45923</v>
      </c>
      <c r="E913" t="s">
        <v>27</v>
      </c>
      <c r="F913" t="s">
        <v>14</v>
      </c>
      <c r="G913">
        <v>1</v>
      </c>
      <c r="H913" t="s">
        <v>11</v>
      </c>
      <c r="I913" s="2">
        <v>40000</v>
      </c>
      <c r="J913" t="s">
        <v>19</v>
      </c>
      <c r="K913" s="3">
        <f t="shared" si="28"/>
        <v>40000</v>
      </c>
      <c r="L913" t="str">
        <f t="shared" si="29"/>
        <v>2025-09</v>
      </c>
    </row>
    <row r="914" spans="1:12" x14ac:dyDescent="0.25">
      <c r="A914">
        <v>1916</v>
      </c>
      <c r="B914">
        <v>36</v>
      </c>
      <c r="C914" t="str">
        <f>IFERROR(_xlfn.XLOOKUP(B914, Customer!A:A, Customer!B:B), "Unknown Customer")</f>
        <v>Payam Rezaei</v>
      </c>
      <c r="D914" s="1">
        <v>45930</v>
      </c>
      <c r="E914" t="s">
        <v>31</v>
      </c>
      <c r="F914" t="s">
        <v>17</v>
      </c>
      <c r="G914">
        <v>1</v>
      </c>
      <c r="H914" t="s">
        <v>11</v>
      </c>
      <c r="I914" s="2">
        <v>40000</v>
      </c>
      <c r="J914" t="s">
        <v>19</v>
      </c>
      <c r="K914" s="3">
        <f t="shared" si="28"/>
        <v>40000</v>
      </c>
      <c r="L914" t="str">
        <f t="shared" si="29"/>
        <v>2025-09</v>
      </c>
    </row>
    <row r="915" spans="1:12" x14ac:dyDescent="0.25">
      <c r="A915">
        <v>1917</v>
      </c>
      <c r="B915">
        <v>113</v>
      </c>
      <c r="C915" t="str">
        <f>IFERROR(_xlfn.XLOOKUP(B915, Customer!A:A, Customer!B:B), "Unknown Customer")</f>
        <v>Arman Jafari</v>
      </c>
      <c r="D915" s="1">
        <v>45670</v>
      </c>
      <c r="E915" t="s">
        <v>20</v>
      </c>
      <c r="F915" t="s">
        <v>17</v>
      </c>
      <c r="G915">
        <v>3</v>
      </c>
      <c r="H915" t="s">
        <v>11</v>
      </c>
      <c r="I915" s="2">
        <v>50000</v>
      </c>
      <c r="J915" t="s">
        <v>24</v>
      </c>
      <c r="K915" s="3">
        <f t="shared" si="28"/>
        <v>150000</v>
      </c>
      <c r="L915" t="str">
        <f t="shared" si="29"/>
        <v>2025-01</v>
      </c>
    </row>
    <row r="916" spans="1:12" x14ac:dyDescent="0.25">
      <c r="A916">
        <v>1918</v>
      </c>
      <c r="B916">
        <v>22</v>
      </c>
      <c r="C916" t="str">
        <f>IFERROR(_xlfn.XLOOKUP(B916, Customer!A:A, Customer!B:B), "Unknown Customer")</f>
        <v>Amir Yousefi</v>
      </c>
      <c r="D916" s="1">
        <v>45817</v>
      </c>
      <c r="E916" t="s">
        <v>25</v>
      </c>
      <c r="F916" t="s">
        <v>10</v>
      </c>
      <c r="G916">
        <v>1</v>
      </c>
      <c r="H916" t="s">
        <v>11</v>
      </c>
      <c r="I916" s="2">
        <v>65000</v>
      </c>
      <c r="J916" t="s">
        <v>28</v>
      </c>
      <c r="K916" s="3">
        <f t="shared" si="28"/>
        <v>65000</v>
      </c>
      <c r="L916" t="str">
        <f t="shared" si="29"/>
        <v>2025-06</v>
      </c>
    </row>
    <row r="917" spans="1:12" x14ac:dyDescent="0.25">
      <c r="A917">
        <v>1919</v>
      </c>
      <c r="B917">
        <v>103</v>
      </c>
      <c r="C917" t="str">
        <f>IFERROR(_xlfn.XLOOKUP(B917, Customer!A:A, Customer!B:B), "Unknown Customer")</f>
        <v>Babak Rezaei</v>
      </c>
      <c r="D917" s="1">
        <v>45829</v>
      </c>
      <c r="E917" t="s">
        <v>27</v>
      </c>
      <c r="F917" t="s">
        <v>14</v>
      </c>
      <c r="G917">
        <v>1</v>
      </c>
      <c r="H917" t="s">
        <v>11</v>
      </c>
      <c r="I917" s="2">
        <v>35000</v>
      </c>
      <c r="J917" t="s">
        <v>19</v>
      </c>
      <c r="K917" s="3">
        <f t="shared" si="28"/>
        <v>35000</v>
      </c>
      <c r="L917" t="str">
        <f t="shared" si="29"/>
        <v>2025-06</v>
      </c>
    </row>
    <row r="918" spans="1:12" x14ac:dyDescent="0.25">
      <c r="A918">
        <v>1920</v>
      </c>
      <c r="B918">
        <v>106</v>
      </c>
      <c r="C918" t="str">
        <f>IFERROR(_xlfn.XLOOKUP(B918, Customer!A:A, Customer!B:B), "Unknown Customer")</f>
        <v>Iman Zare</v>
      </c>
      <c r="D918" s="1">
        <v>45924</v>
      </c>
      <c r="E918" t="s">
        <v>25</v>
      </c>
      <c r="F918" t="s">
        <v>10</v>
      </c>
      <c r="G918">
        <v>4</v>
      </c>
      <c r="H918" t="s">
        <v>11</v>
      </c>
      <c r="I918" s="2">
        <v>70000</v>
      </c>
      <c r="J918" t="s">
        <v>19</v>
      </c>
      <c r="K918" s="3">
        <f t="shared" si="28"/>
        <v>280000</v>
      </c>
      <c r="L918" t="str">
        <f t="shared" si="29"/>
        <v>2025-09</v>
      </c>
    </row>
    <row r="919" spans="1:12" x14ac:dyDescent="0.25">
      <c r="A919">
        <v>1921</v>
      </c>
      <c r="B919">
        <v>81</v>
      </c>
      <c r="C919" t="str">
        <f>IFERROR(_xlfn.XLOOKUP(B919, Customer!A:A, Customer!B:B), "Unknown Customer")</f>
        <v>Nazanin Fallahi</v>
      </c>
      <c r="D919" s="1">
        <v>45954</v>
      </c>
      <c r="E919" t="s">
        <v>16</v>
      </c>
      <c r="F919" t="s">
        <v>17</v>
      </c>
      <c r="G919">
        <v>1</v>
      </c>
      <c r="H919" t="s">
        <v>11</v>
      </c>
      <c r="I919" s="2">
        <v>70000</v>
      </c>
      <c r="J919" t="s">
        <v>12</v>
      </c>
      <c r="K919" s="3">
        <f t="shared" si="28"/>
        <v>70000</v>
      </c>
      <c r="L919" t="str">
        <f t="shared" si="29"/>
        <v>2025-10</v>
      </c>
    </row>
    <row r="920" spans="1:12" x14ac:dyDescent="0.25">
      <c r="A920">
        <v>1922</v>
      </c>
      <c r="B920">
        <v>9</v>
      </c>
      <c r="C920" t="str">
        <f>IFERROR(_xlfn.XLOOKUP(B920, Customer!A:A, Customer!B:B), "Unknown Customer")</f>
        <v>Farhad Zare</v>
      </c>
      <c r="D920" s="1">
        <v>45689</v>
      </c>
      <c r="E920" t="s">
        <v>13</v>
      </c>
      <c r="F920" t="s">
        <v>14</v>
      </c>
      <c r="G920">
        <v>1</v>
      </c>
      <c r="H920" t="s">
        <v>11</v>
      </c>
      <c r="I920" s="2">
        <v>63000</v>
      </c>
      <c r="J920" t="s">
        <v>19</v>
      </c>
      <c r="K920" s="3">
        <f t="shared" si="28"/>
        <v>63000</v>
      </c>
      <c r="L920" t="str">
        <f t="shared" si="29"/>
        <v>2025-02</v>
      </c>
    </row>
    <row r="921" spans="1:12" x14ac:dyDescent="0.25">
      <c r="A921">
        <v>1923</v>
      </c>
      <c r="B921">
        <v>14</v>
      </c>
      <c r="C921" t="str">
        <f>IFERROR(_xlfn.XLOOKUP(B921, Customer!A:A, Customer!B:B), "Unknown Customer")</f>
        <v>Ali Ghasemi</v>
      </c>
      <c r="D921" s="1">
        <v>45686</v>
      </c>
      <c r="E921" t="s">
        <v>27</v>
      </c>
      <c r="F921" t="s">
        <v>14</v>
      </c>
      <c r="G921">
        <v>1</v>
      </c>
      <c r="H921" t="s">
        <v>11</v>
      </c>
      <c r="I921" s="2">
        <v>35000</v>
      </c>
      <c r="J921" t="s">
        <v>28</v>
      </c>
      <c r="K921" s="3">
        <f t="shared" si="28"/>
        <v>35000</v>
      </c>
      <c r="L921" t="str">
        <f t="shared" si="29"/>
        <v>2025-01</v>
      </c>
    </row>
    <row r="922" spans="1:12" x14ac:dyDescent="0.25">
      <c r="A922">
        <v>1924</v>
      </c>
      <c r="B922">
        <v>97</v>
      </c>
      <c r="C922" t="str">
        <f>IFERROR(_xlfn.XLOOKUP(B922, Customer!A:A, Customer!B:B), "Unknown Customer")</f>
        <v>Setareh Sadeghi</v>
      </c>
      <c r="D922" s="1">
        <v>45777</v>
      </c>
      <c r="E922" t="s">
        <v>31</v>
      </c>
      <c r="F922" t="s">
        <v>17</v>
      </c>
      <c r="G922">
        <v>2</v>
      </c>
      <c r="H922" t="s">
        <v>11</v>
      </c>
      <c r="I922" s="2">
        <v>40000</v>
      </c>
      <c r="J922" t="s">
        <v>28</v>
      </c>
      <c r="K922" s="3">
        <f t="shared" si="28"/>
        <v>80000</v>
      </c>
      <c r="L922" t="str">
        <f t="shared" si="29"/>
        <v>2025-04</v>
      </c>
    </row>
    <row r="923" spans="1:12" x14ac:dyDescent="0.25">
      <c r="A923">
        <v>1925</v>
      </c>
      <c r="B923">
        <v>80</v>
      </c>
      <c r="C923" t="str">
        <f>IFERROR(_xlfn.XLOOKUP(B923, Customer!A:A, Customer!B:B), "Unknown Customer")</f>
        <v>Mona Yousefi</v>
      </c>
      <c r="D923" s="1">
        <v>45831</v>
      </c>
      <c r="E923" t="s">
        <v>18</v>
      </c>
      <c r="F923" t="s">
        <v>14</v>
      </c>
      <c r="G923">
        <v>2</v>
      </c>
      <c r="H923" t="s">
        <v>11</v>
      </c>
      <c r="I923" s="2">
        <v>55320</v>
      </c>
      <c r="J923" t="s">
        <v>19</v>
      </c>
      <c r="K923" s="3">
        <f t="shared" si="28"/>
        <v>110640</v>
      </c>
      <c r="L923" t="str">
        <f t="shared" si="29"/>
        <v>2025-06</v>
      </c>
    </row>
    <row r="924" spans="1:12" x14ac:dyDescent="0.25">
      <c r="A924">
        <v>1926</v>
      </c>
      <c r="B924">
        <v>14</v>
      </c>
      <c r="C924" t="str">
        <f>IFERROR(_xlfn.XLOOKUP(B924, Customer!A:A, Customer!B:B), "Unknown Customer")</f>
        <v>Ali Ghasemi</v>
      </c>
      <c r="D924" s="1">
        <v>45962</v>
      </c>
      <c r="E924" t="s">
        <v>29</v>
      </c>
      <c r="F924" t="s">
        <v>14</v>
      </c>
      <c r="G924">
        <v>2</v>
      </c>
      <c r="H924" t="s">
        <v>11</v>
      </c>
      <c r="I924" s="2">
        <v>45000</v>
      </c>
      <c r="J924" t="s">
        <v>12</v>
      </c>
      <c r="K924" s="3">
        <f t="shared" si="28"/>
        <v>90000</v>
      </c>
      <c r="L924" t="str">
        <f t="shared" si="29"/>
        <v>2025-11</v>
      </c>
    </row>
    <row r="925" spans="1:12" x14ac:dyDescent="0.25">
      <c r="A925">
        <v>1927</v>
      </c>
      <c r="B925">
        <v>66</v>
      </c>
      <c r="C925" t="str">
        <f>IFERROR(_xlfn.XLOOKUP(B925, Customer!A:A, Customer!B:B), "Unknown Customer")</f>
        <v>Farhad Abbasi</v>
      </c>
      <c r="D925" s="1">
        <v>45664</v>
      </c>
      <c r="E925" t="s">
        <v>9</v>
      </c>
      <c r="F925" t="s">
        <v>10</v>
      </c>
      <c r="G925">
        <v>3</v>
      </c>
      <c r="H925" t="s">
        <v>11</v>
      </c>
      <c r="I925" s="2">
        <v>67000</v>
      </c>
      <c r="J925" t="s">
        <v>24</v>
      </c>
      <c r="K925" s="3">
        <f t="shared" si="28"/>
        <v>201000</v>
      </c>
      <c r="L925" t="str">
        <f t="shared" si="29"/>
        <v>2025-01</v>
      </c>
    </row>
    <row r="926" spans="1:12" x14ac:dyDescent="0.25">
      <c r="A926">
        <v>1928</v>
      </c>
      <c r="B926">
        <v>18</v>
      </c>
      <c r="C926" t="str">
        <f>IFERROR(_xlfn.XLOOKUP(B926, Customer!A:A, Customer!B:B), "Unknown Customer")</f>
        <v>Niloofar Abbasi</v>
      </c>
      <c r="D926" s="1">
        <v>45688</v>
      </c>
      <c r="E926" t="s">
        <v>29</v>
      </c>
      <c r="F926" t="s">
        <v>14</v>
      </c>
      <c r="G926">
        <v>2</v>
      </c>
      <c r="H926" t="s">
        <v>11</v>
      </c>
      <c r="I926" s="2">
        <v>45000</v>
      </c>
      <c r="J926" t="s">
        <v>21</v>
      </c>
      <c r="K926" s="3">
        <f t="shared" si="28"/>
        <v>90000</v>
      </c>
      <c r="L926" t="str">
        <f t="shared" si="29"/>
        <v>2025-01</v>
      </c>
    </row>
    <row r="927" spans="1:12" x14ac:dyDescent="0.25">
      <c r="A927">
        <v>1929</v>
      </c>
      <c r="B927">
        <v>75</v>
      </c>
      <c r="C927" t="str">
        <f>IFERROR(_xlfn.XLOOKUP(B927, Customer!A:A, Customer!B:B), "Unknown Customer")</f>
        <v>Kian Ebrahimi</v>
      </c>
      <c r="D927" s="1">
        <v>45732</v>
      </c>
      <c r="E927" t="s">
        <v>23</v>
      </c>
      <c r="F927" t="s">
        <v>17</v>
      </c>
      <c r="G927">
        <v>1</v>
      </c>
      <c r="H927" t="s">
        <v>11</v>
      </c>
      <c r="I927" s="2">
        <v>90000</v>
      </c>
      <c r="J927" t="s">
        <v>21</v>
      </c>
      <c r="K927" s="3">
        <f t="shared" si="28"/>
        <v>90000</v>
      </c>
      <c r="L927" t="str">
        <f t="shared" si="29"/>
        <v>2025-03</v>
      </c>
    </row>
    <row r="928" spans="1:12" x14ac:dyDescent="0.25">
      <c r="A928">
        <v>1930</v>
      </c>
      <c r="B928">
        <v>78</v>
      </c>
      <c r="C928" t="str">
        <f>IFERROR(_xlfn.XLOOKUP(B928, Customer!A:A, Customer!B:B), "Unknown Customer")</f>
        <v>Elham Karimi</v>
      </c>
      <c r="D928" s="1">
        <v>45923</v>
      </c>
      <c r="E928" t="s">
        <v>29</v>
      </c>
      <c r="F928" t="s">
        <v>14</v>
      </c>
      <c r="G928">
        <v>1</v>
      </c>
      <c r="H928" t="s">
        <v>11</v>
      </c>
      <c r="I928" s="2">
        <v>45000</v>
      </c>
      <c r="J928" t="s">
        <v>15</v>
      </c>
      <c r="K928" s="3">
        <f t="shared" si="28"/>
        <v>45000</v>
      </c>
      <c r="L928" t="str">
        <f t="shared" si="29"/>
        <v>2025-09</v>
      </c>
    </row>
    <row r="929" spans="1:12" x14ac:dyDescent="0.25">
      <c r="A929">
        <v>1931</v>
      </c>
      <c r="B929">
        <v>45</v>
      </c>
      <c r="C929" t="str">
        <f>IFERROR(_xlfn.XLOOKUP(B929, Customer!A:A, Customer!B:B), "Unknown Customer")</f>
        <v>Mona Vakili</v>
      </c>
      <c r="D929" s="1">
        <v>45760</v>
      </c>
      <c r="E929" t="s">
        <v>30</v>
      </c>
      <c r="F929" t="s">
        <v>14</v>
      </c>
      <c r="G929">
        <v>4</v>
      </c>
      <c r="H929" t="s">
        <v>11</v>
      </c>
      <c r="I929" s="2">
        <v>43000</v>
      </c>
      <c r="J929" t="s">
        <v>12</v>
      </c>
      <c r="K929" s="3">
        <f t="shared" si="28"/>
        <v>172000</v>
      </c>
      <c r="L929" t="str">
        <f t="shared" si="29"/>
        <v>2025-04</v>
      </c>
    </row>
    <row r="930" spans="1:12" x14ac:dyDescent="0.25">
      <c r="A930">
        <v>1932</v>
      </c>
      <c r="B930">
        <v>61</v>
      </c>
      <c r="C930" t="str">
        <f>IFERROR(_xlfn.XLOOKUP(B930, Customer!A:A, Customer!B:B), "Unknown Customer")</f>
        <v>Arman Moradi</v>
      </c>
      <c r="D930" s="1">
        <v>46012</v>
      </c>
      <c r="E930" t="s">
        <v>22</v>
      </c>
      <c r="F930" t="s">
        <v>14</v>
      </c>
      <c r="G930">
        <v>4</v>
      </c>
      <c r="H930" t="s">
        <v>11</v>
      </c>
      <c r="I930" s="2">
        <v>65000</v>
      </c>
      <c r="J930" t="s">
        <v>28</v>
      </c>
      <c r="K930" s="3">
        <f t="shared" si="28"/>
        <v>260000</v>
      </c>
      <c r="L930" t="str">
        <f t="shared" si="29"/>
        <v>2025-12</v>
      </c>
    </row>
    <row r="931" spans="1:12" x14ac:dyDescent="0.25">
      <c r="A931">
        <v>1933</v>
      </c>
      <c r="B931">
        <v>39</v>
      </c>
      <c r="C931" t="str">
        <f>IFERROR(_xlfn.XLOOKUP(B931, Customer!A:A, Customer!B:B), "Unknown Customer")</f>
        <v>Mona Ghasemi</v>
      </c>
      <c r="D931" s="1">
        <v>45826</v>
      </c>
      <c r="E931" t="s">
        <v>31</v>
      </c>
      <c r="F931" t="s">
        <v>17</v>
      </c>
      <c r="G931">
        <v>2</v>
      </c>
      <c r="H931" t="s">
        <v>11</v>
      </c>
      <c r="I931" s="2">
        <v>35000</v>
      </c>
      <c r="J931" t="s">
        <v>19</v>
      </c>
      <c r="K931" s="3">
        <f t="shared" si="28"/>
        <v>70000</v>
      </c>
      <c r="L931" t="str">
        <f t="shared" si="29"/>
        <v>2025-06</v>
      </c>
    </row>
    <row r="932" spans="1:12" x14ac:dyDescent="0.25">
      <c r="A932">
        <v>1934</v>
      </c>
      <c r="B932">
        <v>82</v>
      </c>
      <c r="C932" t="str">
        <f>IFERROR(_xlfn.XLOOKUP(B932, Customer!A:A, Customer!B:B), "Unknown Customer")</f>
        <v>Azadeh Rezaei</v>
      </c>
      <c r="D932" s="1">
        <v>46012</v>
      </c>
      <c r="E932" t="s">
        <v>30</v>
      </c>
      <c r="F932" t="s">
        <v>14</v>
      </c>
      <c r="G932">
        <v>2</v>
      </c>
      <c r="H932" t="s">
        <v>11</v>
      </c>
      <c r="I932" s="2">
        <v>48000</v>
      </c>
      <c r="J932" t="s">
        <v>12</v>
      </c>
      <c r="K932" s="3">
        <f t="shared" si="28"/>
        <v>96000</v>
      </c>
      <c r="L932" t="str">
        <f t="shared" si="29"/>
        <v>2025-12</v>
      </c>
    </row>
    <row r="933" spans="1:12" x14ac:dyDescent="0.25">
      <c r="A933">
        <v>1935</v>
      </c>
      <c r="B933">
        <v>99</v>
      </c>
      <c r="C933" t="str">
        <f>IFERROR(_xlfn.XLOOKUP(B933, Customer!A:A, Customer!B:B), "Unknown Customer")</f>
        <v>Behnam Ahmadi</v>
      </c>
      <c r="D933" s="1">
        <v>45998</v>
      </c>
      <c r="E933" t="s">
        <v>25</v>
      </c>
      <c r="F933" t="s">
        <v>10</v>
      </c>
      <c r="G933">
        <v>1</v>
      </c>
      <c r="H933" t="s">
        <v>11</v>
      </c>
      <c r="I933" s="2">
        <v>60000</v>
      </c>
      <c r="J933" t="s">
        <v>19</v>
      </c>
      <c r="K933" s="3">
        <f t="shared" si="28"/>
        <v>60000</v>
      </c>
      <c r="L933" t="str">
        <f t="shared" si="29"/>
        <v>2025-12</v>
      </c>
    </row>
    <row r="934" spans="1:12" x14ac:dyDescent="0.25">
      <c r="A934">
        <v>1936</v>
      </c>
      <c r="B934">
        <v>46</v>
      </c>
      <c r="C934" t="str">
        <f>IFERROR(_xlfn.XLOOKUP(B934, Customer!A:A, Customer!B:B), "Unknown Customer")</f>
        <v>Mahsa Ghasemi</v>
      </c>
      <c r="D934" s="1">
        <v>45942</v>
      </c>
      <c r="E934" t="s">
        <v>29</v>
      </c>
      <c r="F934" t="s">
        <v>14</v>
      </c>
      <c r="G934">
        <v>1</v>
      </c>
      <c r="H934" t="s">
        <v>11</v>
      </c>
      <c r="I934" s="2">
        <v>45000</v>
      </c>
      <c r="J934" t="s">
        <v>19</v>
      </c>
      <c r="K934" s="3">
        <f t="shared" si="28"/>
        <v>45000</v>
      </c>
      <c r="L934" t="str">
        <f t="shared" si="29"/>
        <v>2025-10</v>
      </c>
    </row>
    <row r="935" spans="1:12" x14ac:dyDescent="0.25">
      <c r="A935">
        <v>1937</v>
      </c>
      <c r="B935">
        <v>78</v>
      </c>
      <c r="C935" t="str">
        <f>IFERROR(_xlfn.XLOOKUP(B935, Customer!A:A, Customer!B:B), "Unknown Customer")</f>
        <v>Elham Karimi</v>
      </c>
      <c r="D935" s="1">
        <v>45995</v>
      </c>
      <c r="E935" t="s">
        <v>29</v>
      </c>
      <c r="F935" t="s">
        <v>14</v>
      </c>
      <c r="G935">
        <v>1</v>
      </c>
      <c r="H935" t="s">
        <v>11</v>
      </c>
      <c r="I935" s="2">
        <v>45000</v>
      </c>
      <c r="J935" t="s">
        <v>21</v>
      </c>
      <c r="K935" s="3">
        <f t="shared" si="28"/>
        <v>45000</v>
      </c>
      <c r="L935" t="str">
        <f t="shared" si="29"/>
        <v>2025-12</v>
      </c>
    </row>
    <row r="936" spans="1:12" x14ac:dyDescent="0.25">
      <c r="A936">
        <v>1938</v>
      </c>
      <c r="B936">
        <v>109</v>
      </c>
      <c r="C936" t="str">
        <f>IFERROR(_xlfn.XLOOKUP(B936, Customer!A:A, Customer!B:B), "Unknown Customer")</f>
        <v>Roya Jafari</v>
      </c>
      <c r="D936" s="1">
        <v>45783</v>
      </c>
      <c r="E936" t="s">
        <v>23</v>
      </c>
      <c r="F936" t="s">
        <v>17</v>
      </c>
      <c r="G936">
        <v>1</v>
      </c>
      <c r="H936" t="s">
        <v>11</v>
      </c>
      <c r="I936" s="2">
        <v>84857.142857142855</v>
      </c>
      <c r="J936" t="s">
        <v>19</v>
      </c>
      <c r="K936" s="3">
        <f t="shared" si="28"/>
        <v>84857.142857142855</v>
      </c>
      <c r="L936" t="str">
        <f t="shared" si="29"/>
        <v>2025-05</v>
      </c>
    </row>
    <row r="937" spans="1:12" x14ac:dyDescent="0.25">
      <c r="A937">
        <v>1939</v>
      </c>
      <c r="B937">
        <v>107</v>
      </c>
      <c r="C937" t="str">
        <f>IFERROR(_xlfn.XLOOKUP(B937, Customer!A:A, Customer!B:B), "Unknown Customer")</f>
        <v>Mona Abbasi</v>
      </c>
      <c r="D937" s="1">
        <v>45728</v>
      </c>
      <c r="E937" t="s">
        <v>27</v>
      </c>
      <c r="F937" t="s">
        <v>14</v>
      </c>
      <c r="G937">
        <v>1</v>
      </c>
      <c r="H937" t="s">
        <v>11</v>
      </c>
      <c r="I937" s="2">
        <v>35000</v>
      </c>
      <c r="J937" t="s">
        <v>24</v>
      </c>
      <c r="K937" s="3">
        <f t="shared" si="28"/>
        <v>35000</v>
      </c>
      <c r="L937" t="str">
        <f t="shared" si="29"/>
        <v>2025-03</v>
      </c>
    </row>
    <row r="938" spans="1:12" x14ac:dyDescent="0.25">
      <c r="A938">
        <v>1940</v>
      </c>
      <c r="B938">
        <v>48</v>
      </c>
      <c r="C938" t="str">
        <f>IFERROR(_xlfn.XLOOKUP(B938, Customer!A:A, Customer!B:B), "Unknown Customer")</f>
        <v>Hamed Jafari</v>
      </c>
      <c r="D938" s="1">
        <v>45789</v>
      </c>
      <c r="E938" t="s">
        <v>25</v>
      </c>
      <c r="F938" t="s">
        <v>10</v>
      </c>
      <c r="G938">
        <v>3</v>
      </c>
      <c r="H938" t="s">
        <v>11</v>
      </c>
      <c r="I938" s="2">
        <v>60000</v>
      </c>
      <c r="J938" t="s">
        <v>24</v>
      </c>
      <c r="K938" s="3">
        <f t="shared" si="28"/>
        <v>180000</v>
      </c>
      <c r="L938" t="str">
        <f t="shared" si="29"/>
        <v>2025-05</v>
      </c>
    </row>
    <row r="939" spans="1:12" x14ac:dyDescent="0.25">
      <c r="A939">
        <v>1941</v>
      </c>
      <c r="B939">
        <v>102</v>
      </c>
      <c r="C939" t="str">
        <f>IFERROR(_xlfn.XLOOKUP(B939, Customer!A:A, Customer!B:B), "Unknown Customer")</f>
        <v>Yasaman Yousefi</v>
      </c>
      <c r="D939" s="1">
        <v>45904</v>
      </c>
      <c r="E939" t="s">
        <v>30</v>
      </c>
      <c r="F939" t="s">
        <v>14</v>
      </c>
      <c r="G939">
        <v>3</v>
      </c>
      <c r="H939" t="s">
        <v>11</v>
      </c>
      <c r="I939" s="2">
        <v>48000</v>
      </c>
      <c r="J939" t="s">
        <v>12</v>
      </c>
      <c r="K939" s="3">
        <f t="shared" si="28"/>
        <v>144000</v>
      </c>
      <c r="L939" t="str">
        <f t="shared" si="29"/>
        <v>2025-09</v>
      </c>
    </row>
    <row r="940" spans="1:12" x14ac:dyDescent="0.25">
      <c r="A940">
        <v>1942</v>
      </c>
      <c r="B940">
        <v>32</v>
      </c>
      <c r="C940" t="str">
        <f>IFERROR(_xlfn.XLOOKUP(B940, Customer!A:A, Customer!B:B), "Unknown Customer")</f>
        <v>Elham Karimi</v>
      </c>
      <c r="D940" s="1">
        <v>45973</v>
      </c>
      <c r="E940" t="s">
        <v>29</v>
      </c>
      <c r="F940" t="s">
        <v>14</v>
      </c>
      <c r="G940">
        <v>4</v>
      </c>
      <c r="H940" t="s">
        <v>11</v>
      </c>
      <c r="I940" s="2">
        <v>50000</v>
      </c>
      <c r="J940" t="s">
        <v>21</v>
      </c>
      <c r="K940" s="3">
        <f t="shared" si="28"/>
        <v>200000</v>
      </c>
      <c r="L940" t="str">
        <f t="shared" si="29"/>
        <v>2025-11</v>
      </c>
    </row>
    <row r="941" spans="1:12" x14ac:dyDescent="0.25">
      <c r="A941">
        <v>1943</v>
      </c>
      <c r="B941">
        <v>32</v>
      </c>
      <c r="C941" t="str">
        <f>IFERROR(_xlfn.XLOOKUP(B941, Customer!A:A, Customer!B:B), "Unknown Customer")</f>
        <v>Elham Karimi</v>
      </c>
      <c r="D941" s="1">
        <v>45980</v>
      </c>
      <c r="E941" t="s">
        <v>29</v>
      </c>
      <c r="F941" t="s">
        <v>14</v>
      </c>
      <c r="G941">
        <v>4</v>
      </c>
      <c r="H941" t="s">
        <v>11</v>
      </c>
      <c r="I941" s="2">
        <v>50000</v>
      </c>
      <c r="J941" t="s">
        <v>24</v>
      </c>
      <c r="K941" s="3">
        <f t="shared" si="28"/>
        <v>200000</v>
      </c>
      <c r="L941" t="str">
        <f t="shared" si="29"/>
        <v>2025-11</v>
      </c>
    </row>
    <row r="942" spans="1:12" x14ac:dyDescent="0.25">
      <c r="A942">
        <v>1944</v>
      </c>
      <c r="B942">
        <v>94</v>
      </c>
      <c r="C942" t="str">
        <f>IFERROR(_xlfn.XLOOKUP(B942, Customer!A:A, Customer!B:B), "Unknown Customer")</f>
        <v>Hamed Fallahi</v>
      </c>
      <c r="D942" s="1">
        <v>45898</v>
      </c>
      <c r="E942" t="s">
        <v>18</v>
      </c>
      <c r="F942" t="s">
        <v>14</v>
      </c>
      <c r="G942">
        <v>1</v>
      </c>
      <c r="H942" t="s">
        <v>11</v>
      </c>
      <c r="I942" s="2">
        <v>60000</v>
      </c>
      <c r="J942" t="s">
        <v>15</v>
      </c>
      <c r="K942" s="3">
        <f t="shared" si="28"/>
        <v>60000</v>
      </c>
      <c r="L942" t="str">
        <f t="shared" si="29"/>
        <v>2025-08</v>
      </c>
    </row>
    <row r="943" spans="1:12" x14ac:dyDescent="0.25">
      <c r="A943">
        <v>1945</v>
      </c>
      <c r="B943">
        <v>67</v>
      </c>
      <c r="C943" t="str">
        <f>IFERROR(_xlfn.XLOOKUP(B943, Customer!A:A, Customer!B:B), "Unknown Customer")</f>
        <v>Reza Jafari</v>
      </c>
      <c r="D943" s="1">
        <v>45692</v>
      </c>
      <c r="E943" t="s">
        <v>16</v>
      </c>
      <c r="F943" t="s">
        <v>17</v>
      </c>
      <c r="G943">
        <v>2</v>
      </c>
      <c r="H943" t="s">
        <v>11</v>
      </c>
      <c r="I943" s="2">
        <v>75000</v>
      </c>
      <c r="J943" t="s">
        <v>15</v>
      </c>
      <c r="K943" s="3">
        <f t="shared" si="28"/>
        <v>150000</v>
      </c>
      <c r="L943" t="str">
        <f t="shared" si="29"/>
        <v>2025-02</v>
      </c>
    </row>
    <row r="944" spans="1:12" x14ac:dyDescent="0.25">
      <c r="A944">
        <v>1946</v>
      </c>
      <c r="B944">
        <v>35</v>
      </c>
      <c r="C944" t="str">
        <f>IFERROR(_xlfn.XLOOKUP(B944, Customer!A:A, Customer!B:B), "Unknown Customer")</f>
        <v>Babak Hosseini</v>
      </c>
      <c r="D944" s="1">
        <v>45863</v>
      </c>
      <c r="E944" t="s">
        <v>20</v>
      </c>
      <c r="F944" t="s">
        <v>17</v>
      </c>
      <c r="G944">
        <v>1</v>
      </c>
      <c r="H944" t="s">
        <v>11</v>
      </c>
      <c r="I944" s="2">
        <v>50000</v>
      </c>
      <c r="J944" t="s">
        <v>24</v>
      </c>
      <c r="K944" s="3">
        <f t="shared" si="28"/>
        <v>50000</v>
      </c>
      <c r="L944" t="str">
        <f t="shared" si="29"/>
        <v>2025-07</v>
      </c>
    </row>
    <row r="945" spans="1:12" x14ac:dyDescent="0.25">
      <c r="A945">
        <v>1947</v>
      </c>
      <c r="B945">
        <v>51</v>
      </c>
      <c r="C945" t="str">
        <f>IFERROR(_xlfn.XLOOKUP(B945, Customer!A:A, Customer!B:B), "Unknown Customer")</f>
        <v>Azadeh Karimi</v>
      </c>
      <c r="D945" s="1">
        <v>45814</v>
      </c>
      <c r="E945" t="s">
        <v>30</v>
      </c>
      <c r="F945" t="s">
        <v>14</v>
      </c>
      <c r="G945">
        <v>2</v>
      </c>
      <c r="H945" t="s">
        <v>11</v>
      </c>
      <c r="I945" s="2">
        <v>48000</v>
      </c>
      <c r="J945" t="s">
        <v>28</v>
      </c>
      <c r="K945" s="3">
        <f t="shared" si="28"/>
        <v>96000</v>
      </c>
      <c r="L945" t="str">
        <f t="shared" si="29"/>
        <v>2025-06</v>
      </c>
    </row>
    <row r="946" spans="1:12" x14ac:dyDescent="0.25">
      <c r="A946">
        <v>1948</v>
      </c>
      <c r="B946">
        <v>11</v>
      </c>
      <c r="C946" t="str">
        <f>IFERROR(_xlfn.XLOOKUP(B946, Customer!A:A, Customer!B:B), "Unknown Customer")</f>
        <v>Leila Kazemi</v>
      </c>
      <c r="D946" s="1">
        <v>45701</v>
      </c>
      <c r="E946" t="s">
        <v>13</v>
      </c>
      <c r="F946" t="s">
        <v>14</v>
      </c>
      <c r="G946">
        <v>2</v>
      </c>
      <c r="H946" t="s">
        <v>11</v>
      </c>
      <c r="I946" s="2">
        <v>58000</v>
      </c>
      <c r="J946" t="s">
        <v>15</v>
      </c>
      <c r="K946" s="3">
        <f t="shared" si="28"/>
        <v>116000</v>
      </c>
      <c r="L946" t="str">
        <f t="shared" si="29"/>
        <v>2025-02</v>
      </c>
    </row>
    <row r="947" spans="1:12" x14ac:dyDescent="0.25">
      <c r="A947">
        <v>1949</v>
      </c>
      <c r="B947">
        <v>66</v>
      </c>
      <c r="C947" t="str">
        <f>IFERROR(_xlfn.XLOOKUP(B947, Customer!A:A, Customer!B:B), "Unknown Customer")</f>
        <v>Farhad Abbasi</v>
      </c>
      <c r="D947" s="1">
        <v>45830</v>
      </c>
      <c r="E947" t="s">
        <v>20</v>
      </c>
      <c r="F947" t="s">
        <v>17</v>
      </c>
      <c r="G947">
        <v>2</v>
      </c>
      <c r="H947" t="s">
        <v>11</v>
      </c>
      <c r="I947" s="2">
        <v>50000</v>
      </c>
      <c r="J947" t="s">
        <v>15</v>
      </c>
      <c r="K947" s="3">
        <f t="shared" si="28"/>
        <v>100000</v>
      </c>
      <c r="L947" t="str">
        <f t="shared" si="29"/>
        <v>2025-06</v>
      </c>
    </row>
    <row r="948" spans="1:12" x14ac:dyDescent="0.25">
      <c r="A948">
        <v>1950</v>
      </c>
      <c r="B948">
        <v>41</v>
      </c>
      <c r="C948" t="str">
        <f>IFERROR(_xlfn.XLOOKUP(B948, Customer!A:A, Customer!B:B), "Unknown Customer")</f>
        <v>Iman Yousefi</v>
      </c>
      <c r="D948" s="1">
        <v>45853</v>
      </c>
      <c r="E948" t="s">
        <v>9</v>
      </c>
      <c r="F948" t="s">
        <v>10</v>
      </c>
      <c r="G948">
        <v>2</v>
      </c>
      <c r="H948" t="s">
        <v>11</v>
      </c>
      <c r="I948" s="2">
        <v>62000</v>
      </c>
      <c r="J948" t="s">
        <v>21</v>
      </c>
      <c r="K948" s="3">
        <f t="shared" si="28"/>
        <v>124000</v>
      </c>
      <c r="L948" t="str">
        <f t="shared" si="29"/>
        <v>2025-07</v>
      </c>
    </row>
    <row r="949" spans="1:12" x14ac:dyDescent="0.25">
      <c r="A949">
        <v>1951</v>
      </c>
      <c r="B949">
        <v>116</v>
      </c>
      <c r="C949" t="str">
        <f>IFERROR(_xlfn.XLOOKUP(B949, Customer!A:A, Customer!B:B), "Unknown Customer")</f>
        <v>Kian Zare</v>
      </c>
      <c r="D949" s="1">
        <v>45808</v>
      </c>
      <c r="E949" t="s">
        <v>18</v>
      </c>
      <c r="F949" t="s">
        <v>14</v>
      </c>
      <c r="G949">
        <v>4</v>
      </c>
      <c r="H949" t="s">
        <v>11</v>
      </c>
      <c r="I949" s="2">
        <v>55000</v>
      </c>
      <c r="J949" t="s">
        <v>19</v>
      </c>
      <c r="K949" s="3">
        <f t="shared" si="28"/>
        <v>220000</v>
      </c>
      <c r="L949" t="str">
        <f t="shared" si="29"/>
        <v>2025-05</v>
      </c>
    </row>
    <row r="950" spans="1:12" x14ac:dyDescent="0.25">
      <c r="A950">
        <v>1952</v>
      </c>
      <c r="B950">
        <v>10</v>
      </c>
      <c r="C950" t="str">
        <f>IFERROR(_xlfn.XLOOKUP(B950, Customer!A:A, Customer!B:B), "Unknown Customer")</f>
        <v>Sepideh Rostami</v>
      </c>
      <c r="D950" s="1">
        <v>45677</v>
      </c>
      <c r="E950" t="s">
        <v>25</v>
      </c>
      <c r="F950" t="s">
        <v>10</v>
      </c>
      <c r="G950">
        <v>1</v>
      </c>
      <c r="H950" t="s">
        <v>11</v>
      </c>
      <c r="I950" s="2">
        <v>65000</v>
      </c>
      <c r="J950" t="s">
        <v>32</v>
      </c>
      <c r="K950" s="3">
        <f t="shared" si="28"/>
        <v>65000</v>
      </c>
      <c r="L950" t="str">
        <f t="shared" si="29"/>
        <v>2025-01</v>
      </c>
    </row>
    <row r="951" spans="1:12" x14ac:dyDescent="0.25">
      <c r="A951">
        <v>1953</v>
      </c>
      <c r="B951">
        <v>39</v>
      </c>
      <c r="C951" t="str">
        <f>IFERROR(_xlfn.XLOOKUP(B951, Customer!A:A, Customer!B:B), "Unknown Customer")</f>
        <v>Mona Ghasemi</v>
      </c>
      <c r="D951" s="1">
        <v>46007</v>
      </c>
      <c r="E951" t="s">
        <v>22</v>
      </c>
      <c r="F951" t="s">
        <v>14</v>
      </c>
      <c r="G951">
        <v>3</v>
      </c>
      <c r="H951" t="s">
        <v>11</v>
      </c>
      <c r="I951" s="2">
        <v>65000</v>
      </c>
      <c r="J951" t="s">
        <v>19</v>
      </c>
      <c r="K951" s="3">
        <f t="shared" si="28"/>
        <v>195000</v>
      </c>
      <c r="L951" t="str">
        <f t="shared" si="29"/>
        <v>2025-12</v>
      </c>
    </row>
    <row r="952" spans="1:12" x14ac:dyDescent="0.25">
      <c r="A952">
        <v>1954</v>
      </c>
      <c r="B952">
        <v>99</v>
      </c>
      <c r="C952" t="str">
        <f>IFERROR(_xlfn.XLOOKUP(B952, Customer!A:A, Customer!B:B), "Unknown Customer")</f>
        <v>Behnam Ahmadi</v>
      </c>
      <c r="D952" s="1">
        <v>45802</v>
      </c>
      <c r="E952" t="s">
        <v>9</v>
      </c>
      <c r="F952" t="s">
        <v>10</v>
      </c>
      <c r="G952">
        <v>2</v>
      </c>
      <c r="H952" t="s">
        <v>11</v>
      </c>
      <c r="I952" s="2">
        <v>67000</v>
      </c>
      <c r="J952" t="s">
        <v>15</v>
      </c>
      <c r="K952" s="3">
        <f t="shared" si="28"/>
        <v>134000</v>
      </c>
      <c r="L952" t="str">
        <f t="shared" si="29"/>
        <v>2025-05</v>
      </c>
    </row>
    <row r="953" spans="1:12" x14ac:dyDescent="0.25">
      <c r="A953">
        <v>1955</v>
      </c>
      <c r="B953">
        <v>84</v>
      </c>
      <c r="C953" t="str">
        <f>IFERROR(_xlfn.XLOOKUP(B953, Customer!A:A, Customer!B:B), "Unknown Customer")</f>
        <v>Setareh Moradi</v>
      </c>
      <c r="D953" s="1">
        <v>45734</v>
      </c>
      <c r="E953" t="s">
        <v>23</v>
      </c>
      <c r="F953" t="s">
        <v>17</v>
      </c>
      <c r="G953">
        <v>1</v>
      </c>
      <c r="H953" t="s">
        <v>11</v>
      </c>
      <c r="I953" s="2">
        <v>85000</v>
      </c>
      <c r="J953" t="s">
        <v>28</v>
      </c>
      <c r="K953" s="3">
        <f t="shared" si="28"/>
        <v>85000</v>
      </c>
      <c r="L953" t="str">
        <f t="shared" si="29"/>
        <v>2025-03</v>
      </c>
    </row>
    <row r="954" spans="1:12" x14ac:dyDescent="0.25">
      <c r="A954">
        <v>1956</v>
      </c>
      <c r="B954">
        <v>76</v>
      </c>
      <c r="C954" t="str">
        <f>IFERROR(_xlfn.XLOOKUP(B954, Customer!A:A, Customer!B:B), "Unknown Customer")</f>
        <v>Setareh Yousefi</v>
      </c>
      <c r="D954" s="1">
        <v>45897</v>
      </c>
      <c r="E954" t="s">
        <v>23</v>
      </c>
      <c r="F954" t="s">
        <v>17</v>
      </c>
      <c r="G954">
        <v>1</v>
      </c>
      <c r="H954" t="s">
        <v>11</v>
      </c>
      <c r="I954" s="2">
        <v>84857.142857142855</v>
      </c>
      <c r="J954" t="s">
        <v>15</v>
      </c>
      <c r="K954" s="3">
        <f t="shared" si="28"/>
        <v>84857.142857142855</v>
      </c>
      <c r="L954" t="str">
        <f t="shared" si="29"/>
        <v>2025-08</v>
      </c>
    </row>
    <row r="955" spans="1:12" x14ac:dyDescent="0.25">
      <c r="A955">
        <v>1957</v>
      </c>
      <c r="B955">
        <v>99</v>
      </c>
      <c r="C955" t="str">
        <f>IFERROR(_xlfn.XLOOKUP(B955, Customer!A:A, Customer!B:B), "Unknown Customer")</f>
        <v>Behnam Ahmadi</v>
      </c>
      <c r="D955" s="1">
        <v>45696</v>
      </c>
      <c r="E955" t="s">
        <v>22</v>
      </c>
      <c r="F955" t="s">
        <v>14</v>
      </c>
      <c r="G955">
        <v>2</v>
      </c>
      <c r="H955" t="s">
        <v>11</v>
      </c>
      <c r="I955" s="2">
        <v>65000</v>
      </c>
      <c r="J955" t="s">
        <v>24</v>
      </c>
      <c r="K955" s="3">
        <f t="shared" si="28"/>
        <v>130000</v>
      </c>
      <c r="L955" t="str">
        <f t="shared" si="29"/>
        <v>2025-02</v>
      </c>
    </row>
    <row r="956" spans="1:12" x14ac:dyDescent="0.25">
      <c r="A956">
        <v>1958</v>
      </c>
      <c r="B956">
        <v>74</v>
      </c>
      <c r="C956" t="str">
        <f>IFERROR(_xlfn.XLOOKUP(B956, Customer!A:A, Customer!B:B), "Unknown Customer")</f>
        <v>Amir Vakili</v>
      </c>
      <c r="D956" s="1">
        <v>45814</v>
      </c>
      <c r="E956" t="s">
        <v>13</v>
      </c>
      <c r="F956" t="s">
        <v>14</v>
      </c>
      <c r="G956">
        <v>2</v>
      </c>
      <c r="H956" t="s">
        <v>11</v>
      </c>
      <c r="I956" s="2">
        <v>58000</v>
      </c>
      <c r="J956" t="s">
        <v>15</v>
      </c>
      <c r="K956" s="3">
        <f t="shared" si="28"/>
        <v>116000</v>
      </c>
      <c r="L956" t="str">
        <f t="shared" si="29"/>
        <v>2025-06</v>
      </c>
    </row>
    <row r="957" spans="1:12" x14ac:dyDescent="0.25">
      <c r="A957">
        <v>1959</v>
      </c>
      <c r="B957">
        <v>55</v>
      </c>
      <c r="C957" t="str">
        <f>IFERROR(_xlfn.XLOOKUP(B957, Customer!A:A, Customer!B:B), "Unknown Customer")</f>
        <v>Payam Jafari</v>
      </c>
      <c r="D957" s="1">
        <v>45864</v>
      </c>
      <c r="E957" t="s">
        <v>27</v>
      </c>
      <c r="F957" t="s">
        <v>14</v>
      </c>
      <c r="G957">
        <v>1</v>
      </c>
      <c r="H957" t="s">
        <v>11</v>
      </c>
      <c r="I957" s="2">
        <v>40000</v>
      </c>
      <c r="J957" t="s">
        <v>24</v>
      </c>
      <c r="K957" s="3">
        <f t="shared" si="28"/>
        <v>40000</v>
      </c>
      <c r="L957" t="str">
        <f t="shared" si="29"/>
        <v>2025-07</v>
      </c>
    </row>
    <row r="958" spans="1:12" x14ac:dyDescent="0.25">
      <c r="A958">
        <v>1960</v>
      </c>
      <c r="B958">
        <v>20</v>
      </c>
      <c r="C958" t="str">
        <f>IFERROR(_xlfn.XLOOKUP(B958, Customer!A:A, Customer!B:B), "Unknown Customer")</f>
        <v>Setareh Abbasi</v>
      </c>
      <c r="D958" s="1">
        <v>45948</v>
      </c>
      <c r="E958" t="s">
        <v>25</v>
      </c>
      <c r="F958" t="s">
        <v>10</v>
      </c>
      <c r="G958">
        <v>-2</v>
      </c>
      <c r="H958" t="s">
        <v>26</v>
      </c>
      <c r="I958" s="2">
        <v>65000</v>
      </c>
      <c r="J958" t="s">
        <v>28</v>
      </c>
      <c r="K958" s="3">
        <f t="shared" si="28"/>
        <v>-130000</v>
      </c>
      <c r="L958" t="str">
        <f t="shared" si="29"/>
        <v>2025-10</v>
      </c>
    </row>
    <row r="959" spans="1:12" x14ac:dyDescent="0.25">
      <c r="A959">
        <v>1961</v>
      </c>
      <c r="B959">
        <v>50</v>
      </c>
      <c r="C959" t="str">
        <f>IFERROR(_xlfn.XLOOKUP(B959, Customer!A:A, Customer!B:B), "Unknown Customer")</f>
        <v>Mona Naderi</v>
      </c>
      <c r="D959" s="1">
        <v>45666</v>
      </c>
      <c r="E959" t="s">
        <v>30</v>
      </c>
      <c r="F959" t="s">
        <v>14</v>
      </c>
      <c r="G959">
        <v>2</v>
      </c>
      <c r="H959" t="s">
        <v>11</v>
      </c>
      <c r="I959" s="2">
        <v>48000</v>
      </c>
      <c r="J959" t="s">
        <v>32</v>
      </c>
      <c r="K959" s="3">
        <f t="shared" si="28"/>
        <v>96000</v>
      </c>
      <c r="L959" t="str">
        <f t="shared" si="29"/>
        <v>2025-01</v>
      </c>
    </row>
    <row r="960" spans="1:12" x14ac:dyDescent="0.25">
      <c r="A960">
        <v>1962</v>
      </c>
      <c r="B960">
        <v>22</v>
      </c>
      <c r="C960" t="str">
        <f>IFERROR(_xlfn.XLOOKUP(B960, Customer!A:A, Customer!B:B), "Unknown Customer")</f>
        <v>Amir Yousefi</v>
      </c>
      <c r="D960" s="1">
        <v>46003</v>
      </c>
      <c r="E960" t="s">
        <v>18</v>
      </c>
      <c r="F960" t="s">
        <v>14</v>
      </c>
      <c r="G960">
        <v>1</v>
      </c>
      <c r="H960" t="s">
        <v>11</v>
      </c>
      <c r="I960" s="2">
        <v>60000</v>
      </c>
      <c r="J960" t="s">
        <v>24</v>
      </c>
      <c r="K960" s="3">
        <f t="shared" si="28"/>
        <v>60000</v>
      </c>
      <c r="L960" t="str">
        <f t="shared" si="29"/>
        <v>2025-12</v>
      </c>
    </row>
    <row r="961" spans="1:12" x14ac:dyDescent="0.25">
      <c r="A961">
        <v>1963</v>
      </c>
      <c r="B961">
        <v>26</v>
      </c>
      <c r="C961" t="str">
        <f>IFERROR(_xlfn.XLOOKUP(B961, Customer!A:A, Customer!B:B), "Unknown Customer")</f>
        <v>Mona Karimi</v>
      </c>
      <c r="D961" s="1">
        <v>45855</v>
      </c>
      <c r="E961" t="s">
        <v>18</v>
      </c>
      <c r="F961" t="s">
        <v>14</v>
      </c>
      <c r="G961">
        <v>1</v>
      </c>
      <c r="H961" t="s">
        <v>11</v>
      </c>
      <c r="I961" s="2">
        <v>55000</v>
      </c>
      <c r="J961" t="s">
        <v>15</v>
      </c>
      <c r="K961" s="3">
        <f t="shared" si="28"/>
        <v>55000</v>
      </c>
      <c r="L961" t="str">
        <f t="shared" si="29"/>
        <v>2025-07</v>
      </c>
    </row>
    <row r="962" spans="1:12" x14ac:dyDescent="0.25">
      <c r="A962">
        <v>1964</v>
      </c>
      <c r="B962">
        <v>8</v>
      </c>
      <c r="C962" t="str">
        <f>IFERROR(_xlfn.XLOOKUP(B962, Customer!A:A, Customer!B:B), "Unknown Customer")</f>
        <v>Milad Norouzi</v>
      </c>
      <c r="D962" s="1">
        <v>45923</v>
      </c>
      <c r="E962" t="s">
        <v>25</v>
      </c>
      <c r="F962" t="s">
        <v>10</v>
      </c>
      <c r="G962">
        <v>1</v>
      </c>
      <c r="H962" t="s">
        <v>11</v>
      </c>
      <c r="I962" s="2">
        <v>65000</v>
      </c>
      <c r="J962" t="s">
        <v>32</v>
      </c>
      <c r="K962" s="3">
        <f t="shared" si="28"/>
        <v>65000</v>
      </c>
      <c r="L962" t="str">
        <f t="shared" si="29"/>
        <v>2025-09</v>
      </c>
    </row>
    <row r="963" spans="1:12" x14ac:dyDescent="0.25">
      <c r="A963">
        <v>1965</v>
      </c>
      <c r="B963">
        <v>17</v>
      </c>
      <c r="C963" t="str">
        <f>IFERROR(_xlfn.XLOOKUP(B963, Customer!A:A, Customer!B:B), "Unknown Customer")</f>
        <v>Kaveh Jafari</v>
      </c>
      <c r="D963" s="1">
        <v>45872</v>
      </c>
      <c r="E963" t="s">
        <v>23</v>
      </c>
      <c r="F963" t="s">
        <v>17</v>
      </c>
      <c r="G963">
        <v>2</v>
      </c>
      <c r="H963" t="s">
        <v>11</v>
      </c>
      <c r="I963" s="2">
        <v>85000</v>
      </c>
      <c r="J963" t="s">
        <v>21</v>
      </c>
      <c r="K963" s="3">
        <f t="shared" ref="K963:K1026" si="30">G963*I963</f>
        <v>170000</v>
      </c>
      <c r="L963" t="str">
        <f t="shared" ref="L963:L1026" si="31">TEXT(D963,"YYYY-MM")</f>
        <v>2025-08</v>
      </c>
    </row>
    <row r="964" spans="1:12" x14ac:dyDescent="0.25">
      <c r="A964">
        <v>1966</v>
      </c>
      <c r="B964">
        <v>56</v>
      </c>
      <c r="C964" t="str">
        <f>IFERROR(_xlfn.XLOOKUP(B964, Customer!A:A, Customer!B:B), "Unknown Customer")</f>
        <v>Tara Jafari</v>
      </c>
      <c r="D964" s="1">
        <v>45998</v>
      </c>
      <c r="E964" t="s">
        <v>22</v>
      </c>
      <c r="F964" t="s">
        <v>14</v>
      </c>
      <c r="G964">
        <v>2</v>
      </c>
      <c r="H964" t="s">
        <v>11</v>
      </c>
      <c r="I964" s="2">
        <v>65000</v>
      </c>
      <c r="J964" t="s">
        <v>28</v>
      </c>
      <c r="K964" s="3">
        <f t="shared" si="30"/>
        <v>130000</v>
      </c>
      <c r="L964" t="str">
        <f t="shared" si="31"/>
        <v>2025-12</v>
      </c>
    </row>
    <row r="965" spans="1:12" x14ac:dyDescent="0.25">
      <c r="A965">
        <v>1967</v>
      </c>
      <c r="B965">
        <v>92</v>
      </c>
      <c r="C965" t="str">
        <f>IFERROR(_xlfn.XLOOKUP(B965, Customer!A:A, Customer!B:B), "Unknown Customer")</f>
        <v>Payam Zare</v>
      </c>
      <c r="D965" s="1">
        <v>45892</v>
      </c>
      <c r="E965" t="s">
        <v>27</v>
      </c>
      <c r="F965" t="s">
        <v>14</v>
      </c>
      <c r="G965">
        <v>1</v>
      </c>
      <c r="H965" t="s">
        <v>11</v>
      </c>
      <c r="I965" s="2">
        <v>35000</v>
      </c>
      <c r="J965" t="s">
        <v>15</v>
      </c>
      <c r="K965" s="3">
        <f t="shared" si="30"/>
        <v>35000</v>
      </c>
      <c r="L965" t="str">
        <f t="shared" si="31"/>
        <v>2025-08</v>
      </c>
    </row>
    <row r="966" spans="1:12" x14ac:dyDescent="0.25">
      <c r="A966">
        <v>1968</v>
      </c>
      <c r="B966">
        <v>78</v>
      </c>
      <c r="C966" t="str">
        <f>IFERROR(_xlfn.XLOOKUP(B966, Customer!A:A, Customer!B:B), "Unknown Customer")</f>
        <v>Elham Karimi</v>
      </c>
      <c r="D966" s="1">
        <v>45927</v>
      </c>
      <c r="E966" t="s">
        <v>30</v>
      </c>
      <c r="F966" t="s">
        <v>14</v>
      </c>
      <c r="G966">
        <v>2</v>
      </c>
      <c r="H966" t="s">
        <v>11</v>
      </c>
      <c r="I966" s="2">
        <v>48000</v>
      </c>
      <c r="J966" t="s">
        <v>12</v>
      </c>
      <c r="K966" s="3">
        <f t="shared" si="30"/>
        <v>96000</v>
      </c>
      <c r="L966" t="str">
        <f t="shared" si="31"/>
        <v>2025-09</v>
      </c>
    </row>
    <row r="967" spans="1:12" x14ac:dyDescent="0.25">
      <c r="A967">
        <v>1969</v>
      </c>
      <c r="B967">
        <v>12</v>
      </c>
      <c r="C967" t="str">
        <f>IFERROR(_xlfn.XLOOKUP(B967, Customer!A:A, Customer!B:B), "Unknown Customer")</f>
        <v>Golnaz Karimi</v>
      </c>
      <c r="D967" s="1">
        <v>45988</v>
      </c>
      <c r="E967" t="s">
        <v>9</v>
      </c>
      <c r="F967" t="s">
        <v>10</v>
      </c>
      <c r="G967">
        <v>3</v>
      </c>
      <c r="H967" t="s">
        <v>11</v>
      </c>
      <c r="I967" s="2">
        <v>62000</v>
      </c>
      <c r="J967" t="s">
        <v>15</v>
      </c>
      <c r="K967" s="3">
        <f t="shared" si="30"/>
        <v>186000</v>
      </c>
      <c r="L967" t="str">
        <f t="shared" si="31"/>
        <v>2025-11</v>
      </c>
    </row>
    <row r="968" spans="1:12" x14ac:dyDescent="0.25">
      <c r="A968">
        <v>1970</v>
      </c>
      <c r="B968">
        <v>32</v>
      </c>
      <c r="C968" t="str">
        <f>IFERROR(_xlfn.XLOOKUP(B968, Customer!A:A, Customer!B:B), "Unknown Customer")</f>
        <v>Elham Karimi</v>
      </c>
      <c r="D968" s="1">
        <v>45974</v>
      </c>
      <c r="E968" t="s">
        <v>13</v>
      </c>
      <c r="F968" t="s">
        <v>14</v>
      </c>
      <c r="G968">
        <v>2</v>
      </c>
      <c r="H968" t="s">
        <v>11</v>
      </c>
      <c r="I968" s="2">
        <v>58142.857142857145</v>
      </c>
      <c r="J968" t="s">
        <v>12</v>
      </c>
      <c r="K968" s="3">
        <f t="shared" si="30"/>
        <v>116285.71428571429</v>
      </c>
      <c r="L968" t="str">
        <f t="shared" si="31"/>
        <v>2025-11</v>
      </c>
    </row>
    <row r="969" spans="1:12" x14ac:dyDescent="0.25">
      <c r="A969">
        <v>1971</v>
      </c>
      <c r="B969">
        <v>73</v>
      </c>
      <c r="C969" t="str">
        <f>IFERROR(_xlfn.XLOOKUP(B969, Customer!A:A, Customer!B:B), "Unknown Customer")</f>
        <v>Niloofar Ebrahimi</v>
      </c>
      <c r="D969" s="1">
        <v>45859</v>
      </c>
      <c r="E969" t="s">
        <v>18</v>
      </c>
      <c r="F969" t="s">
        <v>14</v>
      </c>
      <c r="G969">
        <v>1</v>
      </c>
      <c r="H969" t="s">
        <v>11</v>
      </c>
      <c r="I969" s="2">
        <v>55000</v>
      </c>
      <c r="J969" t="s">
        <v>12</v>
      </c>
      <c r="K969" s="3">
        <f t="shared" si="30"/>
        <v>55000</v>
      </c>
      <c r="L969" t="str">
        <f t="shared" si="31"/>
        <v>2025-07</v>
      </c>
    </row>
    <row r="970" spans="1:12" x14ac:dyDescent="0.25">
      <c r="A970">
        <v>1972</v>
      </c>
      <c r="B970">
        <v>118</v>
      </c>
      <c r="C970" t="str">
        <f>IFERROR(_xlfn.XLOOKUP(B970, Customer!A:A, Customer!B:B), "Unknown Customer")</f>
        <v>Hamed Rezaei</v>
      </c>
      <c r="D970" s="1">
        <v>46015</v>
      </c>
      <c r="E970" t="s">
        <v>18</v>
      </c>
      <c r="F970" t="s">
        <v>14</v>
      </c>
      <c r="G970">
        <v>2</v>
      </c>
      <c r="H970" t="s">
        <v>11</v>
      </c>
      <c r="I970" s="2">
        <v>55000</v>
      </c>
      <c r="J970" t="s">
        <v>21</v>
      </c>
      <c r="K970" s="3">
        <f t="shared" si="30"/>
        <v>110000</v>
      </c>
      <c r="L970" t="str">
        <f t="shared" si="31"/>
        <v>2025-12</v>
      </c>
    </row>
    <row r="971" spans="1:12" x14ac:dyDescent="0.25">
      <c r="A971">
        <v>1973</v>
      </c>
      <c r="B971">
        <v>10</v>
      </c>
      <c r="C971" t="str">
        <f>IFERROR(_xlfn.XLOOKUP(B971, Customer!A:A, Customer!B:B), "Unknown Customer")</f>
        <v>Sepideh Rostami</v>
      </c>
      <c r="D971" s="1">
        <v>45916</v>
      </c>
      <c r="E971" t="s">
        <v>18</v>
      </c>
      <c r="F971" t="s">
        <v>14</v>
      </c>
      <c r="G971">
        <v>2</v>
      </c>
      <c r="H971" t="s">
        <v>11</v>
      </c>
      <c r="I971" s="2">
        <v>55000</v>
      </c>
      <c r="J971" t="s">
        <v>28</v>
      </c>
      <c r="K971" s="3">
        <f t="shared" si="30"/>
        <v>110000</v>
      </c>
      <c r="L971" t="str">
        <f t="shared" si="31"/>
        <v>2025-09</v>
      </c>
    </row>
    <row r="972" spans="1:12" x14ac:dyDescent="0.25">
      <c r="A972">
        <v>1974</v>
      </c>
      <c r="B972">
        <v>6</v>
      </c>
      <c r="C972" t="str">
        <f>IFERROR(_xlfn.XLOOKUP(B972, Customer!A:A, Customer!B:B), "Unknown Customer")</f>
        <v>Sepideh Mousavi</v>
      </c>
      <c r="D972" s="1">
        <v>45671</v>
      </c>
      <c r="E972" t="s">
        <v>16</v>
      </c>
      <c r="F972" t="s">
        <v>17</v>
      </c>
      <c r="G972">
        <v>2</v>
      </c>
      <c r="H972" t="s">
        <v>11</v>
      </c>
      <c r="I972" s="2">
        <v>75000</v>
      </c>
      <c r="J972" t="s">
        <v>32</v>
      </c>
      <c r="K972" s="3">
        <f t="shared" si="30"/>
        <v>150000</v>
      </c>
      <c r="L972" t="str">
        <f t="shared" si="31"/>
        <v>2025-01</v>
      </c>
    </row>
    <row r="973" spans="1:12" x14ac:dyDescent="0.25">
      <c r="A973">
        <v>1975</v>
      </c>
      <c r="B973">
        <v>51</v>
      </c>
      <c r="C973" t="str">
        <f>IFERROR(_xlfn.XLOOKUP(B973, Customer!A:A, Customer!B:B), "Unknown Customer")</f>
        <v>Azadeh Karimi</v>
      </c>
      <c r="D973" s="1">
        <v>45663</v>
      </c>
      <c r="E973" t="s">
        <v>29</v>
      </c>
      <c r="F973" t="s">
        <v>14</v>
      </c>
      <c r="G973">
        <v>3</v>
      </c>
      <c r="H973" t="s">
        <v>11</v>
      </c>
      <c r="I973" s="2">
        <v>45000</v>
      </c>
      <c r="J973" t="s">
        <v>15</v>
      </c>
      <c r="K973" s="3">
        <f t="shared" si="30"/>
        <v>135000</v>
      </c>
      <c r="L973" t="str">
        <f t="shared" si="31"/>
        <v>2025-01</v>
      </c>
    </row>
    <row r="974" spans="1:12" x14ac:dyDescent="0.25">
      <c r="A974">
        <v>1976</v>
      </c>
      <c r="B974">
        <v>60</v>
      </c>
      <c r="C974" t="str">
        <f>IFERROR(_xlfn.XLOOKUP(B974, Customer!A:A, Customer!B:B), "Unknown Customer")</f>
        <v>Sina Ghasemi</v>
      </c>
      <c r="D974" s="1">
        <v>45700</v>
      </c>
      <c r="E974" t="s">
        <v>18</v>
      </c>
      <c r="F974" t="s">
        <v>14</v>
      </c>
      <c r="G974">
        <v>1</v>
      </c>
      <c r="H974" t="s">
        <v>11</v>
      </c>
      <c r="I974" s="2">
        <v>55000</v>
      </c>
      <c r="J974" t="s">
        <v>21</v>
      </c>
      <c r="K974" s="3">
        <f t="shared" si="30"/>
        <v>55000</v>
      </c>
      <c r="L974" t="str">
        <f t="shared" si="31"/>
        <v>2025-02</v>
      </c>
    </row>
    <row r="975" spans="1:12" x14ac:dyDescent="0.25">
      <c r="A975">
        <v>1977</v>
      </c>
      <c r="B975">
        <v>108</v>
      </c>
      <c r="C975" t="str">
        <f>IFERROR(_xlfn.XLOOKUP(B975, Customer!A:A, Customer!B:B), "Unknown Customer")</f>
        <v>Omid Kazemi</v>
      </c>
      <c r="D975" s="1">
        <v>45745</v>
      </c>
      <c r="E975" t="s">
        <v>13</v>
      </c>
      <c r="F975" t="s">
        <v>14</v>
      </c>
      <c r="G975">
        <v>-1</v>
      </c>
      <c r="H975" t="s">
        <v>26</v>
      </c>
      <c r="I975" s="2">
        <v>58000</v>
      </c>
      <c r="J975" t="s">
        <v>24</v>
      </c>
      <c r="K975" s="3">
        <f t="shared" si="30"/>
        <v>-58000</v>
      </c>
      <c r="L975" t="str">
        <f t="shared" si="31"/>
        <v>2025-03</v>
      </c>
    </row>
    <row r="976" spans="1:12" x14ac:dyDescent="0.25">
      <c r="A976">
        <v>1978</v>
      </c>
      <c r="B976">
        <v>10</v>
      </c>
      <c r="C976" t="str">
        <f>IFERROR(_xlfn.XLOOKUP(B976, Customer!A:A, Customer!B:B), "Unknown Customer")</f>
        <v>Sepideh Rostami</v>
      </c>
      <c r="D976" s="1">
        <v>45809</v>
      </c>
      <c r="E976" t="s">
        <v>27</v>
      </c>
      <c r="F976" t="s">
        <v>14</v>
      </c>
      <c r="G976">
        <v>1</v>
      </c>
      <c r="H976" t="s">
        <v>11</v>
      </c>
      <c r="I976" s="2">
        <v>35000</v>
      </c>
      <c r="J976" t="s">
        <v>24</v>
      </c>
      <c r="K976" s="3">
        <f t="shared" si="30"/>
        <v>35000</v>
      </c>
      <c r="L976" t="str">
        <f t="shared" si="31"/>
        <v>2025-06</v>
      </c>
    </row>
    <row r="977" spans="1:12" x14ac:dyDescent="0.25">
      <c r="A977">
        <v>1979</v>
      </c>
      <c r="B977">
        <v>92</v>
      </c>
      <c r="C977" t="str">
        <f>IFERROR(_xlfn.XLOOKUP(B977, Customer!A:A, Customer!B:B), "Unknown Customer")</f>
        <v>Payam Zare</v>
      </c>
      <c r="D977" s="1">
        <v>46003</v>
      </c>
      <c r="E977" t="s">
        <v>29</v>
      </c>
      <c r="F977" t="s">
        <v>14</v>
      </c>
      <c r="G977">
        <v>2</v>
      </c>
      <c r="H977" t="s">
        <v>11</v>
      </c>
      <c r="I977" s="2">
        <v>45353.535353535357</v>
      </c>
      <c r="J977" t="s">
        <v>15</v>
      </c>
      <c r="K977" s="3">
        <f t="shared" si="30"/>
        <v>90707.070707070714</v>
      </c>
      <c r="L977" t="str">
        <f t="shared" si="31"/>
        <v>2025-12</v>
      </c>
    </row>
    <row r="978" spans="1:12" x14ac:dyDescent="0.25">
      <c r="A978">
        <v>1980</v>
      </c>
      <c r="B978">
        <v>89</v>
      </c>
      <c r="C978" t="str">
        <f>IFERROR(_xlfn.XLOOKUP(B978, Customer!A:A, Customer!B:B), "Unknown Customer")</f>
        <v>Mona Moradi</v>
      </c>
      <c r="D978" s="1">
        <v>45885</v>
      </c>
      <c r="E978" t="s">
        <v>9</v>
      </c>
      <c r="F978" t="s">
        <v>10</v>
      </c>
      <c r="G978">
        <v>1</v>
      </c>
      <c r="H978" t="s">
        <v>11</v>
      </c>
      <c r="I978" s="2">
        <v>62265.486725663715</v>
      </c>
      <c r="J978" t="s">
        <v>21</v>
      </c>
      <c r="K978" s="3">
        <f t="shared" si="30"/>
        <v>62265.486725663715</v>
      </c>
      <c r="L978" t="str">
        <f t="shared" si="31"/>
        <v>2025-08</v>
      </c>
    </row>
    <row r="979" spans="1:12" x14ac:dyDescent="0.25">
      <c r="A979">
        <v>1981</v>
      </c>
      <c r="B979">
        <v>117</v>
      </c>
      <c r="C979" t="str">
        <f>IFERROR(_xlfn.XLOOKUP(B979, Customer!A:A, Customer!B:B), "Unknown Customer")</f>
        <v>Babak Naderi</v>
      </c>
      <c r="D979" s="1">
        <v>45760</v>
      </c>
      <c r="E979" t="s">
        <v>30</v>
      </c>
      <c r="F979" t="s">
        <v>14</v>
      </c>
      <c r="G979">
        <v>2</v>
      </c>
      <c r="H979" t="s">
        <v>11</v>
      </c>
      <c r="I979" s="2">
        <v>43000</v>
      </c>
      <c r="J979" t="s">
        <v>24</v>
      </c>
      <c r="K979" s="3">
        <f t="shared" si="30"/>
        <v>86000</v>
      </c>
      <c r="L979" t="str">
        <f t="shared" si="31"/>
        <v>2025-04</v>
      </c>
    </row>
    <row r="980" spans="1:12" x14ac:dyDescent="0.25">
      <c r="A980">
        <v>1982</v>
      </c>
      <c r="B980">
        <v>88</v>
      </c>
      <c r="C980" t="str">
        <f>IFERROR(_xlfn.XLOOKUP(B980, Customer!A:A, Customer!B:B), "Unknown Customer")</f>
        <v>Golnaz Rostami</v>
      </c>
      <c r="D980" s="1">
        <v>45690</v>
      </c>
      <c r="E980" t="s">
        <v>27</v>
      </c>
      <c r="F980" t="s">
        <v>14</v>
      </c>
      <c r="G980">
        <v>4</v>
      </c>
      <c r="H980" t="s">
        <v>11</v>
      </c>
      <c r="I980" s="2">
        <v>35000</v>
      </c>
      <c r="J980" t="s">
        <v>19</v>
      </c>
      <c r="K980" s="3">
        <f t="shared" si="30"/>
        <v>140000</v>
      </c>
      <c r="L980" t="str">
        <f t="shared" si="31"/>
        <v>2025-02</v>
      </c>
    </row>
    <row r="981" spans="1:12" x14ac:dyDescent="0.25">
      <c r="A981">
        <v>1983</v>
      </c>
      <c r="B981">
        <v>54</v>
      </c>
      <c r="C981" t="str">
        <f>IFERROR(_xlfn.XLOOKUP(B981, Customer!A:A, Customer!B:B), "Unknown Customer")</f>
        <v>Parisa Rostami</v>
      </c>
      <c r="D981" s="1">
        <v>45713</v>
      </c>
      <c r="E981" t="s">
        <v>23</v>
      </c>
      <c r="F981" t="s">
        <v>17</v>
      </c>
      <c r="G981">
        <v>2</v>
      </c>
      <c r="H981" t="s">
        <v>11</v>
      </c>
      <c r="I981" s="2">
        <v>85000</v>
      </c>
      <c r="J981" t="s">
        <v>28</v>
      </c>
      <c r="K981" s="3">
        <f t="shared" si="30"/>
        <v>170000</v>
      </c>
      <c r="L981" t="str">
        <f t="shared" si="31"/>
        <v>2025-02</v>
      </c>
    </row>
    <row r="982" spans="1:12" x14ac:dyDescent="0.25">
      <c r="A982">
        <v>1984</v>
      </c>
      <c r="B982">
        <v>51</v>
      </c>
      <c r="C982" t="str">
        <f>IFERROR(_xlfn.XLOOKUP(B982, Customer!A:A, Customer!B:B), "Unknown Customer")</f>
        <v>Azadeh Karimi</v>
      </c>
      <c r="D982" s="1">
        <v>45719</v>
      </c>
      <c r="E982" t="s">
        <v>31</v>
      </c>
      <c r="F982" t="s">
        <v>17</v>
      </c>
      <c r="G982">
        <v>1</v>
      </c>
      <c r="H982" t="s">
        <v>11</v>
      </c>
      <c r="I982" s="2">
        <v>40000</v>
      </c>
      <c r="J982" t="s">
        <v>19</v>
      </c>
      <c r="K982" s="3">
        <f t="shared" si="30"/>
        <v>40000</v>
      </c>
      <c r="L982" t="str">
        <f t="shared" si="31"/>
        <v>2025-03</v>
      </c>
    </row>
    <row r="983" spans="1:12" x14ac:dyDescent="0.25">
      <c r="A983">
        <v>1985</v>
      </c>
      <c r="B983">
        <v>52</v>
      </c>
      <c r="C983" t="str">
        <f>IFERROR(_xlfn.XLOOKUP(B983, Customer!A:A, Customer!B:B), "Unknown Customer")</f>
        <v>Kaveh Rostami</v>
      </c>
      <c r="D983" s="1">
        <v>45967</v>
      </c>
      <c r="E983" t="s">
        <v>27</v>
      </c>
      <c r="F983" t="s">
        <v>14</v>
      </c>
      <c r="G983">
        <v>1</v>
      </c>
      <c r="H983" t="s">
        <v>11</v>
      </c>
      <c r="I983" s="2">
        <v>35000</v>
      </c>
      <c r="J983" t="s">
        <v>12</v>
      </c>
      <c r="K983" s="3">
        <f t="shared" si="30"/>
        <v>35000</v>
      </c>
      <c r="L983" t="str">
        <f t="shared" si="31"/>
        <v>2025-11</v>
      </c>
    </row>
    <row r="984" spans="1:12" x14ac:dyDescent="0.25">
      <c r="A984">
        <v>1986</v>
      </c>
      <c r="B984">
        <v>105</v>
      </c>
      <c r="C984" t="str">
        <f>IFERROR(_xlfn.XLOOKUP(B984, Customer!A:A, Customer!B:B), "Unknown Customer")</f>
        <v>Tara Ghasemi</v>
      </c>
      <c r="D984" s="1">
        <v>45990</v>
      </c>
      <c r="E984" t="s">
        <v>9</v>
      </c>
      <c r="F984" t="s">
        <v>10</v>
      </c>
      <c r="G984">
        <v>1</v>
      </c>
      <c r="H984" t="s">
        <v>11</v>
      </c>
      <c r="I984" s="2">
        <v>57000</v>
      </c>
      <c r="J984" t="s">
        <v>21</v>
      </c>
      <c r="K984" s="3">
        <f t="shared" si="30"/>
        <v>57000</v>
      </c>
      <c r="L984" t="str">
        <f t="shared" si="31"/>
        <v>2025-11</v>
      </c>
    </row>
    <row r="985" spans="1:12" x14ac:dyDescent="0.25">
      <c r="A985">
        <v>1987</v>
      </c>
      <c r="B985">
        <v>99</v>
      </c>
      <c r="C985" t="str">
        <f>IFERROR(_xlfn.XLOOKUP(B985, Customer!A:A, Customer!B:B), "Unknown Customer")</f>
        <v>Behnam Ahmadi</v>
      </c>
      <c r="D985" s="1">
        <v>45913</v>
      </c>
      <c r="E985" t="s">
        <v>20</v>
      </c>
      <c r="F985" t="s">
        <v>17</v>
      </c>
      <c r="G985">
        <v>1</v>
      </c>
      <c r="H985" t="s">
        <v>11</v>
      </c>
      <c r="I985" s="2">
        <v>45000</v>
      </c>
      <c r="J985" t="s">
        <v>12</v>
      </c>
      <c r="K985" s="3">
        <f t="shared" si="30"/>
        <v>45000</v>
      </c>
      <c r="L985" t="str">
        <f t="shared" si="31"/>
        <v>2025-09</v>
      </c>
    </row>
    <row r="986" spans="1:12" x14ac:dyDescent="0.25">
      <c r="A986">
        <v>1988</v>
      </c>
      <c r="B986">
        <v>90</v>
      </c>
      <c r="C986" t="str">
        <f>IFERROR(_xlfn.XLOOKUP(B986, Customer!A:A, Customer!B:B), "Unknown Customer")</f>
        <v>Yasaman Karimi</v>
      </c>
      <c r="D986" s="1">
        <v>46005</v>
      </c>
      <c r="E986" t="s">
        <v>31</v>
      </c>
      <c r="F986" t="s">
        <v>17</v>
      </c>
      <c r="G986">
        <v>1</v>
      </c>
      <c r="H986" t="s">
        <v>11</v>
      </c>
      <c r="I986" s="2">
        <v>40000</v>
      </c>
      <c r="J986" t="s">
        <v>12</v>
      </c>
      <c r="K986" s="3">
        <f t="shared" si="30"/>
        <v>40000</v>
      </c>
      <c r="L986" t="str">
        <f t="shared" si="31"/>
        <v>2025-12</v>
      </c>
    </row>
    <row r="987" spans="1:12" x14ac:dyDescent="0.25">
      <c r="A987">
        <v>1989</v>
      </c>
      <c r="B987">
        <v>62</v>
      </c>
      <c r="C987" t="str">
        <f>IFERROR(_xlfn.XLOOKUP(B987, Customer!A:A, Customer!B:B), "Unknown Customer")</f>
        <v>Amir Mousavi</v>
      </c>
      <c r="D987" s="1">
        <v>45829</v>
      </c>
      <c r="E987" t="s">
        <v>18</v>
      </c>
      <c r="F987" t="s">
        <v>14</v>
      </c>
      <c r="G987">
        <v>2</v>
      </c>
      <c r="H987" t="s">
        <v>11</v>
      </c>
      <c r="I987" s="2">
        <v>60000</v>
      </c>
      <c r="J987" t="s">
        <v>28</v>
      </c>
      <c r="K987" s="3">
        <f t="shared" si="30"/>
        <v>120000</v>
      </c>
      <c r="L987" t="str">
        <f t="shared" si="31"/>
        <v>2025-06</v>
      </c>
    </row>
    <row r="988" spans="1:12" x14ac:dyDescent="0.25">
      <c r="A988">
        <v>1990</v>
      </c>
      <c r="B988">
        <v>76</v>
      </c>
      <c r="C988" t="str">
        <f>IFERROR(_xlfn.XLOOKUP(B988, Customer!A:A, Customer!B:B), "Unknown Customer")</f>
        <v>Setareh Yousefi</v>
      </c>
      <c r="D988" s="1">
        <v>45664</v>
      </c>
      <c r="E988" t="s">
        <v>22</v>
      </c>
      <c r="F988" t="s">
        <v>14</v>
      </c>
      <c r="G988">
        <v>2</v>
      </c>
      <c r="H988" t="s">
        <v>11</v>
      </c>
      <c r="I988" s="2">
        <v>55000</v>
      </c>
      <c r="J988" t="s">
        <v>12</v>
      </c>
      <c r="K988" s="3">
        <f t="shared" si="30"/>
        <v>110000</v>
      </c>
      <c r="L988" t="str">
        <f t="shared" si="31"/>
        <v>2025-01</v>
      </c>
    </row>
    <row r="989" spans="1:12" x14ac:dyDescent="0.25">
      <c r="A989">
        <v>1991</v>
      </c>
      <c r="B989">
        <v>55</v>
      </c>
      <c r="C989" t="str">
        <f>IFERROR(_xlfn.XLOOKUP(B989, Customer!A:A, Customer!B:B), "Unknown Customer")</f>
        <v>Payam Jafari</v>
      </c>
      <c r="D989" s="1">
        <v>45975</v>
      </c>
      <c r="E989" t="s">
        <v>30</v>
      </c>
      <c r="F989" t="s">
        <v>14</v>
      </c>
      <c r="G989">
        <v>1</v>
      </c>
      <c r="H989" t="s">
        <v>11</v>
      </c>
      <c r="I989" s="2">
        <v>48000</v>
      </c>
      <c r="J989" t="s">
        <v>24</v>
      </c>
      <c r="K989" s="3">
        <f t="shared" si="30"/>
        <v>48000</v>
      </c>
      <c r="L989" t="str">
        <f t="shared" si="31"/>
        <v>2025-11</v>
      </c>
    </row>
    <row r="990" spans="1:12" x14ac:dyDescent="0.25">
      <c r="A990">
        <v>1992</v>
      </c>
      <c r="B990">
        <v>20</v>
      </c>
      <c r="C990" t="str">
        <f>IFERROR(_xlfn.XLOOKUP(B990, Customer!A:A, Customer!B:B), "Unknown Customer")</f>
        <v>Setareh Abbasi</v>
      </c>
      <c r="D990" s="1">
        <v>45762</v>
      </c>
      <c r="E990" t="s">
        <v>31</v>
      </c>
      <c r="F990" t="s">
        <v>17</v>
      </c>
      <c r="G990">
        <v>1</v>
      </c>
      <c r="H990" t="s">
        <v>11</v>
      </c>
      <c r="I990" s="2">
        <v>45000</v>
      </c>
      <c r="J990" t="s">
        <v>24</v>
      </c>
      <c r="K990" s="3">
        <f t="shared" si="30"/>
        <v>45000</v>
      </c>
      <c r="L990" t="str">
        <f t="shared" si="31"/>
        <v>2025-04</v>
      </c>
    </row>
    <row r="991" spans="1:12" x14ac:dyDescent="0.25">
      <c r="A991">
        <v>1993</v>
      </c>
      <c r="B991">
        <v>36</v>
      </c>
      <c r="C991" t="str">
        <f>IFERROR(_xlfn.XLOOKUP(B991, Customer!A:A, Customer!B:B), "Unknown Customer")</f>
        <v>Payam Rezaei</v>
      </c>
      <c r="D991" s="1">
        <v>45987</v>
      </c>
      <c r="E991" t="s">
        <v>25</v>
      </c>
      <c r="F991" t="s">
        <v>10</v>
      </c>
      <c r="G991">
        <v>3</v>
      </c>
      <c r="H991" t="s">
        <v>11</v>
      </c>
      <c r="I991" s="2">
        <v>65000</v>
      </c>
      <c r="J991" t="s">
        <v>12</v>
      </c>
      <c r="K991" s="3">
        <f t="shared" si="30"/>
        <v>195000</v>
      </c>
      <c r="L991" t="str">
        <f t="shared" si="31"/>
        <v>2025-11</v>
      </c>
    </row>
    <row r="992" spans="1:12" x14ac:dyDescent="0.25">
      <c r="A992">
        <v>1994</v>
      </c>
      <c r="B992">
        <v>43</v>
      </c>
      <c r="C992" t="str">
        <f>IFERROR(_xlfn.XLOOKUP(B992, Customer!A:A, Customer!B:B), "Unknown Customer")</f>
        <v>Ali Mousavi</v>
      </c>
      <c r="D992" s="1">
        <v>45782</v>
      </c>
      <c r="E992" t="s">
        <v>25</v>
      </c>
      <c r="F992" t="s">
        <v>10</v>
      </c>
      <c r="G992">
        <v>3</v>
      </c>
      <c r="H992" t="s">
        <v>11</v>
      </c>
      <c r="I992" s="2">
        <v>65000</v>
      </c>
      <c r="J992" t="s">
        <v>28</v>
      </c>
      <c r="K992" s="3">
        <f t="shared" si="30"/>
        <v>195000</v>
      </c>
      <c r="L992" t="str">
        <f t="shared" si="31"/>
        <v>2025-05</v>
      </c>
    </row>
    <row r="993" spans="1:12" x14ac:dyDescent="0.25">
      <c r="A993">
        <v>1995</v>
      </c>
      <c r="B993">
        <v>112</v>
      </c>
      <c r="C993" t="str">
        <f>IFERROR(_xlfn.XLOOKUP(B993, Customer!A:A, Customer!B:B), "Unknown Customer")</f>
        <v>Amir Fallahi</v>
      </c>
      <c r="D993" s="1">
        <v>45924</v>
      </c>
      <c r="E993" t="s">
        <v>31</v>
      </c>
      <c r="F993" t="s">
        <v>17</v>
      </c>
      <c r="G993">
        <v>1</v>
      </c>
      <c r="H993" t="s">
        <v>11</v>
      </c>
      <c r="I993" s="2">
        <v>35000</v>
      </c>
      <c r="J993" t="s">
        <v>19</v>
      </c>
      <c r="K993" s="3">
        <f t="shared" si="30"/>
        <v>35000</v>
      </c>
      <c r="L993" t="str">
        <f t="shared" si="31"/>
        <v>2025-09</v>
      </c>
    </row>
    <row r="994" spans="1:12" x14ac:dyDescent="0.25">
      <c r="A994">
        <v>1996</v>
      </c>
      <c r="B994">
        <v>60</v>
      </c>
      <c r="C994" t="str">
        <f>IFERROR(_xlfn.XLOOKUP(B994, Customer!A:A, Customer!B:B), "Unknown Customer")</f>
        <v>Sina Ghasemi</v>
      </c>
      <c r="D994" s="1">
        <v>45684</v>
      </c>
      <c r="E994" t="s">
        <v>30</v>
      </c>
      <c r="F994" t="s">
        <v>14</v>
      </c>
      <c r="G994">
        <v>1</v>
      </c>
      <c r="H994" t="s">
        <v>11</v>
      </c>
      <c r="I994" s="2">
        <v>48000</v>
      </c>
      <c r="J994" t="s">
        <v>28</v>
      </c>
      <c r="K994" s="3">
        <f t="shared" si="30"/>
        <v>48000</v>
      </c>
      <c r="L994" t="str">
        <f t="shared" si="31"/>
        <v>2025-01</v>
      </c>
    </row>
    <row r="995" spans="1:12" x14ac:dyDescent="0.25">
      <c r="A995">
        <v>1997</v>
      </c>
      <c r="B995">
        <v>71</v>
      </c>
      <c r="C995" t="str">
        <f>IFERROR(_xlfn.XLOOKUP(B995, Customer!A:A, Customer!B:B), "Unknown Customer")</f>
        <v>Milad Mousavi</v>
      </c>
      <c r="D995" s="1">
        <v>45778</v>
      </c>
      <c r="E995" t="s">
        <v>30</v>
      </c>
      <c r="F995" t="s">
        <v>14</v>
      </c>
      <c r="G995">
        <v>2</v>
      </c>
      <c r="H995" t="s">
        <v>11</v>
      </c>
      <c r="I995" s="2">
        <v>48000</v>
      </c>
      <c r="J995" t="s">
        <v>12</v>
      </c>
      <c r="K995" s="3">
        <f t="shared" si="30"/>
        <v>96000</v>
      </c>
      <c r="L995" t="str">
        <f t="shared" si="31"/>
        <v>2025-05</v>
      </c>
    </row>
    <row r="996" spans="1:12" x14ac:dyDescent="0.25">
      <c r="A996">
        <v>1998</v>
      </c>
      <c r="B996">
        <v>26</v>
      </c>
      <c r="C996" t="str">
        <f>IFERROR(_xlfn.XLOOKUP(B996, Customer!A:A, Customer!B:B), "Unknown Customer")</f>
        <v>Mona Karimi</v>
      </c>
      <c r="D996" s="1">
        <v>45875</v>
      </c>
      <c r="E996" t="s">
        <v>30</v>
      </c>
      <c r="F996" t="s">
        <v>14</v>
      </c>
      <c r="G996">
        <v>1</v>
      </c>
      <c r="H996" t="s">
        <v>11</v>
      </c>
      <c r="I996" s="2">
        <v>48000</v>
      </c>
      <c r="J996" t="s">
        <v>12</v>
      </c>
      <c r="K996" s="3">
        <f t="shared" si="30"/>
        <v>48000</v>
      </c>
      <c r="L996" t="str">
        <f t="shared" si="31"/>
        <v>2025-08</v>
      </c>
    </row>
    <row r="997" spans="1:12" x14ac:dyDescent="0.25">
      <c r="A997">
        <v>1999</v>
      </c>
      <c r="B997">
        <v>26</v>
      </c>
      <c r="C997" t="str">
        <f>IFERROR(_xlfn.XLOOKUP(B997, Customer!A:A, Customer!B:B), "Unknown Customer")</f>
        <v>Mona Karimi</v>
      </c>
      <c r="D997" s="1">
        <v>45756</v>
      </c>
      <c r="E997" t="s">
        <v>9</v>
      </c>
      <c r="F997" t="s">
        <v>10</v>
      </c>
      <c r="G997">
        <v>2</v>
      </c>
      <c r="H997" t="s">
        <v>11</v>
      </c>
      <c r="I997" s="2">
        <v>62000</v>
      </c>
      <c r="J997" t="s">
        <v>15</v>
      </c>
      <c r="K997" s="3">
        <f t="shared" si="30"/>
        <v>124000</v>
      </c>
      <c r="L997" t="str">
        <f t="shared" si="31"/>
        <v>2025-04</v>
      </c>
    </row>
    <row r="998" spans="1:12" x14ac:dyDescent="0.25">
      <c r="A998">
        <v>2000</v>
      </c>
      <c r="B998">
        <v>55</v>
      </c>
      <c r="C998" t="str">
        <f>IFERROR(_xlfn.XLOOKUP(B998, Customer!A:A, Customer!B:B), "Unknown Customer")</f>
        <v>Payam Jafari</v>
      </c>
      <c r="D998" s="1">
        <v>45911</v>
      </c>
      <c r="E998" t="s">
        <v>23</v>
      </c>
      <c r="F998" t="s">
        <v>17</v>
      </c>
      <c r="G998">
        <v>4</v>
      </c>
      <c r="H998" t="s">
        <v>11</v>
      </c>
      <c r="I998" s="2">
        <v>85000</v>
      </c>
      <c r="J998" t="s">
        <v>15</v>
      </c>
      <c r="K998" s="3">
        <f t="shared" si="30"/>
        <v>340000</v>
      </c>
      <c r="L998" t="str">
        <f t="shared" si="31"/>
        <v>2025-09</v>
      </c>
    </row>
    <row r="999" spans="1:12" x14ac:dyDescent="0.25">
      <c r="A999">
        <v>2001</v>
      </c>
      <c r="B999">
        <v>55</v>
      </c>
      <c r="C999" t="str">
        <f>IFERROR(_xlfn.XLOOKUP(B999, Customer!A:A, Customer!B:B), "Unknown Customer")</f>
        <v>Payam Jafari</v>
      </c>
      <c r="D999" s="1">
        <v>45811</v>
      </c>
      <c r="E999" t="s">
        <v>18</v>
      </c>
      <c r="F999" t="s">
        <v>14</v>
      </c>
      <c r="G999">
        <v>2</v>
      </c>
      <c r="H999" t="s">
        <v>11</v>
      </c>
      <c r="I999" s="2">
        <v>55000</v>
      </c>
      <c r="J999" t="s">
        <v>15</v>
      </c>
      <c r="K999" s="3">
        <f t="shared" si="30"/>
        <v>110000</v>
      </c>
      <c r="L999" t="str">
        <f t="shared" si="31"/>
        <v>2025-06</v>
      </c>
    </row>
    <row r="1000" spans="1:12" x14ac:dyDescent="0.25">
      <c r="A1000">
        <v>2002</v>
      </c>
      <c r="B1000">
        <v>40</v>
      </c>
      <c r="C1000" t="str">
        <f>IFERROR(_xlfn.XLOOKUP(B1000, Customer!A:A, Customer!B:B), "Unknown Customer")</f>
        <v>Nazanin Hosseini</v>
      </c>
      <c r="D1000" s="1">
        <v>45803</v>
      </c>
      <c r="E1000" t="s">
        <v>16</v>
      </c>
      <c r="F1000" t="s">
        <v>17</v>
      </c>
      <c r="G1000">
        <v>-1</v>
      </c>
      <c r="H1000" t="s">
        <v>26</v>
      </c>
      <c r="I1000" s="2">
        <v>75000</v>
      </c>
      <c r="J1000" t="s">
        <v>24</v>
      </c>
      <c r="K1000" s="3">
        <f t="shared" si="30"/>
        <v>-75000</v>
      </c>
      <c r="L1000" t="str">
        <f t="shared" si="31"/>
        <v>2025-05</v>
      </c>
    </row>
    <row r="1001" spans="1:12" x14ac:dyDescent="0.25">
      <c r="A1001">
        <v>2003</v>
      </c>
      <c r="B1001">
        <v>20</v>
      </c>
      <c r="C1001" t="str">
        <f>IFERROR(_xlfn.XLOOKUP(B1001, Customer!A:A, Customer!B:B), "Unknown Customer")</f>
        <v>Setareh Abbasi</v>
      </c>
      <c r="D1001" s="1">
        <v>45717</v>
      </c>
      <c r="E1001" t="s">
        <v>30</v>
      </c>
      <c r="F1001" t="s">
        <v>14</v>
      </c>
      <c r="G1001">
        <v>2</v>
      </c>
      <c r="H1001" t="s">
        <v>11</v>
      </c>
      <c r="I1001" s="2">
        <v>48000</v>
      </c>
      <c r="J1001" t="s">
        <v>12</v>
      </c>
      <c r="K1001" s="3">
        <f t="shared" si="30"/>
        <v>96000</v>
      </c>
      <c r="L1001" t="str">
        <f t="shared" si="31"/>
        <v>2025-03</v>
      </c>
    </row>
    <row r="1002" spans="1:12" x14ac:dyDescent="0.25">
      <c r="A1002">
        <v>2004</v>
      </c>
      <c r="B1002">
        <v>48</v>
      </c>
      <c r="C1002" t="str">
        <f>IFERROR(_xlfn.XLOOKUP(B1002, Customer!A:A, Customer!B:B), "Unknown Customer")</f>
        <v>Hamed Jafari</v>
      </c>
      <c r="D1002" s="1">
        <v>45908</v>
      </c>
      <c r="E1002" t="s">
        <v>31</v>
      </c>
      <c r="F1002" t="s">
        <v>17</v>
      </c>
      <c r="G1002">
        <v>1</v>
      </c>
      <c r="H1002" t="s">
        <v>11</v>
      </c>
      <c r="I1002" s="2">
        <v>35000</v>
      </c>
      <c r="J1002" t="s">
        <v>28</v>
      </c>
      <c r="K1002" s="3">
        <f t="shared" si="30"/>
        <v>35000</v>
      </c>
      <c r="L1002" t="str">
        <f t="shared" si="31"/>
        <v>2025-09</v>
      </c>
    </row>
    <row r="1003" spans="1:12" x14ac:dyDescent="0.25">
      <c r="A1003">
        <v>2005</v>
      </c>
      <c r="B1003">
        <v>21</v>
      </c>
      <c r="C1003" t="str">
        <f>IFERROR(_xlfn.XLOOKUP(B1003, Customer!A:A, Customer!B:B), "Unknown Customer")</f>
        <v>Sina Naderi</v>
      </c>
      <c r="D1003" s="1">
        <v>45999</v>
      </c>
      <c r="E1003" t="s">
        <v>30</v>
      </c>
      <c r="F1003" t="s">
        <v>14</v>
      </c>
      <c r="G1003">
        <v>2</v>
      </c>
      <c r="H1003" t="s">
        <v>11</v>
      </c>
      <c r="I1003" s="2">
        <v>48000</v>
      </c>
      <c r="J1003" t="s">
        <v>12</v>
      </c>
      <c r="K1003" s="3">
        <f t="shared" si="30"/>
        <v>96000</v>
      </c>
      <c r="L1003" t="str">
        <f t="shared" si="31"/>
        <v>2025-12</v>
      </c>
    </row>
    <row r="1004" spans="1:12" x14ac:dyDescent="0.25">
      <c r="A1004">
        <v>2006</v>
      </c>
      <c r="B1004">
        <v>8</v>
      </c>
      <c r="C1004" t="str">
        <f>IFERROR(_xlfn.XLOOKUP(B1004, Customer!A:A, Customer!B:B), "Unknown Customer")</f>
        <v>Milad Norouzi</v>
      </c>
      <c r="D1004" s="1">
        <v>45855</v>
      </c>
      <c r="E1004" t="s">
        <v>27</v>
      </c>
      <c r="F1004" t="s">
        <v>14</v>
      </c>
      <c r="G1004">
        <v>1</v>
      </c>
      <c r="H1004" t="s">
        <v>11</v>
      </c>
      <c r="I1004" s="2">
        <v>35000</v>
      </c>
      <c r="J1004" t="s">
        <v>12</v>
      </c>
      <c r="K1004" s="3">
        <f t="shared" si="30"/>
        <v>35000</v>
      </c>
      <c r="L1004" t="str">
        <f t="shared" si="31"/>
        <v>2025-07</v>
      </c>
    </row>
    <row r="1005" spans="1:12" x14ac:dyDescent="0.25">
      <c r="A1005">
        <v>2007</v>
      </c>
      <c r="B1005">
        <v>91</v>
      </c>
      <c r="C1005" t="str">
        <f>IFERROR(_xlfn.XLOOKUP(B1005, Customer!A:A, Customer!B:B), "Unknown Customer")</f>
        <v>Ali Ebrahimi</v>
      </c>
      <c r="D1005" s="1">
        <v>45672</v>
      </c>
      <c r="E1005" t="s">
        <v>27</v>
      </c>
      <c r="F1005" t="s">
        <v>14</v>
      </c>
      <c r="G1005">
        <v>1</v>
      </c>
      <c r="H1005" t="s">
        <v>11</v>
      </c>
      <c r="I1005" s="2">
        <v>40000</v>
      </c>
      <c r="J1005" t="s">
        <v>21</v>
      </c>
      <c r="K1005" s="3">
        <f t="shared" si="30"/>
        <v>40000</v>
      </c>
      <c r="L1005" t="str">
        <f t="shared" si="31"/>
        <v>2025-01</v>
      </c>
    </row>
    <row r="1006" spans="1:12" x14ac:dyDescent="0.25">
      <c r="A1006">
        <v>2008</v>
      </c>
      <c r="B1006">
        <v>32</v>
      </c>
      <c r="C1006" t="str">
        <f>IFERROR(_xlfn.XLOOKUP(B1006, Customer!A:A, Customer!B:B), "Unknown Customer")</f>
        <v>Elham Karimi</v>
      </c>
      <c r="D1006" s="1">
        <v>45954</v>
      </c>
      <c r="E1006" t="s">
        <v>20</v>
      </c>
      <c r="F1006" t="s">
        <v>17</v>
      </c>
      <c r="G1006">
        <v>1</v>
      </c>
      <c r="H1006" t="s">
        <v>11</v>
      </c>
      <c r="I1006" s="2">
        <v>45000</v>
      </c>
      <c r="J1006" t="s">
        <v>15</v>
      </c>
      <c r="K1006" s="3">
        <f t="shared" si="30"/>
        <v>45000</v>
      </c>
      <c r="L1006" t="str">
        <f t="shared" si="31"/>
        <v>2025-10</v>
      </c>
    </row>
    <row r="1007" spans="1:12" x14ac:dyDescent="0.25">
      <c r="A1007">
        <v>2009</v>
      </c>
      <c r="B1007">
        <v>91</v>
      </c>
      <c r="C1007" t="str">
        <f>IFERROR(_xlfn.XLOOKUP(B1007, Customer!A:A, Customer!B:B), "Unknown Customer")</f>
        <v>Ali Ebrahimi</v>
      </c>
      <c r="D1007" s="1">
        <v>45699</v>
      </c>
      <c r="E1007" t="s">
        <v>20</v>
      </c>
      <c r="F1007" t="s">
        <v>17</v>
      </c>
      <c r="G1007">
        <v>2</v>
      </c>
      <c r="H1007" t="s">
        <v>11</v>
      </c>
      <c r="I1007" s="2">
        <v>50000</v>
      </c>
      <c r="J1007" t="s">
        <v>12</v>
      </c>
      <c r="K1007" s="3">
        <f t="shared" si="30"/>
        <v>100000</v>
      </c>
      <c r="L1007" t="str">
        <f t="shared" si="31"/>
        <v>2025-02</v>
      </c>
    </row>
    <row r="1008" spans="1:12" x14ac:dyDescent="0.25">
      <c r="A1008">
        <v>2010</v>
      </c>
      <c r="B1008">
        <v>39</v>
      </c>
      <c r="C1008" t="str">
        <f>IFERROR(_xlfn.XLOOKUP(B1008, Customer!A:A, Customer!B:B), "Unknown Customer")</f>
        <v>Mona Ghasemi</v>
      </c>
      <c r="D1008" s="1">
        <v>45930</v>
      </c>
      <c r="E1008" t="s">
        <v>23</v>
      </c>
      <c r="F1008" t="s">
        <v>17</v>
      </c>
      <c r="G1008">
        <v>2</v>
      </c>
      <c r="H1008" t="s">
        <v>11</v>
      </c>
      <c r="I1008" s="2">
        <v>85000</v>
      </c>
      <c r="J1008" t="s">
        <v>12</v>
      </c>
      <c r="K1008" s="3">
        <f t="shared" si="30"/>
        <v>170000</v>
      </c>
      <c r="L1008" t="str">
        <f t="shared" si="31"/>
        <v>2025-09</v>
      </c>
    </row>
    <row r="1009" spans="1:12" x14ac:dyDescent="0.25">
      <c r="A1009">
        <v>2011</v>
      </c>
      <c r="B1009">
        <v>112</v>
      </c>
      <c r="C1009" t="str">
        <f>IFERROR(_xlfn.XLOOKUP(B1009, Customer!A:A, Customer!B:B), "Unknown Customer")</f>
        <v>Amir Fallahi</v>
      </c>
      <c r="D1009" s="1">
        <v>45713</v>
      </c>
      <c r="E1009" t="s">
        <v>18</v>
      </c>
      <c r="F1009" t="s">
        <v>14</v>
      </c>
      <c r="G1009">
        <v>4</v>
      </c>
      <c r="H1009" t="s">
        <v>11</v>
      </c>
      <c r="I1009" s="2">
        <v>55000</v>
      </c>
      <c r="J1009" t="s">
        <v>12</v>
      </c>
      <c r="K1009" s="3">
        <f t="shared" si="30"/>
        <v>220000</v>
      </c>
      <c r="L1009" t="str">
        <f t="shared" si="31"/>
        <v>2025-02</v>
      </c>
    </row>
    <row r="1010" spans="1:12" x14ac:dyDescent="0.25">
      <c r="A1010">
        <v>2012</v>
      </c>
      <c r="B1010">
        <v>51</v>
      </c>
      <c r="C1010" t="str">
        <f>IFERROR(_xlfn.XLOOKUP(B1010, Customer!A:A, Customer!B:B), "Unknown Customer")</f>
        <v>Azadeh Karimi</v>
      </c>
      <c r="D1010" s="1">
        <v>45815</v>
      </c>
      <c r="E1010" t="s">
        <v>22</v>
      </c>
      <c r="F1010" t="s">
        <v>14</v>
      </c>
      <c r="G1010">
        <v>4</v>
      </c>
      <c r="H1010" t="s">
        <v>11</v>
      </c>
      <c r="I1010" s="2">
        <v>60000</v>
      </c>
      <c r="J1010" t="s">
        <v>19</v>
      </c>
      <c r="K1010" s="3">
        <f t="shared" si="30"/>
        <v>240000</v>
      </c>
      <c r="L1010" t="str">
        <f t="shared" si="31"/>
        <v>2025-06</v>
      </c>
    </row>
    <row r="1011" spans="1:12" x14ac:dyDescent="0.25">
      <c r="A1011">
        <v>2013</v>
      </c>
      <c r="B1011">
        <v>100</v>
      </c>
      <c r="C1011" t="str">
        <f>IFERROR(_xlfn.XLOOKUP(B1011, Customer!A:A, Customer!B:B), "Unknown Customer")</f>
        <v>Leila Hosseini</v>
      </c>
      <c r="D1011" s="1">
        <v>45696</v>
      </c>
      <c r="E1011" t="s">
        <v>22</v>
      </c>
      <c r="F1011" t="s">
        <v>14</v>
      </c>
      <c r="G1011">
        <v>3</v>
      </c>
      <c r="H1011" t="s">
        <v>11</v>
      </c>
      <c r="I1011" s="2">
        <v>60000</v>
      </c>
      <c r="J1011" t="s">
        <v>24</v>
      </c>
      <c r="K1011" s="3">
        <f t="shared" si="30"/>
        <v>180000</v>
      </c>
      <c r="L1011" t="str">
        <f t="shared" si="31"/>
        <v>2025-02</v>
      </c>
    </row>
    <row r="1012" spans="1:12" x14ac:dyDescent="0.25">
      <c r="A1012">
        <v>2014</v>
      </c>
      <c r="B1012">
        <v>23</v>
      </c>
      <c r="C1012" t="str">
        <f>IFERROR(_xlfn.XLOOKUP(B1012, Customer!A:A, Customer!B:B), "Unknown Customer")</f>
        <v>Milad Rezaei</v>
      </c>
      <c r="D1012" s="1">
        <v>45753</v>
      </c>
      <c r="E1012" t="s">
        <v>25</v>
      </c>
      <c r="F1012" t="s">
        <v>10</v>
      </c>
      <c r="G1012">
        <v>1</v>
      </c>
      <c r="H1012" t="s">
        <v>11</v>
      </c>
      <c r="I1012" s="2">
        <v>65000</v>
      </c>
      <c r="J1012" t="s">
        <v>15</v>
      </c>
      <c r="K1012" s="3">
        <f t="shared" si="30"/>
        <v>65000</v>
      </c>
      <c r="L1012" t="str">
        <f t="shared" si="31"/>
        <v>2025-04</v>
      </c>
    </row>
    <row r="1013" spans="1:12" x14ac:dyDescent="0.25">
      <c r="A1013">
        <v>2015</v>
      </c>
      <c r="B1013">
        <v>73</v>
      </c>
      <c r="C1013" t="str">
        <f>IFERROR(_xlfn.XLOOKUP(B1013, Customer!A:A, Customer!B:B), "Unknown Customer")</f>
        <v>Niloofar Ebrahimi</v>
      </c>
      <c r="D1013" s="1">
        <v>45753</v>
      </c>
      <c r="E1013" t="s">
        <v>30</v>
      </c>
      <c r="F1013" t="s">
        <v>14</v>
      </c>
      <c r="G1013">
        <v>3</v>
      </c>
      <c r="H1013" t="s">
        <v>11</v>
      </c>
      <c r="I1013" s="2">
        <v>48000</v>
      </c>
      <c r="J1013" t="s">
        <v>15</v>
      </c>
      <c r="K1013" s="3">
        <f t="shared" si="30"/>
        <v>144000</v>
      </c>
      <c r="L1013" t="str">
        <f t="shared" si="31"/>
        <v>2025-04</v>
      </c>
    </row>
    <row r="1014" spans="1:12" x14ac:dyDescent="0.25">
      <c r="A1014">
        <v>2016</v>
      </c>
      <c r="B1014">
        <v>57</v>
      </c>
      <c r="C1014" t="str">
        <f>IFERROR(_xlfn.XLOOKUP(B1014, Customer!A:A, Customer!B:B), "Unknown Customer")</f>
        <v>Parisa Sadeghi</v>
      </c>
      <c r="D1014" s="1">
        <v>45977</v>
      </c>
      <c r="E1014" t="s">
        <v>27</v>
      </c>
      <c r="F1014" t="s">
        <v>14</v>
      </c>
      <c r="G1014">
        <v>1</v>
      </c>
      <c r="H1014" t="s">
        <v>11</v>
      </c>
      <c r="I1014" s="2">
        <v>35000</v>
      </c>
      <c r="J1014" t="s">
        <v>19</v>
      </c>
      <c r="K1014" s="3">
        <f t="shared" si="30"/>
        <v>35000</v>
      </c>
      <c r="L1014" t="str">
        <f t="shared" si="31"/>
        <v>2025-11</v>
      </c>
    </row>
    <row r="1015" spans="1:12" x14ac:dyDescent="0.25">
      <c r="A1015">
        <v>2017</v>
      </c>
      <c r="B1015">
        <v>36</v>
      </c>
      <c r="C1015" t="str">
        <f>IFERROR(_xlfn.XLOOKUP(B1015, Customer!A:A, Customer!B:B), "Unknown Customer")</f>
        <v>Payam Rezaei</v>
      </c>
      <c r="D1015" s="1">
        <v>45833</v>
      </c>
      <c r="E1015" t="s">
        <v>18</v>
      </c>
      <c r="F1015" t="s">
        <v>14</v>
      </c>
      <c r="G1015">
        <v>2</v>
      </c>
      <c r="H1015" t="s">
        <v>11</v>
      </c>
      <c r="I1015" s="2">
        <v>55000</v>
      </c>
      <c r="J1015" t="s">
        <v>19</v>
      </c>
      <c r="K1015" s="3">
        <f t="shared" si="30"/>
        <v>110000</v>
      </c>
      <c r="L1015" t="str">
        <f t="shared" si="31"/>
        <v>2025-06</v>
      </c>
    </row>
    <row r="1016" spans="1:12" x14ac:dyDescent="0.25">
      <c r="A1016">
        <v>2018</v>
      </c>
      <c r="B1016">
        <v>8</v>
      </c>
      <c r="C1016" t="str">
        <f>IFERROR(_xlfn.XLOOKUP(B1016, Customer!A:A, Customer!B:B), "Unknown Customer")</f>
        <v>Milad Norouzi</v>
      </c>
      <c r="D1016" s="1">
        <v>45661</v>
      </c>
      <c r="E1016" t="s">
        <v>9</v>
      </c>
      <c r="F1016" t="s">
        <v>10</v>
      </c>
      <c r="G1016">
        <v>1</v>
      </c>
      <c r="H1016" t="s">
        <v>11</v>
      </c>
      <c r="I1016" s="2">
        <v>62000</v>
      </c>
      <c r="J1016" t="s">
        <v>15</v>
      </c>
      <c r="K1016" s="3">
        <f t="shared" si="30"/>
        <v>62000</v>
      </c>
      <c r="L1016" t="str">
        <f t="shared" si="31"/>
        <v>2025-01</v>
      </c>
    </row>
    <row r="1017" spans="1:12" x14ac:dyDescent="0.25">
      <c r="A1017">
        <v>2019</v>
      </c>
      <c r="B1017">
        <v>78</v>
      </c>
      <c r="C1017" t="str">
        <f>IFERROR(_xlfn.XLOOKUP(B1017, Customer!A:A, Customer!B:B), "Unknown Customer")</f>
        <v>Elham Karimi</v>
      </c>
      <c r="D1017" s="1">
        <v>45794</v>
      </c>
      <c r="E1017" t="s">
        <v>23</v>
      </c>
      <c r="F1017" t="s">
        <v>17</v>
      </c>
      <c r="G1017">
        <v>4</v>
      </c>
      <c r="H1017" t="s">
        <v>11</v>
      </c>
      <c r="I1017" s="2">
        <v>85000</v>
      </c>
      <c r="J1017" t="s">
        <v>21</v>
      </c>
      <c r="K1017" s="3">
        <f t="shared" si="30"/>
        <v>340000</v>
      </c>
      <c r="L1017" t="str">
        <f t="shared" si="31"/>
        <v>2025-05</v>
      </c>
    </row>
    <row r="1018" spans="1:12" x14ac:dyDescent="0.25">
      <c r="A1018">
        <v>2020</v>
      </c>
      <c r="B1018">
        <v>48</v>
      </c>
      <c r="C1018" t="str">
        <f>IFERROR(_xlfn.XLOOKUP(B1018, Customer!A:A, Customer!B:B), "Unknown Customer")</f>
        <v>Hamed Jafari</v>
      </c>
      <c r="D1018" s="1">
        <v>45833</v>
      </c>
      <c r="E1018" t="s">
        <v>27</v>
      </c>
      <c r="F1018" t="s">
        <v>14</v>
      </c>
      <c r="G1018">
        <v>1</v>
      </c>
      <c r="H1018" t="s">
        <v>11</v>
      </c>
      <c r="I1018" s="2">
        <v>35000</v>
      </c>
      <c r="J1018" t="s">
        <v>21</v>
      </c>
      <c r="K1018" s="3">
        <f t="shared" si="30"/>
        <v>35000</v>
      </c>
      <c r="L1018" t="str">
        <f t="shared" si="31"/>
        <v>2025-06</v>
      </c>
    </row>
    <row r="1019" spans="1:12" x14ac:dyDescent="0.25">
      <c r="A1019">
        <v>2021</v>
      </c>
      <c r="B1019">
        <v>112</v>
      </c>
      <c r="C1019" t="str">
        <f>IFERROR(_xlfn.XLOOKUP(B1019, Customer!A:A, Customer!B:B), "Unknown Customer")</f>
        <v>Amir Fallahi</v>
      </c>
      <c r="D1019" s="1">
        <v>45709</v>
      </c>
      <c r="E1019" t="s">
        <v>25</v>
      </c>
      <c r="F1019" t="s">
        <v>10</v>
      </c>
      <c r="G1019">
        <v>4</v>
      </c>
      <c r="H1019" t="s">
        <v>11</v>
      </c>
      <c r="I1019" s="2">
        <v>65000</v>
      </c>
      <c r="J1019" t="s">
        <v>32</v>
      </c>
      <c r="K1019" s="3">
        <f t="shared" si="30"/>
        <v>260000</v>
      </c>
      <c r="L1019" t="str">
        <f t="shared" si="31"/>
        <v>2025-02</v>
      </c>
    </row>
    <row r="1020" spans="1:12" x14ac:dyDescent="0.25">
      <c r="A1020">
        <v>2022</v>
      </c>
      <c r="B1020">
        <v>78</v>
      </c>
      <c r="C1020" t="str">
        <f>IFERROR(_xlfn.XLOOKUP(B1020, Customer!A:A, Customer!B:B), "Unknown Customer")</f>
        <v>Elham Karimi</v>
      </c>
      <c r="D1020" s="1">
        <v>45929</v>
      </c>
      <c r="E1020" t="s">
        <v>18</v>
      </c>
      <c r="F1020" t="s">
        <v>14</v>
      </c>
      <c r="G1020">
        <v>1</v>
      </c>
      <c r="H1020" t="s">
        <v>11</v>
      </c>
      <c r="I1020" s="2">
        <v>55000</v>
      </c>
      <c r="J1020" t="s">
        <v>28</v>
      </c>
      <c r="K1020" s="3">
        <f t="shared" si="30"/>
        <v>55000</v>
      </c>
      <c r="L1020" t="str">
        <f t="shared" si="31"/>
        <v>2025-09</v>
      </c>
    </row>
    <row r="1021" spans="1:12" x14ac:dyDescent="0.25">
      <c r="A1021">
        <v>2023</v>
      </c>
      <c r="B1021">
        <v>53</v>
      </c>
      <c r="C1021" t="str">
        <f>IFERROR(_xlfn.XLOOKUP(B1021, Customer!A:A, Customer!B:B), "Unknown Customer")</f>
        <v>Azadeh Moradi</v>
      </c>
      <c r="D1021" s="1">
        <v>45842</v>
      </c>
      <c r="E1021" t="s">
        <v>27</v>
      </c>
      <c r="F1021" t="s">
        <v>14</v>
      </c>
      <c r="G1021">
        <v>1</v>
      </c>
      <c r="H1021" t="s">
        <v>11</v>
      </c>
      <c r="I1021" s="2">
        <v>35000</v>
      </c>
      <c r="J1021" t="s">
        <v>12</v>
      </c>
      <c r="K1021" s="3">
        <f t="shared" si="30"/>
        <v>35000</v>
      </c>
      <c r="L1021" t="str">
        <f t="shared" si="31"/>
        <v>2025-07</v>
      </c>
    </row>
    <row r="1022" spans="1:12" x14ac:dyDescent="0.25">
      <c r="A1022">
        <v>2024</v>
      </c>
      <c r="B1022">
        <v>57</v>
      </c>
      <c r="C1022" t="str">
        <f>IFERROR(_xlfn.XLOOKUP(B1022, Customer!A:A, Customer!B:B), "Unknown Customer")</f>
        <v>Parisa Sadeghi</v>
      </c>
      <c r="D1022" s="1">
        <v>45849</v>
      </c>
      <c r="E1022" t="s">
        <v>30</v>
      </c>
      <c r="F1022" t="s">
        <v>14</v>
      </c>
      <c r="G1022">
        <v>3</v>
      </c>
      <c r="H1022" t="s">
        <v>11</v>
      </c>
      <c r="I1022" s="2">
        <v>53000</v>
      </c>
      <c r="J1022" t="s">
        <v>15</v>
      </c>
      <c r="K1022" s="3">
        <f t="shared" si="30"/>
        <v>159000</v>
      </c>
      <c r="L1022" t="str">
        <f t="shared" si="31"/>
        <v>2025-07</v>
      </c>
    </row>
    <row r="1023" spans="1:12" x14ac:dyDescent="0.25">
      <c r="A1023">
        <v>2025</v>
      </c>
      <c r="B1023">
        <v>96</v>
      </c>
      <c r="C1023" t="str">
        <f>IFERROR(_xlfn.XLOOKUP(B1023, Customer!A:A, Customer!B:B), "Unknown Customer")</f>
        <v>Milad Norouzi</v>
      </c>
      <c r="D1023" s="1">
        <v>45995</v>
      </c>
      <c r="E1023" t="s">
        <v>16</v>
      </c>
      <c r="F1023" t="s">
        <v>17</v>
      </c>
      <c r="G1023">
        <v>3</v>
      </c>
      <c r="H1023" t="s">
        <v>11</v>
      </c>
      <c r="I1023" s="2">
        <v>75000</v>
      </c>
      <c r="J1023" t="s">
        <v>12</v>
      </c>
      <c r="K1023" s="3">
        <f t="shared" si="30"/>
        <v>225000</v>
      </c>
      <c r="L1023" t="str">
        <f t="shared" si="31"/>
        <v>2025-12</v>
      </c>
    </row>
    <row r="1024" spans="1:12" x14ac:dyDescent="0.25">
      <c r="A1024">
        <v>2026</v>
      </c>
      <c r="B1024">
        <v>19</v>
      </c>
      <c r="C1024" t="str">
        <f>IFERROR(_xlfn.XLOOKUP(B1024, Customer!A:A, Customer!B:B), "Unknown Customer")</f>
        <v>Leila Sadeghi</v>
      </c>
      <c r="D1024" s="1">
        <v>45950</v>
      </c>
      <c r="E1024" t="s">
        <v>23</v>
      </c>
      <c r="F1024" t="s">
        <v>17</v>
      </c>
      <c r="G1024">
        <v>1</v>
      </c>
      <c r="H1024" t="s">
        <v>11</v>
      </c>
      <c r="I1024" s="2">
        <v>85000</v>
      </c>
      <c r="J1024" t="s">
        <v>12</v>
      </c>
      <c r="K1024" s="3">
        <f t="shared" si="30"/>
        <v>85000</v>
      </c>
      <c r="L1024" t="str">
        <f t="shared" si="31"/>
        <v>2025-10</v>
      </c>
    </row>
    <row r="1025" spans="1:12" x14ac:dyDescent="0.25">
      <c r="A1025">
        <v>2027</v>
      </c>
      <c r="B1025">
        <v>71</v>
      </c>
      <c r="C1025" t="str">
        <f>IFERROR(_xlfn.XLOOKUP(B1025, Customer!A:A, Customer!B:B), "Unknown Customer")</f>
        <v>Milad Mousavi</v>
      </c>
      <c r="D1025" s="1">
        <v>45744</v>
      </c>
      <c r="E1025" t="s">
        <v>16</v>
      </c>
      <c r="F1025" t="s">
        <v>17</v>
      </c>
      <c r="G1025">
        <v>2</v>
      </c>
      <c r="H1025" t="s">
        <v>11</v>
      </c>
      <c r="I1025" s="2">
        <v>80000</v>
      </c>
      <c r="J1025" t="s">
        <v>24</v>
      </c>
      <c r="K1025" s="3">
        <f t="shared" si="30"/>
        <v>160000</v>
      </c>
      <c r="L1025" t="str">
        <f t="shared" si="31"/>
        <v>2025-03</v>
      </c>
    </row>
    <row r="1026" spans="1:12" x14ac:dyDescent="0.25">
      <c r="A1026">
        <v>2028</v>
      </c>
      <c r="B1026">
        <v>22</v>
      </c>
      <c r="C1026" t="str">
        <f>IFERROR(_xlfn.XLOOKUP(B1026, Customer!A:A, Customer!B:B), "Unknown Customer")</f>
        <v>Amir Yousefi</v>
      </c>
      <c r="D1026" s="1">
        <v>46016</v>
      </c>
      <c r="E1026" t="s">
        <v>27</v>
      </c>
      <c r="F1026" t="s">
        <v>14</v>
      </c>
      <c r="G1026">
        <v>2</v>
      </c>
      <c r="H1026" t="s">
        <v>11</v>
      </c>
      <c r="I1026" s="2">
        <v>30000</v>
      </c>
      <c r="J1026" t="s">
        <v>15</v>
      </c>
      <c r="K1026" s="3">
        <f t="shared" si="30"/>
        <v>60000</v>
      </c>
      <c r="L1026" t="str">
        <f t="shared" si="31"/>
        <v>2025-12</v>
      </c>
    </row>
    <row r="1027" spans="1:12" x14ac:dyDescent="0.25">
      <c r="A1027">
        <v>2029</v>
      </c>
      <c r="B1027">
        <v>99</v>
      </c>
      <c r="C1027" t="str">
        <f>IFERROR(_xlfn.XLOOKUP(B1027, Customer!A:A, Customer!B:B), "Unknown Customer")</f>
        <v>Behnam Ahmadi</v>
      </c>
      <c r="D1027" s="1">
        <v>45770</v>
      </c>
      <c r="E1027" t="s">
        <v>9</v>
      </c>
      <c r="F1027" t="s">
        <v>10</v>
      </c>
      <c r="G1027">
        <v>3</v>
      </c>
      <c r="H1027" t="s">
        <v>11</v>
      </c>
      <c r="I1027" s="2">
        <v>62000</v>
      </c>
      <c r="J1027" t="s">
        <v>12</v>
      </c>
      <c r="K1027" s="3">
        <f t="shared" ref="K1027:K1090" si="32">G1027*I1027</f>
        <v>186000</v>
      </c>
      <c r="L1027" t="str">
        <f t="shared" ref="L1027:L1090" si="33">TEXT(D1027,"YYYY-MM")</f>
        <v>2025-04</v>
      </c>
    </row>
    <row r="1028" spans="1:12" x14ac:dyDescent="0.25">
      <c r="A1028">
        <v>2030</v>
      </c>
      <c r="B1028">
        <v>18</v>
      </c>
      <c r="C1028" t="str">
        <f>IFERROR(_xlfn.XLOOKUP(B1028, Customer!A:A, Customer!B:B), "Unknown Customer")</f>
        <v>Niloofar Abbasi</v>
      </c>
      <c r="D1028" s="1">
        <v>45982</v>
      </c>
      <c r="E1028" t="s">
        <v>23</v>
      </c>
      <c r="F1028" t="s">
        <v>17</v>
      </c>
      <c r="G1028">
        <v>1</v>
      </c>
      <c r="H1028" t="s">
        <v>11</v>
      </c>
      <c r="I1028" s="2">
        <v>85000</v>
      </c>
      <c r="J1028" t="s">
        <v>12</v>
      </c>
      <c r="K1028" s="3">
        <f t="shared" si="32"/>
        <v>85000</v>
      </c>
      <c r="L1028" t="str">
        <f t="shared" si="33"/>
        <v>2025-11</v>
      </c>
    </row>
    <row r="1029" spans="1:12" x14ac:dyDescent="0.25">
      <c r="A1029">
        <v>2031</v>
      </c>
      <c r="B1029">
        <v>44</v>
      </c>
      <c r="C1029" t="str">
        <f>IFERROR(_xlfn.XLOOKUP(B1029, Customer!A:A, Customer!B:B), "Unknown Customer")</f>
        <v>Payam Abbasi</v>
      </c>
      <c r="D1029" s="1">
        <v>45853</v>
      </c>
      <c r="E1029" t="s">
        <v>31</v>
      </c>
      <c r="F1029" t="s">
        <v>17</v>
      </c>
      <c r="G1029">
        <v>-4</v>
      </c>
      <c r="H1029" t="s">
        <v>26</v>
      </c>
      <c r="I1029" s="2">
        <v>40000</v>
      </c>
      <c r="J1029" t="s">
        <v>19</v>
      </c>
      <c r="K1029" s="3">
        <f t="shared" si="32"/>
        <v>-160000</v>
      </c>
      <c r="L1029" t="str">
        <f t="shared" si="33"/>
        <v>2025-07</v>
      </c>
    </row>
    <row r="1030" spans="1:12" x14ac:dyDescent="0.25">
      <c r="A1030">
        <v>2032</v>
      </c>
      <c r="B1030">
        <v>38</v>
      </c>
      <c r="C1030" t="str">
        <f>IFERROR(_xlfn.XLOOKUP(B1030, Customer!A:A, Customer!B:B), "Unknown Customer")</f>
        <v>Setareh Naderi</v>
      </c>
      <c r="D1030" s="1">
        <v>45715</v>
      </c>
      <c r="E1030" t="s">
        <v>18</v>
      </c>
      <c r="F1030" t="s">
        <v>14</v>
      </c>
      <c r="G1030">
        <v>3</v>
      </c>
      <c r="H1030" t="s">
        <v>11</v>
      </c>
      <c r="I1030" s="2">
        <v>60000</v>
      </c>
      <c r="J1030" t="s">
        <v>28</v>
      </c>
      <c r="K1030" s="3">
        <f t="shared" si="32"/>
        <v>180000</v>
      </c>
      <c r="L1030" t="str">
        <f t="shared" si="33"/>
        <v>2025-02</v>
      </c>
    </row>
    <row r="1031" spans="1:12" x14ac:dyDescent="0.25">
      <c r="A1031">
        <v>2033</v>
      </c>
      <c r="B1031">
        <v>48</v>
      </c>
      <c r="C1031" t="str">
        <f>IFERROR(_xlfn.XLOOKUP(B1031, Customer!A:A, Customer!B:B), "Unknown Customer")</f>
        <v>Hamed Jafari</v>
      </c>
      <c r="D1031" s="1">
        <v>45818</v>
      </c>
      <c r="E1031" t="s">
        <v>13</v>
      </c>
      <c r="F1031" t="s">
        <v>14</v>
      </c>
      <c r="G1031">
        <v>1</v>
      </c>
      <c r="H1031" t="s">
        <v>11</v>
      </c>
      <c r="I1031" s="2">
        <v>53000</v>
      </c>
      <c r="J1031" t="s">
        <v>15</v>
      </c>
      <c r="K1031" s="3">
        <f t="shared" si="32"/>
        <v>53000</v>
      </c>
      <c r="L1031" t="str">
        <f t="shared" si="33"/>
        <v>2025-06</v>
      </c>
    </row>
    <row r="1032" spans="1:12" x14ac:dyDescent="0.25">
      <c r="A1032">
        <v>2034</v>
      </c>
      <c r="B1032">
        <v>55</v>
      </c>
      <c r="C1032" t="str">
        <f>IFERROR(_xlfn.XLOOKUP(B1032, Customer!A:A, Customer!B:B), "Unknown Customer")</f>
        <v>Payam Jafari</v>
      </c>
      <c r="D1032" s="1">
        <v>45844</v>
      </c>
      <c r="E1032" t="s">
        <v>25</v>
      </c>
      <c r="F1032" t="s">
        <v>10</v>
      </c>
      <c r="G1032">
        <v>2</v>
      </c>
      <c r="H1032" t="s">
        <v>11</v>
      </c>
      <c r="I1032" s="2">
        <v>70000</v>
      </c>
      <c r="J1032" t="s">
        <v>19</v>
      </c>
      <c r="K1032" s="3">
        <f t="shared" si="32"/>
        <v>140000</v>
      </c>
      <c r="L1032" t="str">
        <f t="shared" si="33"/>
        <v>2025-07</v>
      </c>
    </row>
    <row r="1033" spans="1:12" x14ac:dyDescent="0.25">
      <c r="A1033">
        <v>2035</v>
      </c>
      <c r="B1033">
        <v>51</v>
      </c>
      <c r="C1033" t="str">
        <f>IFERROR(_xlfn.XLOOKUP(B1033, Customer!A:A, Customer!B:B), "Unknown Customer")</f>
        <v>Azadeh Karimi</v>
      </c>
      <c r="D1033" s="1">
        <v>45726</v>
      </c>
      <c r="E1033" t="s">
        <v>29</v>
      </c>
      <c r="F1033" t="s">
        <v>14</v>
      </c>
      <c r="G1033">
        <v>1</v>
      </c>
      <c r="H1033" t="s">
        <v>11</v>
      </c>
      <c r="I1033" s="2">
        <v>45000</v>
      </c>
      <c r="J1033" t="s">
        <v>12</v>
      </c>
      <c r="K1033" s="3">
        <f t="shared" si="32"/>
        <v>45000</v>
      </c>
      <c r="L1033" t="str">
        <f t="shared" si="33"/>
        <v>2025-03</v>
      </c>
    </row>
    <row r="1034" spans="1:12" x14ac:dyDescent="0.25">
      <c r="A1034">
        <v>2036</v>
      </c>
      <c r="B1034">
        <v>59</v>
      </c>
      <c r="C1034" t="str">
        <f>IFERROR(_xlfn.XLOOKUP(B1034, Customer!A:A, Customer!B:B), "Unknown Customer")</f>
        <v>Niloofar Hosseini</v>
      </c>
      <c r="D1034" s="1">
        <v>45965</v>
      </c>
      <c r="E1034" t="s">
        <v>13</v>
      </c>
      <c r="F1034" t="s">
        <v>14</v>
      </c>
      <c r="G1034">
        <v>3</v>
      </c>
      <c r="H1034" t="s">
        <v>11</v>
      </c>
      <c r="I1034" s="2">
        <v>53000</v>
      </c>
      <c r="J1034" t="s">
        <v>21</v>
      </c>
      <c r="K1034" s="3">
        <f t="shared" si="32"/>
        <v>159000</v>
      </c>
      <c r="L1034" t="str">
        <f t="shared" si="33"/>
        <v>2025-11</v>
      </c>
    </row>
    <row r="1035" spans="1:12" x14ac:dyDescent="0.25">
      <c r="A1035">
        <v>2037</v>
      </c>
      <c r="B1035">
        <v>65</v>
      </c>
      <c r="C1035" t="str">
        <f>IFERROR(_xlfn.XLOOKUP(B1035, Customer!A:A, Customer!B:B), "Unknown Customer")</f>
        <v>Yasaman Norouzi</v>
      </c>
      <c r="D1035" s="1">
        <v>45780</v>
      </c>
      <c r="E1035" t="s">
        <v>22</v>
      </c>
      <c r="F1035" t="s">
        <v>14</v>
      </c>
      <c r="G1035">
        <v>3</v>
      </c>
      <c r="H1035" t="s">
        <v>11</v>
      </c>
      <c r="I1035" s="2">
        <v>60000</v>
      </c>
      <c r="J1035" t="s">
        <v>12</v>
      </c>
      <c r="K1035" s="3">
        <f t="shared" si="32"/>
        <v>180000</v>
      </c>
      <c r="L1035" t="str">
        <f t="shared" si="33"/>
        <v>2025-05</v>
      </c>
    </row>
    <row r="1036" spans="1:12" x14ac:dyDescent="0.25">
      <c r="A1036">
        <v>2038</v>
      </c>
      <c r="B1036">
        <v>118</v>
      </c>
      <c r="C1036" t="str">
        <f>IFERROR(_xlfn.XLOOKUP(B1036, Customer!A:A, Customer!B:B), "Unknown Customer")</f>
        <v>Hamed Rezaei</v>
      </c>
      <c r="D1036" s="1">
        <v>45688</v>
      </c>
      <c r="E1036" t="s">
        <v>31</v>
      </c>
      <c r="F1036" t="s">
        <v>17</v>
      </c>
      <c r="G1036">
        <v>4</v>
      </c>
      <c r="H1036" t="s">
        <v>11</v>
      </c>
      <c r="I1036" s="2">
        <v>40000</v>
      </c>
      <c r="J1036" t="s">
        <v>12</v>
      </c>
      <c r="K1036" s="3">
        <f t="shared" si="32"/>
        <v>160000</v>
      </c>
      <c r="L1036" t="str">
        <f t="shared" si="33"/>
        <v>2025-01</v>
      </c>
    </row>
    <row r="1037" spans="1:12" x14ac:dyDescent="0.25">
      <c r="A1037">
        <v>2039</v>
      </c>
      <c r="B1037">
        <v>95</v>
      </c>
      <c r="C1037" t="str">
        <f>IFERROR(_xlfn.XLOOKUP(B1037, Customer!A:A, Customer!B:B), "Unknown Customer")</f>
        <v>Elham Norouzi</v>
      </c>
      <c r="D1037" s="1">
        <v>45692</v>
      </c>
      <c r="E1037" t="s">
        <v>29</v>
      </c>
      <c r="F1037" t="s">
        <v>14</v>
      </c>
      <c r="G1037">
        <v>1</v>
      </c>
      <c r="H1037" t="s">
        <v>11</v>
      </c>
      <c r="I1037" s="2">
        <v>45000</v>
      </c>
      <c r="J1037" t="s">
        <v>21</v>
      </c>
      <c r="K1037" s="3">
        <f t="shared" si="32"/>
        <v>45000</v>
      </c>
      <c r="L1037" t="str">
        <f t="shared" si="33"/>
        <v>2025-02</v>
      </c>
    </row>
    <row r="1038" spans="1:12" x14ac:dyDescent="0.25">
      <c r="A1038">
        <v>2040</v>
      </c>
      <c r="B1038">
        <v>55</v>
      </c>
      <c r="C1038" t="str">
        <f>IFERROR(_xlfn.XLOOKUP(B1038, Customer!A:A, Customer!B:B), "Unknown Customer")</f>
        <v>Payam Jafari</v>
      </c>
      <c r="D1038" s="1">
        <v>45900</v>
      </c>
      <c r="E1038" t="s">
        <v>27</v>
      </c>
      <c r="F1038" t="s">
        <v>14</v>
      </c>
      <c r="G1038">
        <v>2</v>
      </c>
      <c r="H1038" t="s">
        <v>11</v>
      </c>
      <c r="I1038" s="2">
        <v>30000</v>
      </c>
      <c r="J1038" t="s">
        <v>21</v>
      </c>
      <c r="K1038" s="3">
        <f t="shared" si="32"/>
        <v>60000</v>
      </c>
      <c r="L1038" t="str">
        <f t="shared" si="33"/>
        <v>2025-08</v>
      </c>
    </row>
    <row r="1039" spans="1:12" x14ac:dyDescent="0.25">
      <c r="A1039">
        <v>2041</v>
      </c>
      <c r="B1039">
        <v>90</v>
      </c>
      <c r="C1039" t="str">
        <f>IFERROR(_xlfn.XLOOKUP(B1039, Customer!A:A, Customer!B:B), "Unknown Customer")</f>
        <v>Yasaman Karimi</v>
      </c>
      <c r="D1039" s="1">
        <v>46016</v>
      </c>
      <c r="E1039" t="s">
        <v>30</v>
      </c>
      <c r="F1039" t="s">
        <v>14</v>
      </c>
      <c r="G1039">
        <v>1</v>
      </c>
      <c r="H1039" t="s">
        <v>11</v>
      </c>
      <c r="I1039" s="2">
        <v>48000</v>
      </c>
      <c r="J1039" t="s">
        <v>12</v>
      </c>
      <c r="K1039" s="3">
        <f t="shared" si="32"/>
        <v>48000</v>
      </c>
      <c r="L1039" t="str">
        <f t="shared" si="33"/>
        <v>2025-12</v>
      </c>
    </row>
    <row r="1040" spans="1:12" x14ac:dyDescent="0.25">
      <c r="A1040">
        <v>2042</v>
      </c>
      <c r="B1040">
        <v>39</v>
      </c>
      <c r="C1040" t="str">
        <f>IFERROR(_xlfn.XLOOKUP(B1040, Customer!A:A, Customer!B:B), "Unknown Customer")</f>
        <v>Mona Ghasemi</v>
      </c>
      <c r="D1040" s="1">
        <v>45993</v>
      </c>
      <c r="E1040" t="s">
        <v>16</v>
      </c>
      <c r="F1040" t="s">
        <v>17</v>
      </c>
      <c r="G1040">
        <v>2</v>
      </c>
      <c r="H1040" t="s">
        <v>11</v>
      </c>
      <c r="I1040" s="2">
        <v>75000</v>
      </c>
      <c r="J1040" t="s">
        <v>24</v>
      </c>
      <c r="K1040" s="3">
        <f t="shared" si="32"/>
        <v>150000</v>
      </c>
      <c r="L1040" t="str">
        <f t="shared" si="33"/>
        <v>2025-12</v>
      </c>
    </row>
    <row r="1041" spans="1:12" x14ac:dyDescent="0.25">
      <c r="A1041">
        <v>2043</v>
      </c>
      <c r="B1041">
        <v>28</v>
      </c>
      <c r="C1041" t="str">
        <f>IFERROR(_xlfn.XLOOKUP(B1041, Customer!A:A, Customer!B:B), "Unknown Customer")</f>
        <v>Yasaman Naderi</v>
      </c>
      <c r="D1041" s="1">
        <v>45758</v>
      </c>
      <c r="E1041" t="s">
        <v>22</v>
      </c>
      <c r="F1041" t="s">
        <v>14</v>
      </c>
      <c r="G1041">
        <v>1</v>
      </c>
      <c r="H1041" t="s">
        <v>11</v>
      </c>
      <c r="I1041" s="2">
        <v>65000</v>
      </c>
      <c r="J1041" t="s">
        <v>15</v>
      </c>
      <c r="K1041" s="3">
        <f t="shared" si="32"/>
        <v>65000</v>
      </c>
      <c r="L1041" t="str">
        <f t="shared" si="33"/>
        <v>2025-04</v>
      </c>
    </row>
    <row r="1042" spans="1:12" x14ac:dyDescent="0.25">
      <c r="A1042">
        <v>2044</v>
      </c>
      <c r="B1042">
        <v>55</v>
      </c>
      <c r="C1042" t="str">
        <f>IFERROR(_xlfn.XLOOKUP(B1042, Customer!A:A, Customer!B:B), "Unknown Customer")</f>
        <v>Payam Jafari</v>
      </c>
      <c r="D1042" s="1">
        <v>46005</v>
      </c>
      <c r="E1042" t="s">
        <v>31</v>
      </c>
      <c r="F1042" t="s">
        <v>17</v>
      </c>
      <c r="G1042">
        <v>1</v>
      </c>
      <c r="H1042" t="s">
        <v>11</v>
      </c>
      <c r="I1042" s="2">
        <v>40000</v>
      </c>
      <c r="J1042" t="s">
        <v>19</v>
      </c>
      <c r="K1042" s="3">
        <f t="shared" si="32"/>
        <v>40000</v>
      </c>
      <c r="L1042" t="str">
        <f t="shared" si="33"/>
        <v>2025-12</v>
      </c>
    </row>
    <row r="1043" spans="1:12" x14ac:dyDescent="0.25">
      <c r="A1043">
        <v>2045</v>
      </c>
      <c r="B1043">
        <v>16</v>
      </c>
      <c r="C1043" t="str">
        <f>IFERROR(_xlfn.XLOOKUP(B1043, Customer!A:A, Customer!B:B), "Unknown Customer")</f>
        <v>Milad Yousefi</v>
      </c>
      <c r="D1043" s="1">
        <v>45990</v>
      </c>
      <c r="E1043" t="s">
        <v>23</v>
      </c>
      <c r="F1043" t="s">
        <v>17</v>
      </c>
      <c r="G1043">
        <v>1</v>
      </c>
      <c r="H1043" t="s">
        <v>11</v>
      </c>
      <c r="I1043" s="2">
        <v>84857.142857142855</v>
      </c>
      <c r="J1043" t="s">
        <v>19</v>
      </c>
      <c r="K1043" s="3">
        <f t="shared" si="32"/>
        <v>84857.142857142855</v>
      </c>
      <c r="L1043" t="str">
        <f t="shared" si="33"/>
        <v>2025-11</v>
      </c>
    </row>
    <row r="1044" spans="1:12" x14ac:dyDescent="0.25">
      <c r="A1044">
        <v>2046</v>
      </c>
      <c r="B1044">
        <v>31</v>
      </c>
      <c r="C1044" t="str">
        <f>IFERROR(_xlfn.XLOOKUP(B1044, Customer!A:A, Customer!B:B), "Unknown Customer")</f>
        <v>Sara Karimi</v>
      </c>
      <c r="D1044" s="1">
        <v>45908</v>
      </c>
      <c r="E1044" t="s">
        <v>31</v>
      </c>
      <c r="F1044" t="s">
        <v>17</v>
      </c>
      <c r="G1044">
        <v>3</v>
      </c>
      <c r="H1044" t="s">
        <v>11</v>
      </c>
      <c r="I1044" s="2">
        <v>40000</v>
      </c>
      <c r="J1044" t="s">
        <v>32</v>
      </c>
      <c r="K1044" s="3">
        <f t="shared" si="32"/>
        <v>120000</v>
      </c>
      <c r="L1044" t="str">
        <f t="shared" si="33"/>
        <v>2025-09</v>
      </c>
    </row>
    <row r="1045" spans="1:12" x14ac:dyDescent="0.25">
      <c r="A1045">
        <v>2047</v>
      </c>
      <c r="B1045">
        <v>111</v>
      </c>
      <c r="C1045" t="str">
        <f>IFERROR(_xlfn.XLOOKUP(B1045, Customer!A:A, Customer!B:B), "Unknown Customer")</f>
        <v>Sepideh Yousefi</v>
      </c>
      <c r="D1045" s="1">
        <v>45853</v>
      </c>
      <c r="E1045" t="s">
        <v>27</v>
      </c>
      <c r="F1045" t="s">
        <v>14</v>
      </c>
      <c r="G1045">
        <v>1</v>
      </c>
      <c r="H1045" t="s">
        <v>11</v>
      </c>
      <c r="I1045" s="2">
        <v>30000</v>
      </c>
      <c r="J1045" t="s">
        <v>19</v>
      </c>
      <c r="K1045" s="3">
        <f t="shared" si="32"/>
        <v>30000</v>
      </c>
      <c r="L1045" t="str">
        <f t="shared" si="33"/>
        <v>2025-07</v>
      </c>
    </row>
    <row r="1046" spans="1:12" x14ac:dyDescent="0.25">
      <c r="A1046">
        <v>2048</v>
      </c>
      <c r="B1046">
        <v>16</v>
      </c>
      <c r="C1046" t="str">
        <f>IFERROR(_xlfn.XLOOKUP(B1046, Customer!A:A, Customer!B:B), "Unknown Customer")</f>
        <v>Milad Yousefi</v>
      </c>
      <c r="D1046" s="1">
        <v>45986</v>
      </c>
      <c r="E1046" t="s">
        <v>16</v>
      </c>
      <c r="F1046" t="s">
        <v>17</v>
      </c>
      <c r="G1046">
        <v>1</v>
      </c>
      <c r="H1046" t="s">
        <v>11</v>
      </c>
      <c r="I1046" s="2">
        <v>80000</v>
      </c>
      <c r="J1046" t="s">
        <v>21</v>
      </c>
      <c r="K1046" s="3">
        <f t="shared" si="32"/>
        <v>80000</v>
      </c>
      <c r="L1046" t="str">
        <f t="shared" si="33"/>
        <v>2025-11</v>
      </c>
    </row>
    <row r="1047" spans="1:12" x14ac:dyDescent="0.25">
      <c r="A1047">
        <v>2049</v>
      </c>
      <c r="B1047">
        <v>89</v>
      </c>
      <c r="C1047" t="str">
        <f>IFERROR(_xlfn.XLOOKUP(B1047, Customer!A:A, Customer!B:B), "Unknown Customer")</f>
        <v>Mona Moradi</v>
      </c>
      <c r="D1047" s="1">
        <v>45706</v>
      </c>
      <c r="E1047" t="s">
        <v>22</v>
      </c>
      <c r="F1047" t="s">
        <v>14</v>
      </c>
      <c r="G1047">
        <v>2</v>
      </c>
      <c r="H1047" t="s">
        <v>11</v>
      </c>
      <c r="I1047" s="2">
        <v>59954.128440366971</v>
      </c>
      <c r="J1047" t="s">
        <v>21</v>
      </c>
      <c r="K1047" s="3">
        <f t="shared" si="32"/>
        <v>119908.25688073394</v>
      </c>
      <c r="L1047" t="str">
        <f t="shared" si="33"/>
        <v>2025-02</v>
      </c>
    </row>
    <row r="1048" spans="1:12" x14ac:dyDescent="0.25">
      <c r="A1048">
        <v>2050</v>
      </c>
      <c r="B1048">
        <v>74</v>
      </c>
      <c r="C1048" t="str">
        <f>IFERROR(_xlfn.XLOOKUP(B1048, Customer!A:A, Customer!B:B), "Unknown Customer")</f>
        <v>Amir Vakili</v>
      </c>
      <c r="D1048" s="1">
        <v>45708</v>
      </c>
      <c r="E1048" t="s">
        <v>13</v>
      </c>
      <c r="F1048" t="s">
        <v>14</v>
      </c>
      <c r="G1048">
        <v>3</v>
      </c>
      <c r="H1048" t="s">
        <v>11</v>
      </c>
      <c r="I1048" s="2">
        <v>63000</v>
      </c>
      <c r="J1048" t="s">
        <v>12</v>
      </c>
      <c r="K1048" s="3">
        <f t="shared" si="32"/>
        <v>189000</v>
      </c>
      <c r="L1048" t="str">
        <f t="shared" si="33"/>
        <v>2025-02</v>
      </c>
    </row>
    <row r="1049" spans="1:12" x14ac:dyDescent="0.25">
      <c r="A1049">
        <v>2051</v>
      </c>
      <c r="B1049">
        <v>3</v>
      </c>
      <c r="C1049" t="str">
        <f>IFERROR(_xlfn.XLOOKUP(B1049, Customer!A:A, Customer!B:B), "Unknown Customer")</f>
        <v>Hamed Abbasi</v>
      </c>
      <c r="D1049" s="1">
        <v>46001</v>
      </c>
      <c r="E1049" t="s">
        <v>31</v>
      </c>
      <c r="F1049" t="s">
        <v>17</v>
      </c>
      <c r="G1049">
        <v>-1</v>
      </c>
      <c r="H1049" t="s">
        <v>26</v>
      </c>
      <c r="I1049" s="2">
        <v>45000</v>
      </c>
      <c r="J1049" t="s">
        <v>24</v>
      </c>
      <c r="K1049" s="3">
        <f t="shared" si="32"/>
        <v>-45000</v>
      </c>
      <c r="L1049" t="str">
        <f t="shared" si="33"/>
        <v>2025-12</v>
      </c>
    </row>
    <row r="1050" spans="1:12" x14ac:dyDescent="0.25">
      <c r="A1050">
        <v>2052</v>
      </c>
      <c r="B1050">
        <v>118</v>
      </c>
      <c r="C1050" t="str">
        <f>IFERROR(_xlfn.XLOOKUP(B1050, Customer!A:A, Customer!B:B), "Unknown Customer")</f>
        <v>Hamed Rezaei</v>
      </c>
      <c r="D1050" s="1">
        <v>45718</v>
      </c>
      <c r="E1050" t="s">
        <v>27</v>
      </c>
      <c r="F1050" t="s">
        <v>14</v>
      </c>
      <c r="G1050">
        <v>1</v>
      </c>
      <c r="H1050" t="s">
        <v>11</v>
      </c>
      <c r="I1050" s="2">
        <v>35000</v>
      </c>
      <c r="J1050" t="s">
        <v>19</v>
      </c>
      <c r="K1050" s="3">
        <f t="shared" si="32"/>
        <v>35000</v>
      </c>
      <c r="L1050" t="str">
        <f t="shared" si="33"/>
        <v>2025-03</v>
      </c>
    </row>
    <row r="1051" spans="1:12" x14ac:dyDescent="0.25">
      <c r="A1051">
        <v>2053</v>
      </c>
      <c r="B1051">
        <v>6</v>
      </c>
      <c r="C1051" t="str">
        <f>IFERROR(_xlfn.XLOOKUP(B1051, Customer!A:A, Customer!B:B), "Unknown Customer")</f>
        <v>Sepideh Mousavi</v>
      </c>
      <c r="D1051" s="1">
        <v>45952</v>
      </c>
      <c r="E1051" t="s">
        <v>13</v>
      </c>
      <c r="F1051" t="s">
        <v>14</v>
      </c>
      <c r="G1051">
        <v>1</v>
      </c>
      <c r="H1051" t="s">
        <v>11</v>
      </c>
      <c r="I1051" s="2">
        <v>63000</v>
      </c>
      <c r="J1051" t="s">
        <v>19</v>
      </c>
      <c r="K1051" s="3">
        <f t="shared" si="32"/>
        <v>63000</v>
      </c>
      <c r="L1051" t="str">
        <f t="shared" si="33"/>
        <v>2025-10</v>
      </c>
    </row>
    <row r="1052" spans="1:12" x14ac:dyDescent="0.25">
      <c r="A1052">
        <v>2054</v>
      </c>
      <c r="B1052">
        <v>16</v>
      </c>
      <c r="C1052" t="str">
        <f>IFERROR(_xlfn.XLOOKUP(B1052, Customer!A:A, Customer!B:B), "Unknown Customer")</f>
        <v>Milad Yousefi</v>
      </c>
      <c r="D1052" s="1">
        <v>45810</v>
      </c>
      <c r="E1052" t="s">
        <v>23</v>
      </c>
      <c r="F1052" t="s">
        <v>17</v>
      </c>
      <c r="G1052">
        <v>2</v>
      </c>
      <c r="H1052" t="s">
        <v>11</v>
      </c>
      <c r="I1052" s="2">
        <v>80000</v>
      </c>
      <c r="J1052" t="s">
        <v>19</v>
      </c>
      <c r="K1052" s="3">
        <f t="shared" si="32"/>
        <v>160000</v>
      </c>
      <c r="L1052" t="str">
        <f t="shared" si="33"/>
        <v>2025-06</v>
      </c>
    </row>
    <row r="1053" spans="1:12" x14ac:dyDescent="0.25">
      <c r="A1053">
        <v>2055</v>
      </c>
      <c r="B1053">
        <v>55</v>
      </c>
      <c r="C1053" t="str">
        <f>IFERROR(_xlfn.XLOOKUP(B1053, Customer!A:A, Customer!B:B), "Unknown Customer")</f>
        <v>Payam Jafari</v>
      </c>
      <c r="D1053" s="1">
        <v>45808</v>
      </c>
      <c r="E1053" t="s">
        <v>23</v>
      </c>
      <c r="F1053" t="s">
        <v>17</v>
      </c>
      <c r="G1053">
        <v>1</v>
      </c>
      <c r="H1053" t="s">
        <v>11</v>
      </c>
      <c r="I1053" s="2">
        <v>90000</v>
      </c>
      <c r="J1053" t="s">
        <v>28</v>
      </c>
      <c r="K1053" s="3">
        <f t="shared" si="32"/>
        <v>90000</v>
      </c>
      <c r="L1053" t="str">
        <f t="shared" si="33"/>
        <v>2025-05</v>
      </c>
    </row>
    <row r="1054" spans="1:12" x14ac:dyDescent="0.25">
      <c r="A1054">
        <v>2056</v>
      </c>
      <c r="B1054">
        <v>117</v>
      </c>
      <c r="C1054" t="str">
        <f>IFERROR(_xlfn.XLOOKUP(B1054, Customer!A:A, Customer!B:B), "Unknown Customer")</f>
        <v>Babak Naderi</v>
      </c>
      <c r="D1054" s="1">
        <v>45968</v>
      </c>
      <c r="E1054" t="s">
        <v>25</v>
      </c>
      <c r="F1054" t="s">
        <v>10</v>
      </c>
      <c r="G1054">
        <v>3</v>
      </c>
      <c r="H1054" t="s">
        <v>11</v>
      </c>
      <c r="I1054" s="2">
        <v>60000</v>
      </c>
      <c r="J1054" t="s">
        <v>24</v>
      </c>
      <c r="K1054" s="3">
        <f t="shared" si="32"/>
        <v>180000</v>
      </c>
      <c r="L1054" t="str">
        <f t="shared" si="33"/>
        <v>2025-11</v>
      </c>
    </row>
    <row r="1055" spans="1:12" x14ac:dyDescent="0.25">
      <c r="A1055">
        <v>2057</v>
      </c>
      <c r="B1055">
        <v>5</v>
      </c>
      <c r="C1055" t="str">
        <f>IFERROR(_xlfn.XLOOKUP(B1055, Customer!A:A, Customer!B:B), "Unknown Customer")</f>
        <v>Sara Sadeghi</v>
      </c>
      <c r="D1055" s="1">
        <v>45730</v>
      </c>
      <c r="E1055" t="s">
        <v>30</v>
      </c>
      <c r="F1055" t="s">
        <v>14</v>
      </c>
      <c r="G1055">
        <v>1</v>
      </c>
      <c r="H1055" t="s">
        <v>11</v>
      </c>
      <c r="I1055" s="2">
        <v>53000</v>
      </c>
      <c r="J1055" t="s">
        <v>28</v>
      </c>
      <c r="K1055" s="3">
        <f t="shared" si="32"/>
        <v>53000</v>
      </c>
      <c r="L1055" t="str">
        <f t="shared" si="33"/>
        <v>2025-03</v>
      </c>
    </row>
    <row r="1056" spans="1:12" x14ac:dyDescent="0.25">
      <c r="A1056">
        <v>2058</v>
      </c>
      <c r="B1056">
        <v>46</v>
      </c>
      <c r="C1056" t="str">
        <f>IFERROR(_xlfn.XLOOKUP(B1056, Customer!A:A, Customer!B:B), "Unknown Customer")</f>
        <v>Mahsa Ghasemi</v>
      </c>
      <c r="D1056" s="1">
        <v>45841</v>
      </c>
      <c r="E1056" t="s">
        <v>9</v>
      </c>
      <c r="F1056" t="s">
        <v>10</v>
      </c>
      <c r="G1056">
        <v>1</v>
      </c>
      <c r="H1056" t="s">
        <v>11</v>
      </c>
      <c r="I1056" s="2">
        <v>67000</v>
      </c>
      <c r="J1056" t="s">
        <v>15</v>
      </c>
      <c r="K1056" s="3">
        <f t="shared" si="32"/>
        <v>67000</v>
      </c>
      <c r="L1056" t="str">
        <f t="shared" si="33"/>
        <v>2025-07</v>
      </c>
    </row>
    <row r="1057" spans="1:12" x14ac:dyDescent="0.25">
      <c r="A1057">
        <v>2059</v>
      </c>
      <c r="B1057">
        <v>84</v>
      </c>
      <c r="C1057" t="str">
        <f>IFERROR(_xlfn.XLOOKUP(B1057, Customer!A:A, Customer!B:B), "Unknown Customer")</f>
        <v>Setareh Moradi</v>
      </c>
      <c r="D1057" s="1">
        <v>45862</v>
      </c>
      <c r="E1057" t="s">
        <v>13</v>
      </c>
      <c r="F1057" t="s">
        <v>14</v>
      </c>
      <c r="G1057">
        <v>1</v>
      </c>
      <c r="H1057" t="s">
        <v>11</v>
      </c>
      <c r="I1057" s="2">
        <v>58000</v>
      </c>
      <c r="J1057" t="s">
        <v>28</v>
      </c>
      <c r="K1057" s="3">
        <f t="shared" si="32"/>
        <v>58000</v>
      </c>
      <c r="L1057" t="str">
        <f t="shared" si="33"/>
        <v>2025-07</v>
      </c>
    </row>
    <row r="1058" spans="1:12" x14ac:dyDescent="0.25">
      <c r="A1058">
        <v>2060</v>
      </c>
      <c r="B1058">
        <v>27</v>
      </c>
      <c r="C1058" t="str">
        <f>IFERROR(_xlfn.XLOOKUP(B1058, Customer!A:A, Customer!B:B), "Unknown Customer")</f>
        <v>Sina Fallahi</v>
      </c>
      <c r="D1058" s="1">
        <v>45980</v>
      </c>
      <c r="E1058" t="s">
        <v>18</v>
      </c>
      <c r="F1058" t="s">
        <v>14</v>
      </c>
      <c r="G1058">
        <v>3</v>
      </c>
      <c r="H1058" t="s">
        <v>11</v>
      </c>
      <c r="I1058" s="2">
        <v>55000</v>
      </c>
      <c r="J1058" t="s">
        <v>28</v>
      </c>
      <c r="K1058" s="3">
        <f t="shared" si="32"/>
        <v>165000</v>
      </c>
      <c r="L1058" t="str">
        <f t="shared" si="33"/>
        <v>2025-11</v>
      </c>
    </row>
    <row r="1059" spans="1:12" x14ac:dyDescent="0.25">
      <c r="A1059">
        <v>2061</v>
      </c>
      <c r="B1059">
        <v>85</v>
      </c>
      <c r="C1059" t="str">
        <f>IFERROR(_xlfn.XLOOKUP(B1059, Customer!A:A, Customer!B:B), "Unknown Customer")</f>
        <v>Sepideh Yousefi</v>
      </c>
      <c r="D1059" s="1">
        <v>45919</v>
      </c>
      <c r="E1059" t="s">
        <v>27</v>
      </c>
      <c r="F1059" t="s">
        <v>14</v>
      </c>
      <c r="G1059">
        <v>2</v>
      </c>
      <c r="H1059" t="s">
        <v>11</v>
      </c>
      <c r="I1059" s="2">
        <v>35000</v>
      </c>
      <c r="J1059" t="s">
        <v>15</v>
      </c>
      <c r="K1059" s="3">
        <f t="shared" si="32"/>
        <v>70000</v>
      </c>
      <c r="L1059" t="str">
        <f t="shared" si="33"/>
        <v>2025-09</v>
      </c>
    </row>
    <row r="1060" spans="1:12" x14ac:dyDescent="0.25">
      <c r="A1060">
        <v>2062</v>
      </c>
      <c r="B1060">
        <v>4</v>
      </c>
      <c r="C1060" t="str">
        <f>IFERROR(_xlfn.XLOOKUP(B1060, Customer!A:A, Customer!B:B), "Unknown Customer")</f>
        <v>Kaveh Salehi</v>
      </c>
      <c r="D1060" s="1">
        <v>45843</v>
      </c>
      <c r="E1060" t="s">
        <v>20</v>
      </c>
      <c r="F1060" t="s">
        <v>17</v>
      </c>
      <c r="G1060">
        <v>1</v>
      </c>
      <c r="H1060" t="s">
        <v>11</v>
      </c>
      <c r="I1060" s="2">
        <v>55000</v>
      </c>
      <c r="J1060" t="s">
        <v>19</v>
      </c>
      <c r="K1060" s="3">
        <f t="shared" si="32"/>
        <v>55000</v>
      </c>
      <c r="L1060" t="str">
        <f t="shared" si="33"/>
        <v>2025-07</v>
      </c>
    </row>
    <row r="1061" spans="1:12" x14ac:dyDescent="0.25">
      <c r="A1061">
        <v>2063</v>
      </c>
      <c r="B1061">
        <v>43</v>
      </c>
      <c r="C1061" t="str">
        <f>IFERROR(_xlfn.XLOOKUP(B1061, Customer!A:A, Customer!B:B), "Unknown Customer")</f>
        <v>Ali Mousavi</v>
      </c>
      <c r="D1061" s="1">
        <v>45703</v>
      </c>
      <c r="E1061" t="s">
        <v>27</v>
      </c>
      <c r="F1061" t="s">
        <v>14</v>
      </c>
      <c r="G1061">
        <v>4</v>
      </c>
      <c r="H1061" t="s">
        <v>11</v>
      </c>
      <c r="I1061" s="2">
        <v>35000</v>
      </c>
      <c r="J1061" t="s">
        <v>21</v>
      </c>
      <c r="K1061" s="3">
        <f t="shared" si="32"/>
        <v>140000</v>
      </c>
      <c r="L1061" t="str">
        <f t="shared" si="33"/>
        <v>2025-02</v>
      </c>
    </row>
    <row r="1062" spans="1:12" x14ac:dyDescent="0.25">
      <c r="A1062">
        <v>2064</v>
      </c>
      <c r="B1062">
        <v>2</v>
      </c>
      <c r="C1062" t="str">
        <f>IFERROR(_xlfn.XLOOKUP(B1062, Customer!A:A, Customer!B:B), "Unknown Customer")</f>
        <v>Reza Naderi</v>
      </c>
      <c r="D1062" s="1">
        <v>45851</v>
      </c>
      <c r="E1062" t="s">
        <v>18</v>
      </c>
      <c r="F1062" t="s">
        <v>14</v>
      </c>
      <c r="G1062">
        <v>1</v>
      </c>
      <c r="H1062" t="s">
        <v>11</v>
      </c>
      <c r="I1062" s="2">
        <v>50000</v>
      </c>
      <c r="J1062" t="s">
        <v>28</v>
      </c>
      <c r="K1062" s="3">
        <f t="shared" si="32"/>
        <v>50000</v>
      </c>
      <c r="L1062" t="str">
        <f t="shared" si="33"/>
        <v>2025-07</v>
      </c>
    </row>
    <row r="1063" spans="1:12" x14ac:dyDescent="0.25">
      <c r="A1063">
        <v>2065</v>
      </c>
      <c r="B1063">
        <v>106</v>
      </c>
      <c r="C1063" t="str">
        <f>IFERROR(_xlfn.XLOOKUP(B1063, Customer!A:A, Customer!B:B), "Unknown Customer")</f>
        <v>Iman Zare</v>
      </c>
      <c r="D1063" s="1">
        <v>45706</v>
      </c>
      <c r="E1063" t="s">
        <v>16</v>
      </c>
      <c r="F1063" t="s">
        <v>17</v>
      </c>
      <c r="G1063">
        <v>3</v>
      </c>
      <c r="H1063" t="s">
        <v>11</v>
      </c>
      <c r="I1063" s="2">
        <v>80000</v>
      </c>
      <c r="J1063" t="s">
        <v>28</v>
      </c>
      <c r="K1063" s="3">
        <f t="shared" si="32"/>
        <v>240000</v>
      </c>
      <c r="L1063" t="str">
        <f t="shared" si="33"/>
        <v>2025-02</v>
      </c>
    </row>
    <row r="1064" spans="1:12" x14ac:dyDescent="0.25">
      <c r="A1064">
        <v>2066</v>
      </c>
      <c r="B1064">
        <v>13</v>
      </c>
      <c r="C1064" t="str">
        <f>IFERROR(_xlfn.XLOOKUP(B1064, Customer!A:A, Customer!B:B), "Unknown Customer")</f>
        <v>Milad Naderi</v>
      </c>
      <c r="D1064" s="1">
        <v>45745</v>
      </c>
      <c r="E1064" t="s">
        <v>29</v>
      </c>
      <c r="F1064" t="s">
        <v>14</v>
      </c>
      <c r="G1064">
        <v>1</v>
      </c>
      <c r="H1064" t="s">
        <v>11</v>
      </c>
      <c r="I1064" s="2">
        <v>45000</v>
      </c>
      <c r="J1064" t="s">
        <v>15</v>
      </c>
      <c r="K1064" s="3">
        <f t="shared" si="32"/>
        <v>45000</v>
      </c>
      <c r="L1064" t="str">
        <f t="shared" si="33"/>
        <v>2025-03</v>
      </c>
    </row>
    <row r="1065" spans="1:12" x14ac:dyDescent="0.25">
      <c r="A1065">
        <v>2067</v>
      </c>
      <c r="B1065">
        <v>76</v>
      </c>
      <c r="C1065" t="str">
        <f>IFERROR(_xlfn.XLOOKUP(B1065, Customer!A:A, Customer!B:B), "Unknown Customer")</f>
        <v>Setareh Yousefi</v>
      </c>
      <c r="D1065" s="1">
        <v>45790</v>
      </c>
      <c r="E1065" t="s">
        <v>13</v>
      </c>
      <c r="F1065" t="s">
        <v>14</v>
      </c>
      <c r="G1065">
        <v>-3</v>
      </c>
      <c r="H1065" t="s">
        <v>26</v>
      </c>
      <c r="I1065" s="2">
        <v>58000</v>
      </c>
      <c r="J1065" t="s">
        <v>28</v>
      </c>
      <c r="K1065" s="3">
        <f t="shared" si="32"/>
        <v>-174000</v>
      </c>
      <c r="L1065" t="str">
        <f t="shared" si="33"/>
        <v>2025-05</v>
      </c>
    </row>
    <row r="1066" spans="1:12" x14ac:dyDescent="0.25">
      <c r="A1066">
        <v>2068</v>
      </c>
      <c r="B1066">
        <v>95</v>
      </c>
      <c r="C1066" t="str">
        <f>IFERROR(_xlfn.XLOOKUP(B1066, Customer!A:A, Customer!B:B), "Unknown Customer")</f>
        <v>Elham Norouzi</v>
      </c>
      <c r="D1066" s="1">
        <v>45685</v>
      </c>
      <c r="E1066" t="s">
        <v>9</v>
      </c>
      <c r="F1066" t="s">
        <v>10</v>
      </c>
      <c r="G1066">
        <v>3</v>
      </c>
      <c r="H1066" t="s">
        <v>11</v>
      </c>
      <c r="I1066" s="2">
        <v>62000</v>
      </c>
      <c r="J1066" t="s">
        <v>12</v>
      </c>
      <c r="K1066" s="3">
        <f t="shared" si="32"/>
        <v>186000</v>
      </c>
      <c r="L1066" t="str">
        <f t="shared" si="33"/>
        <v>2025-01</v>
      </c>
    </row>
    <row r="1067" spans="1:12" x14ac:dyDescent="0.25">
      <c r="A1067">
        <v>2069</v>
      </c>
      <c r="B1067">
        <v>59</v>
      </c>
      <c r="C1067" t="str">
        <f>IFERROR(_xlfn.XLOOKUP(B1067, Customer!A:A, Customer!B:B), "Unknown Customer")</f>
        <v>Niloofar Hosseini</v>
      </c>
      <c r="D1067" s="1">
        <v>45882</v>
      </c>
      <c r="E1067" t="s">
        <v>13</v>
      </c>
      <c r="F1067" t="s">
        <v>14</v>
      </c>
      <c r="G1067">
        <v>2</v>
      </c>
      <c r="H1067" t="s">
        <v>11</v>
      </c>
      <c r="I1067" s="2">
        <v>58000</v>
      </c>
      <c r="J1067" t="s">
        <v>28</v>
      </c>
      <c r="K1067" s="3">
        <f t="shared" si="32"/>
        <v>116000</v>
      </c>
      <c r="L1067" t="str">
        <f t="shared" si="33"/>
        <v>2025-08</v>
      </c>
    </row>
    <row r="1068" spans="1:12" x14ac:dyDescent="0.25">
      <c r="A1068">
        <v>2070</v>
      </c>
      <c r="B1068">
        <v>96</v>
      </c>
      <c r="C1068" t="str">
        <f>IFERROR(_xlfn.XLOOKUP(B1068, Customer!A:A, Customer!B:B), "Unknown Customer")</f>
        <v>Milad Norouzi</v>
      </c>
      <c r="D1068" s="1">
        <v>45775</v>
      </c>
      <c r="E1068" t="s">
        <v>22</v>
      </c>
      <c r="F1068" t="s">
        <v>14</v>
      </c>
      <c r="G1068">
        <v>-1</v>
      </c>
      <c r="H1068" t="s">
        <v>26</v>
      </c>
      <c r="I1068" s="2">
        <v>60000</v>
      </c>
      <c r="J1068" t="s">
        <v>12</v>
      </c>
      <c r="K1068" s="3">
        <f t="shared" si="32"/>
        <v>-60000</v>
      </c>
      <c r="L1068" t="str">
        <f t="shared" si="33"/>
        <v>2025-04</v>
      </c>
    </row>
    <row r="1069" spans="1:12" x14ac:dyDescent="0.25">
      <c r="A1069">
        <v>2071</v>
      </c>
      <c r="B1069">
        <v>11</v>
      </c>
      <c r="C1069" t="str">
        <f>IFERROR(_xlfn.XLOOKUP(B1069, Customer!A:A, Customer!B:B), "Unknown Customer")</f>
        <v>Leila Kazemi</v>
      </c>
      <c r="D1069" s="1">
        <v>45780</v>
      </c>
      <c r="E1069" t="s">
        <v>18</v>
      </c>
      <c r="F1069" t="s">
        <v>14</v>
      </c>
      <c r="G1069">
        <v>2</v>
      </c>
      <c r="H1069" t="s">
        <v>11</v>
      </c>
      <c r="I1069" s="2">
        <v>50000</v>
      </c>
      <c r="J1069" t="s">
        <v>28</v>
      </c>
      <c r="K1069" s="3">
        <f t="shared" si="32"/>
        <v>100000</v>
      </c>
      <c r="L1069" t="str">
        <f t="shared" si="33"/>
        <v>2025-05</v>
      </c>
    </row>
    <row r="1070" spans="1:12" x14ac:dyDescent="0.25">
      <c r="A1070">
        <v>2072</v>
      </c>
      <c r="B1070">
        <v>119</v>
      </c>
      <c r="C1070" t="str">
        <f>IFERROR(_xlfn.XLOOKUP(B1070, Customer!A:A, Customer!B:B), "Unknown Customer")</f>
        <v>Sepideh Sadeghi</v>
      </c>
      <c r="D1070" s="1">
        <v>45663</v>
      </c>
      <c r="E1070" t="s">
        <v>16</v>
      </c>
      <c r="F1070" t="s">
        <v>17</v>
      </c>
      <c r="G1070">
        <v>-2</v>
      </c>
      <c r="H1070" t="s">
        <v>26</v>
      </c>
      <c r="I1070" s="2">
        <v>75000</v>
      </c>
      <c r="J1070" t="s">
        <v>15</v>
      </c>
      <c r="K1070" s="3">
        <f t="shared" si="32"/>
        <v>-150000</v>
      </c>
      <c r="L1070" t="str">
        <f t="shared" si="33"/>
        <v>2025-01</v>
      </c>
    </row>
    <row r="1071" spans="1:12" x14ac:dyDescent="0.25">
      <c r="A1071">
        <v>2073</v>
      </c>
      <c r="B1071">
        <v>2</v>
      </c>
      <c r="C1071" t="str">
        <f>IFERROR(_xlfn.XLOOKUP(B1071, Customer!A:A, Customer!B:B), "Unknown Customer")</f>
        <v>Reza Naderi</v>
      </c>
      <c r="D1071" s="1">
        <v>45755</v>
      </c>
      <c r="E1071" t="s">
        <v>20</v>
      </c>
      <c r="F1071" t="s">
        <v>17</v>
      </c>
      <c r="G1071">
        <v>3</v>
      </c>
      <c r="H1071" t="s">
        <v>11</v>
      </c>
      <c r="I1071" s="2">
        <v>50000</v>
      </c>
      <c r="J1071" t="s">
        <v>24</v>
      </c>
      <c r="K1071" s="3">
        <f t="shared" si="32"/>
        <v>150000</v>
      </c>
      <c r="L1071" t="str">
        <f t="shared" si="33"/>
        <v>2025-04</v>
      </c>
    </row>
    <row r="1072" spans="1:12" x14ac:dyDescent="0.25">
      <c r="A1072">
        <v>2074</v>
      </c>
      <c r="B1072">
        <v>95</v>
      </c>
      <c r="C1072" t="str">
        <f>IFERROR(_xlfn.XLOOKUP(B1072, Customer!A:A, Customer!B:B), "Unknown Customer")</f>
        <v>Elham Norouzi</v>
      </c>
      <c r="D1072" s="1">
        <v>45928</v>
      </c>
      <c r="E1072" t="s">
        <v>27</v>
      </c>
      <c r="F1072" t="s">
        <v>14</v>
      </c>
      <c r="G1072">
        <v>2</v>
      </c>
      <c r="H1072" t="s">
        <v>11</v>
      </c>
      <c r="I1072" s="2">
        <v>35000</v>
      </c>
      <c r="J1072" t="s">
        <v>24</v>
      </c>
      <c r="K1072" s="3">
        <f t="shared" si="32"/>
        <v>70000</v>
      </c>
      <c r="L1072" t="str">
        <f t="shared" si="33"/>
        <v>2025-09</v>
      </c>
    </row>
    <row r="1073" spans="1:12" x14ac:dyDescent="0.25">
      <c r="A1073">
        <v>2075</v>
      </c>
      <c r="B1073">
        <v>10</v>
      </c>
      <c r="C1073" t="str">
        <f>IFERROR(_xlfn.XLOOKUP(B1073, Customer!A:A, Customer!B:B), "Unknown Customer")</f>
        <v>Sepideh Rostami</v>
      </c>
      <c r="D1073" s="1">
        <v>45933</v>
      </c>
      <c r="E1073" t="s">
        <v>25</v>
      </c>
      <c r="F1073" t="s">
        <v>10</v>
      </c>
      <c r="G1073">
        <v>1</v>
      </c>
      <c r="H1073" t="s">
        <v>11</v>
      </c>
      <c r="I1073" s="2">
        <v>65000</v>
      </c>
      <c r="J1073" t="s">
        <v>24</v>
      </c>
      <c r="K1073" s="3">
        <f t="shared" si="32"/>
        <v>65000</v>
      </c>
      <c r="L1073" t="str">
        <f t="shared" si="33"/>
        <v>2025-10</v>
      </c>
    </row>
    <row r="1074" spans="1:12" x14ac:dyDescent="0.25">
      <c r="A1074">
        <v>2076</v>
      </c>
      <c r="B1074">
        <v>48</v>
      </c>
      <c r="C1074" t="str">
        <f>IFERROR(_xlfn.XLOOKUP(B1074, Customer!A:A, Customer!B:B), "Unknown Customer")</f>
        <v>Hamed Jafari</v>
      </c>
      <c r="D1074" s="1">
        <v>45831</v>
      </c>
      <c r="E1074" t="s">
        <v>18</v>
      </c>
      <c r="F1074" t="s">
        <v>14</v>
      </c>
      <c r="G1074">
        <v>4</v>
      </c>
      <c r="H1074" t="s">
        <v>11</v>
      </c>
      <c r="I1074" s="2">
        <v>60000</v>
      </c>
      <c r="J1074" t="s">
        <v>21</v>
      </c>
      <c r="K1074" s="3">
        <f t="shared" si="32"/>
        <v>240000</v>
      </c>
      <c r="L1074" t="str">
        <f t="shared" si="33"/>
        <v>2025-06</v>
      </c>
    </row>
    <row r="1075" spans="1:12" x14ac:dyDescent="0.25">
      <c r="A1075">
        <v>2077</v>
      </c>
      <c r="B1075">
        <v>62</v>
      </c>
      <c r="C1075" t="str">
        <f>IFERROR(_xlfn.XLOOKUP(B1075, Customer!A:A, Customer!B:B), "Unknown Customer")</f>
        <v>Amir Mousavi</v>
      </c>
      <c r="D1075" s="1">
        <v>45793</v>
      </c>
      <c r="E1075" t="s">
        <v>9</v>
      </c>
      <c r="F1075" t="s">
        <v>10</v>
      </c>
      <c r="G1075">
        <v>3</v>
      </c>
      <c r="H1075" t="s">
        <v>11</v>
      </c>
      <c r="I1075" s="2">
        <v>67000</v>
      </c>
      <c r="J1075" t="s">
        <v>21</v>
      </c>
      <c r="K1075" s="3">
        <f t="shared" si="32"/>
        <v>201000</v>
      </c>
      <c r="L1075" t="str">
        <f t="shared" si="33"/>
        <v>2025-05</v>
      </c>
    </row>
    <row r="1076" spans="1:12" x14ac:dyDescent="0.25">
      <c r="A1076">
        <v>2078</v>
      </c>
      <c r="B1076">
        <v>119</v>
      </c>
      <c r="C1076" t="str">
        <f>IFERROR(_xlfn.XLOOKUP(B1076, Customer!A:A, Customer!B:B), "Unknown Customer")</f>
        <v>Sepideh Sadeghi</v>
      </c>
      <c r="D1076" s="1">
        <v>45921</v>
      </c>
      <c r="E1076" t="s">
        <v>27</v>
      </c>
      <c r="F1076" t="s">
        <v>14</v>
      </c>
      <c r="G1076">
        <v>2</v>
      </c>
      <c r="H1076" t="s">
        <v>11</v>
      </c>
      <c r="I1076" s="2">
        <v>35000</v>
      </c>
      <c r="J1076" t="s">
        <v>19</v>
      </c>
      <c r="K1076" s="3">
        <f t="shared" si="32"/>
        <v>70000</v>
      </c>
      <c r="L1076" t="str">
        <f t="shared" si="33"/>
        <v>2025-09</v>
      </c>
    </row>
    <row r="1077" spans="1:12" x14ac:dyDescent="0.25">
      <c r="A1077">
        <v>2079</v>
      </c>
      <c r="B1077">
        <v>79</v>
      </c>
      <c r="C1077" t="str">
        <f>IFERROR(_xlfn.XLOOKUP(B1077, Customer!A:A, Customer!B:B), "Unknown Customer")</f>
        <v>Niloofar Ahmadi</v>
      </c>
      <c r="D1077" s="1">
        <v>45826</v>
      </c>
      <c r="E1077" t="s">
        <v>16</v>
      </c>
      <c r="F1077" t="s">
        <v>17</v>
      </c>
      <c r="G1077">
        <v>1</v>
      </c>
      <c r="H1077" t="s">
        <v>11</v>
      </c>
      <c r="I1077" s="2">
        <v>70000</v>
      </c>
      <c r="J1077" t="s">
        <v>15</v>
      </c>
      <c r="K1077" s="3">
        <f t="shared" si="32"/>
        <v>70000</v>
      </c>
      <c r="L1077" t="str">
        <f t="shared" si="33"/>
        <v>2025-06</v>
      </c>
    </row>
    <row r="1078" spans="1:12" x14ac:dyDescent="0.25">
      <c r="A1078">
        <v>2080</v>
      </c>
      <c r="B1078">
        <v>46</v>
      </c>
      <c r="C1078" t="str">
        <f>IFERROR(_xlfn.XLOOKUP(B1078, Customer!A:A, Customer!B:B), "Unknown Customer")</f>
        <v>Mahsa Ghasemi</v>
      </c>
      <c r="D1078" s="1">
        <v>45709</v>
      </c>
      <c r="E1078" t="s">
        <v>29</v>
      </c>
      <c r="F1078" t="s">
        <v>14</v>
      </c>
      <c r="G1078">
        <v>1</v>
      </c>
      <c r="H1078" t="s">
        <v>11</v>
      </c>
      <c r="I1078" s="2">
        <v>40000</v>
      </c>
      <c r="J1078" t="s">
        <v>15</v>
      </c>
      <c r="K1078" s="3">
        <f t="shared" si="32"/>
        <v>40000</v>
      </c>
      <c r="L1078" t="str">
        <f t="shared" si="33"/>
        <v>2025-02</v>
      </c>
    </row>
    <row r="1079" spans="1:12" x14ac:dyDescent="0.25">
      <c r="A1079">
        <v>2081</v>
      </c>
      <c r="B1079">
        <v>16</v>
      </c>
      <c r="C1079" t="str">
        <f>IFERROR(_xlfn.XLOOKUP(B1079, Customer!A:A, Customer!B:B), "Unknown Customer")</f>
        <v>Milad Yousefi</v>
      </c>
      <c r="D1079" s="1">
        <v>45748</v>
      </c>
      <c r="E1079" t="s">
        <v>16</v>
      </c>
      <c r="F1079" t="s">
        <v>17</v>
      </c>
      <c r="G1079">
        <v>1</v>
      </c>
      <c r="H1079" t="s">
        <v>11</v>
      </c>
      <c r="I1079" s="2">
        <v>75000</v>
      </c>
      <c r="J1079" t="s">
        <v>21</v>
      </c>
      <c r="K1079" s="3">
        <f t="shared" si="32"/>
        <v>75000</v>
      </c>
      <c r="L1079" t="str">
        <f t="shared" si="33"/>
        <v>2025-04</v>
      </c>
    </row>
    <row r="1080" spans="1:12" x14ac:dyDescent="0.25">
      <c r="A1080">
        <v>2082</v>
      </c>
      <c r="B1080">
        <v>47</v>
      </c>
      <c r="C1080" t="str">
        <f>IFERROR(_xlfn.XLOOKUP(B1080, Customer!A:A, Customer!B:B), "Unknown Customer")</f>
        <v>Mahsa Abbasi</v>
      </c>
      <c r="D1080" s="1">
        <v>45751</v>
      </c>
      <c r="E1080" t="s">
        <v>31</v>
      </c>
      <c r="F1080" t="s">
        <v>17</v>
      </c>
      <c r="G1080">
        <v>1</v>
      </c>
      <c r="H1080" t="s">
        <v>11</v>
      </c>
      <c r="I1080" s="2">
        <v>40000</v>
      </c>
      <c r="J1080" t="s">
        <v>32</v>
      </c>
      <c r="K1080" s="3">
        <f t="shared" si="32"/>
        <v>40000</v>
      </c>
      <c r="L1080" t="str">
        <f t="shared" si="33"/>
        <v>2025-04</v>
      </c>
    </row>
    <row r="1081" spans="1:12" x14ac:dyDescent="0.25">
      <c r="A1081">
        <v>2083</v>
      </c>
      <c r="B1081">
        <v>18</v>
      </c>
      <c r="C1081" t="str">
        <f>IFERROR(_xlfn.XLOOKUP(B1081, Customer!A:A, Customer!B:B), "Unknown Customer")</f>
        <v>Niloofar Abbasi</v>
      </c>
      <c r="D1081" s="1">
        <v>45969</v>
      </c>
      <c r="E1081" t="s">
        <v>25</v>
      </c>
      <c r="F1081" t="s">
        <v>10</v>
      </c>
      <c r="G1081">
        <v>4</v>
      </c>
      <c r="H1081" t="s">
        <v>11</v>
      </c>
      <c r="I1081" s="2">
        <v>65000</v>
      </c>
      <c r="J1081" t="s">
        <v>21</v>
      </c>
      <c r="K1081" s="3">
        <f t="shared" si="32"/>
        <v>260000</v>
      </c>
      <c r="L1081" t="str">
        <f t="shared" si="33"/>
        <v>2025-11</v>
      </c>
    </row>
    <row r="1082" spans="1:12" x14ac:dyDescent="0.25">
      <c r="A1082">
        <v>2084</v>
      </c>
      <c r="B1082">
        <v>6</v>
      </c>
      <c r="C1082" t="str">
        <f>IFERROR(_xlfn.XLOOKUP(B1082, Customer!A:A, Customer!B:B), "Unknown Customer")</f>
        <v>Sepideh Mousavi</v>
      </c>
      <c r="D1082" s="1">
        <v>45860</v>
      </c>
      <c r="E1082" t="s">
        <v>13</v>
      </c>
      <c r="F1082" t="s">
        <v>14</v>
      </c>
      <c r="G1082">
        <v>1</v>
      </c>
      <c r="H1082" t="s">
        <v>11</v>
      </c>
      <c r="I1082" s="2">
        <v>58000</v>
      </c>
      <c r="J1082" t="s">
        <v>15</v>
      </c>
      <c r="K1082" s="3">
        <f t="shared" si="32"/>
        <v>58000</v>
      </c>
      <c r="L1082" t="str">
        <f t="shared" si="33"/>
        <v>2025-07</v>
      </c>
    </row>
    <row r="1083" spans="1:12" x14ac:dyDescent="0.25">
      <c r="A1083">
        <v>2085</v>
      </c>
      <c r="B1083">
        <v>60</v>
      </c>
      <c r="C1083" t="str">
        <f>IFERROR(_xlfn.XLOOKUP(B1083, Customer!A:A, Customer!B:B), "Unknown Customer")</f>
        <v>Sina Ghasemi</v>
      </c>
      <c r="D1083" s="1">
        <v>45794</v>
      </c>
      <c r="E1083" t="s">
        <v>27</v>
      </c>
      <c r="F1083" t="s">
        <v>14</v>
      </c>
      <c r="G1083">
        <v>2</v>
      </c>
      <c r="H1083" t="s">
        <v>11</v>
      </c>
      <c r="I1083" s="2">
        <v>40000</v>
      </c>
      <c r="J1083" t="s">
        <v>21</v>
      </c>
      <c r="K1083" s="3">
        <f t="shared" si="32"/>
        <v>80000</v>
      </c>
      <c r="L1083" t="str">
        <f t="shared" si="33"/>
        <v>2025-05</v>
      </c>
    </row>
    <row r="1084" spans="1:12" x14ac:dyDescent="0.25">
      <c r="A1084">
        <v>2086</v>
      </c>
      <c r="B1084">
        <v>97</v>
      </c>
      <c r="C1084" t="str">
        <f>IFERROR(_xlfn.XLOOKUP(B1084, Customer!A:A, Customer!B:B), "Unknown Customer")</f>
        <v>Setareh Sadeghi</v>
      </c>
      <c r="D1084" s="1">
        <v>45914</v>
      </c>
      <c r="E1084" t="s">
        <v>31</v>
      </c>
      <c r="F1084" t="s">
        <v>17</v>
      </c>
      <c r="G1084">
        <v>1</v>
      </c>
      <c r="H1084" t="s">
        <v>11</v>
      </c>
      <c r="I1084" s="2">
        <v>35000</v>
      </c>
      <c r="J1084" t="s">
        <v>24</v>
      </c>
      <c r="K1084" s="3">
        <f t="shared" si="32"/>
        <v>35000</v>
      </c>
      <c r="L1084" t="str">
        <f t="shared" si="33"/>
        <v>2025-09</v>
      </c>
    </row>
    <row r="1085" spans="1:12" x14ac:dyDescent="0.25">
      <c r="A1085">
        <v>2087</v>
      </c>
      <c r="B1085">
        <v>20</v>
      </c>
      <c r="C1085" t="str">
        <f>IFERROR(_xlfn.XLOOKUP(B1085, Customer!A:A, Customer!B:B), "Unknown Customer")</f>
        <v>Setareh Abbasi</v>
      </c>
      <c r="D1085" s="1">
        <v>45914</v>
      </c>
      <c r="E1085" t="s">
        <v>25</v>
      </c>
      <c r="F1085" t="s">
        <v>10</v>
      </c>
      <c r="G1085">
        <v>1</v>
      </c>
      <c r="H1085" t="s">
        <v>11</v>
      </c>
      <c r="I1085" s="2">
        <v>65000</v>
      </c>
      <c r="J1085" t="s">
        <v>15</v>
      </c>
      <c r="K1085" s="3">
        <f t="shared" si="32"/>
        <v>65000</v>
      </c>
      <c r="L1085" t="str">
        <f t="shared" si="33"/>
        <v>2025-09</v>
      </c>
    </row>
    <row r="1086" spans="1:12" x14ac:dyDescent="0.25">
      <c r="A1086">
        <v>2088</v>
      </c>
      <c r="B1086">
        <v>62</v>
      </c>
      <c r="C1086" t="str">
        <f>IFERROR(_xlfn.XLOOKUP(B1086, Customer!A:A, Customer!B:B), "Unknown Customer")</f>
        <v>Amir Mousavi</v>
      </c>
      <c r="D1086" s="1">
        <v>45802</v>
      </c>
      <c r="E1086" t="s">
        <v>9</v>
      </c>
      <c r="F1086" t="s">
        <v>10</v>
      </c>
      <c r="G1086">
        <v>4</v>
      </c>
      <c r="H1086" t="s">
        <v>11</v>
      </c>
      <c r="I1086" s="2">
        <v>62000</v>
      </c>
      <c r="J1086" t="s">
        <v>12</v>
      </c>
      <c r="K1086" s="3">
        <f t="shared" si="32"/>
        <v>248000</v>
      </c>
      <c r="L1086" t="str">
        <f t="shared" si="33"/>
        <v>2025-05</v>
      </c>
    </row>
    <row r="1087" spans="1:12" x14ac:dyDescent="0.25">
      <c r="A1087">
        <v>2089</v>
      </c>
      <c r="B1087">
        <v>66</v>
      </c>
      <c r="C1087" t="str">
        <f>IFERROR(_xlfn.XLOOKUP(B1087, Customer!A:A, Customer!B:B), "Unknown Customer")</f>
        <v>Farhad Abbasi</v>
      </c>
      <c r="D1087" s="1">
        <v>45785</v>
      </c>
      <c r="E1087" t="s">
        <v>13</v>
      </c>
      <c r="F1087" t="s">
        <v>14</v>
      </c>
      <c r="G1087">
        <v>4</v>
      </c>
      <c r="H1087" t="s">
        <v>11</v>
      </c>
      <c r="I1087" s="2">
        <v>58000</v>
      </c>
      <c r="J1087" t="s">
        <v>12</v>
      </c>
      <c r="K1087" s="3">
        <f t="shared" si="32"/>
        <v>232000</v>
      </c>
      <c r="L1087" t="str">
        <f t="shared" si="33"/>
        <v>2025-05</v>
      </c>
    </row>
    <row r="1088" spans="1:12" x14ac:dyDescent="0.25">
      <c r="A1088">
        <v>2090</v>
      </c>
      <c r="B1088">
        <v>106</v>
      </c>
      <c r="C1088" t="str">
        <f>IFERROR(_xlfn.XLOOKUP(B1088, Customer!A:A, Customer!B:B), "Unknown Customer")</f>
        <v>Iman Zare</v>
      </c>
      <c r="D1088" s="1">
        <v>45759</v>
      </c>
      <c r="E1088" t="s">
        <v>31</v>
      </c>
      <c r="F1088" t="s">
        <v>17</v>
      </c>
      <c r="G1088">
        <v>3</v>
      </c>
      <c r="H1088" t="s">
        <v>11</v>
      </c>
      <c r="I1088" s="2">
        <v>40428.571428571428</v>
      </c>
      <c r="J1088" t="s">
        <v>24</v>
      </c>
      <c r="K1088" s="3">
        <f t="shared" si="32"/>
        <v>121285.71428571429</v>
      </c>
      <c r="L1088" t="str">
        <f t="shared" si="33"/>
        <v>2025-04</v>
      </c>
    </row>
    <row r="1089" spans="1:12" x14ac:dyDescent="0.25">
      <c r="A1089">
        <v>2091</v>
      </c>
      <c r="B1089">
        <v>110</v>
      </c>
      <c r="C1089" t="str">
        <f>IFERROR(_xlfn.XLOOKUP(B1089, Customer!A:A, Customer!B:B), "Unknown Customer")</f>
        <v>Parisa Mousavi</v>
      </c>
      <c r="D1089" s="1">
        <v>45980</v>
      </c>
      <c r="E1089" t="s">
        <v>20</v>
      </c>
      <c r="F1089" t="s">
        <v>17</v>
      </c>
      <c r="G1089">
        <v>1</v>
      </c>
      <c r="H1089" t="s">
        <v>11</v>
      </c>
      <c r="I1089" s="2">
        <v>45000</v>
      </c>
      <c r="J1089" t="s">
        <v>19</v>
      </c>
      <c r="K1089" s="3">
        <f t="shared" si="32"/>
        <v>45000</v>
      </c>
      <c r="L1089" t="str">
        <f t="shared" si="33"/>
        <v>2025-11</v>
      </c>
    </row>
    <row r="1090" spans="1:12" x14ac:dyDescent="0.25">
      <c r="A1090">
        <v>2092</v>
      </c>
      <c r="B1090">
        <v>36</v>
      </c>
      <c r="C1090" t="str">
        <f>IFERROR(_xlfn.XLOOKUP(B1090, Customer!A:A, Customer!B:B), "Unknown Customer")</f>
        <v>Payam Rezaei</v>
      </c>
      <c r="D1090" s="1">
        <v>45732</v>
      </c>
      <c r="E1090" t="s">
        <v>30</v>
      </c>
      <c r="F1090" t="s">
        <v>14</v>
      </c>
      <c r="G1090">
        <v>2</v>
      </c>
      <c r="H1090" t="s">
        <v>11</v>
      </c>
      <c r="I1090" s="2">
        <v>48000</v>
      </c>
      <c r="J1090" t="s">
        <v>15</v>
      </c>
      <c r="K1090" s="3">
        <f t="shared" si="32"/>
        <v>96000</v>
      </c>
      <c r="L1090" t="str">
        <f t="shared" si="33"/>
        <v>2025-03</v>
      </c>
    </row>
    <row r="1091" spans="1:12" x14ac:dyDescent="0.25">
      <c r="A1091">
        <v>2093</v>
      </c>
      <c r="B1091">
        <v>53</v>
      </c>
      <c r="C1091" t="str">
        <f>IFERROR(_xlfn.XLOOKUP(B1091, Customer!A:A, Customer!B:B), "Unknown Customer")</f>
        <v>Azadeh Moradi</v>
      </c>
      <c r="D1091" s="1">
        <v>45814</v>
      </c>
      <c r="E1091" t="s">
        <v>23</v>
      </c>
      <c r="F1091" t="s">
        <v>17</v>
      </c>
      <c r="G1091">
        <v>1</v>
      </c>
      <c r="H1091" t="s">
        <v>11</v>
      </c>
      <c r="I1091" s="2">
        <v>85000</v>
      </c>
      <c r="J1091" t="s">
        <v>19</v>
      </c>
      <c r="K1091" s="3">
        <f t="shared" ref="K1091:K1154" si="34">G1091*I1091</f>
        <v>85000</v>
      </c>
      <c r="L1091" t="str">
        <f t="shared" ref="L1091:L1154" si="35">TEXT(D1091,"YYYY-MM")</f>
        <v>2025-06</v>
      </c>
    </row>
    <row r="1092" spans="1:12" x14ac:dyDescent="0.25">
      <c r="A1092">
        <v>2094</v>
      </c>
      <c r="B1092">
        <v>66</v>
      </c>
      <c r="C1092" t="str">
        <f>IFERROR(_xlfn.XLOOKUP(B1092, Customer!A:A, Customer!B:B), "Unknown Customer")</f>
        <v>Farhad Abbasi</v>
      </c>
      <c r="D1092" s="1">
        <v>45987</v>
      </c>
      <c r="E1092" t="s">
        <v>31</v>
      </c>
      <c r="F1092" t="s">
        <v>17</v>
      </c>
      <c r="G1092">
        <v>1</v>
      </c>
      <c r="H1092" t="s">
        <v>11</v>
      </c>
      <c r="I1092" s="2">
        <v>40000</v>
      </c>
      <c r="J1092" t="s">
        <v>21</v>
      </c>
      <c r="K1092" s="3">
        <f t="shared" si="34"/>
        <v>40000</v>
      </c>
      <c r="L1092" t="str">
        <f t="shared" si="35"/>
        <v>2025-11</v>
      </c>
    </row>
    <row r="1093" spans="1:12" x14ac:dyDescent="0.25">
      <c r="A1093">
        <v>2095</v>
      </c>
      <c r="B1093">
        <v>92</v>
      </c>
      <c r="C1093" t="str">
        <f>IFERROR(_xlfn.XLOOKUP(B1093, Customer!A:A, Customer!B:B), "Unknown Customer")</f>
        <v>Payam Zare</v>
      </c>
      <c r="D1093" s="1">
        <v>45784</v>
      </c>
      <c r="E1093" t="s">
        <v>31</v>
      </c>
      <c r="F1093" t="s">
        <v>17</v>
      </c>
      <c r="G1093">
        <v>1</v>
      </c>
      <c r="H1093" t="s">
        <v>11</v>
      </c>
      <c r="I1093" s="2">
        <v>35000</v>
      </c>
      <c r="J1093" t="s">
        <v>12</v>
      </c>
      <c r="K1093" s="3">
        <f t="shared" si="34"/>
        <v>35000</v>
      </c>
      <c r="L1093" t="str">
        <f t="shared" si="35"/>
        <v>2025-05</v>
      </c>
    </row>
    <row r="1094" spans="1:12" x14ac:dyDescent="0.25">
      <c r="A1094">
        <v>2096</v>
      </c>
      <c r="B1094">
        <v>96</v>
      </c>
      <c r="C1094" t="str">
        <f>IFERROR(_xlfn.XLOOKUP(B1094, Customer!A:A, Customer!B:B), "Unknown Customer")</f>
        <v>Milad Norouzi</v>
      </c>
      <c r="D1094" s="1">
        <v>45766</v>
      </c>
      <c r="E1094" t="s">
        <v>25</v>
      </c>
      <c r="F1094" t="s">
        <v>10</v>
      </c>
      <c r="G1094">
        <v>1</v>
      </c>
      <c r="H1094" t="s">
        <v>11</v>
      </c>
      <c r="I1094" s="2">
        <v>70000</v>
      </c>
      <c r="J1094" t="s">
        <v>24</v>
      </c>
      <c r="K1094" s="3">
        <f t="shared" si="34"/>
        <v>70000</v>
      </c>
      <c r="L1094" t="str">
        <f t="shared" si="35"/>
        <v>2025-04</v>
      </c>
    </row>
    <row r="1095" spans="1:12" x14ac:dyDescent="0.25">
      <c r="A1095">
        <v>2097</v>
      </c>
      <c r="B1095">
        <v>33</v>
      </c>
      <c r="C1095" t="str">
        <f>IFERROR(_xlfn.XLOOKUP(B1095, Customer!A:A, Customer!B:B), "Unknown Customer")</f>
        <v>Niloofar Zare</v>
      </c>
      <c r="D1095" s="1">
        <v>45815</v>
      </c>
      <c r="E1095" t="s">
        <v>16</v>
      </c>
      <c r="F1095" t="s">
        <v>17</v>
      </c>
      <c r="G1095">
        <v>1</v>
      </c>
      <c r="H1095" t="s">
        <v>11</v>
      </c>
      <c r="I1095" s="2">
        <v>70000</v>
      </c>
      <c r="J1095" t="s">
        <v>12</v>
      </c>
      <c r="K1095" s="3">
        <f t="shared" si="34"/>
        <v>70000</v>
      </c>
      <c r="L1095" t="str">
        <f t="shared" si="35"/>
        <v>2025-06</v>
      </c>
    </row>
    <row r="1096" spans="1:12" x14ac:dyDescent="0.25">
      <c r="A1096">
        <v>2098</v>
      </c>
      <c r="B1096">
        <v>71</v>
      </c>
      <c r="C1096" t="str">
        <f>IFERROR(_xlfn.XLOOKUP(B1096, Customer!A:A, Customer!B:B), "Unknown Customer")</f>
        <v>Milad Mousavi</v>
      </c>
      <c r="D1096" s="1">
        <v>45827</v>
      </c>
      <c r="E1096" t="s">
        <v>13</v>
      </c>
      <c r="F1096" t="s">
        <v>14</v>
      </c>
      <c r="G1096">
        <v>1</v>
      </c>
      <c r="H1096" t="s">
        <v>11</v>
      </c>
      <c r="I1096" s="2">
        <v>63000</v>
      </c>
      <c r="J1096" t="s">
        <v>24</v>
      </c>
      <c r="K1096" s="3">
        <f t="shared" si="34"/>
        <v>63000</v>
      </c>
      <c r="L1096" t="str">
        <f t="shared" si="35"/>
        <v>2025-06</v>
      </c>
    </row>
    <row r="1097" spans="1:12" x14ac:dyDescent="0.25">
      <c r="A1097">
        <v>2099</v>
      </c>
      <c r="B1097">
        <v>84</v>
      </c>
      <c r="C1097" t="str">
        <f>IFERROR(_xlfn.XLOOKUP(B1097, Customer!A:A, Customer!B:B), "Unknown Customer")</f>
        <v>Setareh Moradi</v>
      </c>
      <c r="D1097" s="1">
        <v>45765</v>
      </c>
      <c r="E1097" t="s">
        <v>9</v>
      </c>
      <c r="F1097" t="s">
        <v>10</v>
      </c>
      <c r="G1097">
        <v>1</v>
      </c>
      <c r="H1097" t="s">
        <v>11</v>
      </c>
      <c r="I1097" s="2">
        <v>57000</v>
      </c>
      <c r="J1097" t="s">
        <v>19</v>
      </c>
      <c r="K1097" s="3">
        <f t="shared" si="34"/>
        <v>57000</v>
      </c>
      <c r="L1097" t="str">
        <f t="shared" si="35"/>
        <v>2025-04</v>
      </c>
    </row>
    <row r="1098" spans="1:12" x14ac:dyDescent="0.25">
      <c r="A1098">
        <v>2100</v>
      </c>
      <c r="B1098">
        <v>76</v>
      </c>
      <c r="C1098" t="str">
        <f>IFERROR(_xlfn.XLOOKUP(B1098, Customer!A:A, Customer!B:B), "Unknown Customer")</f>
        <v>Setareh Yousefi</v>
      </c>
      <c r="D1098" s="1">
        <v>45873</v>
      </c>
      <c r="E1098" t="s">
        <v>27</v>
      </c>
      <c r="F1098" t="s">
        <v>14</v>
      </c>
      <c r="G1098">
        <v>1</v>
      </c>
      <c r="H1098" t="s">
        <v>11</v>
      </c>
      <c r="I1098" s="2">
        <v>30000</v>
      </c>
      <c r="J1098" t="s">
        <v>21</v>
      </c>
      <c r="K1098" s="3">
        <f t="shared" si="34"/>
        <v>30000</v>
      </c>
      <c r="L1098" t="str">
        <f t="shared" si="35"/>
        <v>2025-08</v>
      </c>
    </row>
    <row r="1099" spans="1:12" x14ac:dyDescent="0.25">
      <c r="A1099">
        <v>2101</v>
      </c>
      <c r="B1099">
        <v>93</v>
      </c>
      <c r="C1099" t="str">
        <f>IFERROR(_xlfn.XLOOKUP(B1099, Customer!A:A, Customer!B:B), "Unknown Customer")</f>
        <v>Sepideh Norouzi</v>
      </c>
      <c r="D1099" s="1">
        <v>45761</v>
      </c>
      <c r="E1099" t="s">
        <v>16</v>
      </c>
      <c r="F1099" t="s">
        <v>17</v>
      </c>
      <c r="G1099">
        <v>1</v>
      </c>
      <c r="H1099" t="s">
        <v>11</v>
      </c>
      <c r="I1099" s="2">
        <v>75000</v>
      </c>
      <c r="J1099" t="s">
        <v>28</v>
      </c>
      <c r="K1099" s="3">
        <f t="shared" si="34"/>
        <v>75000</v>
      </c>
      <c r="L1099" t="str">
        <f t="shared" si="35"/>
        <v>2025-04</v>
      </c>
    </row>
    <row r="1100" spans="1:12" x14ac:dyDescent="0.25">
      <c r="A1100">
        <v>2102</v>
      </c>
      <c r="B1100">
        <v>92</v>
      </c>
      <c r="C1100" t="str">
        <f>IFERROR(_xlfn.XLOOKUP(B1100, Customer!A:A, Customer!B:B), "Unknown Customer")</f>
        <v>Payam Zare</v>
      </c>
      <c r="D1100" s="1">
        <v>45944</v>
      </c>
      <c r="E1100" t="s">
        <v>9</v>
      </c>
      <c r="F1100" t="s">
        <v>10</v>
      </c>
      <c r="G1100">
        <v>2</v>
      </c>
      <c r="H1100" t="s">
        <v>11</v>
      </c>
      <c r="I1100" s="2">
        <v>57000</v>
      </c>
      <c r="J1100" t="s">
        <v>15</v>
      </c>
      <c r="K1100" s="3">
        <f t="shared" si="34"/>
        <v>114000</v>
      </c>
      <c r="L1100" t="str">
        <f t="shared" si="35"/>
        <v>2025-10</v>
      </c>
    </row>
    <row r="1101" spans="1:12" x14ac:dyDescent="0.25">
      <c r="A1101">
        <v>2103</v>
      </c>
      <c r="B1101">
        <v>54</v>
      </c>
      <c r="C1101" t="str">
        <f>IFERROR(_xlfn.XLOOKUP(B1101, Customer!A:A, Customer!B:B), "Unknown Customer")</f>
        <v>Parisa Rostami</v>
      </c>
      <c r="D1101" s="1">
        <v>45915</v>
      </c>
      <c r="E1101" t="s">
        <v>23</v>
      </c>
      <c r="F1101" t="s">
        <v>17</v>
      </c>
      <c r="G1101">
        <v>2</v>
      </c>
      <c r="H1101" t="s">
        <v>11</v>
      </c>
      <c r="I1101" s="2">
        <v>85000</v>
      </c>
      <c r="J1101" t="s">
        <v>21</v>
      </c>
      <c r="K1101" s="3">
        <f t="shared" si="34"/>
        <v>170000</v>
      </c>
      <c r="L1101" t="str">
        <f t="shared" si="35"/>
        <v>2025-09</v>
      </c>
    </row>
    <row r="1102" spans="1:12" x14ac:dyDescent="0.25">
      <c r="A1102">
        <v>2104</v>
      </c>
      <c r="B1102">
        <v>6</v>
      </c>
      <c r="C1102" t="str">
        <f>IFERROR(_xlfn.XLOOKUP(B1102, Customer!A:A, Customer!B:B), "Unknown Customer")</f>
        <v>Sepideh Mousavi</v>
      </c>
      <c r="D1102" s="1">
        <v>45689</v>
      </c>
      <c r="E1102" t="s">
        <v>20</v>
      </c>
      <c r="F1102" t="s">
        <v>17</v>
      </c>
      <c r="G1102">
        <v>3</v>
      </c>
      <c r="H1102" t="s">
        <v>11</v>
      </c>
      <c r="I1102" s="2">
        <v>50000</v>
      </c>
      <c r="J1102" t="s">
        <v>24</v>
      </c>
      <c r="K1102" s="3">
        <f t="shared" si="34"/>
        <v>150000</v>
      </c>
      <c r="L1102" t="str">
        <f t="shared" si="35"/>
        <v>2025-02</v>
      </c>
    </row>
    <row r="1103" spans="1:12" x14ac:dyDescent="0.25">
      <c r="A1103">
        <v>2105</v>
      </c>
      <c r="B1103">
        <v>57</v>
      </c>
      <c r="C1103" t="str">
        <f>IFERROR(_xlfn.XLOOKUP(B1103, Customer!A:A, Customer!B:B), "Unknown Customer")</f>
        <v>Parisa Sadeghi</v>
      </c>
      <c r="D1103" s="1">
        <v>45854</v>
      </c>
      <c r="E1103" t="s">
        <v>23</v>
      </c>
      <c r="F1103" t="s">
        <v>17</v>
      </c>
      <c r="G1103">
        <v>2</v>
      </c>
      <c r="H1103" t="s">
        <v>11</v>
      </c>
      <c r="I1103" s="2">
        <v>90000</v>
      </c>
      <c r="J1103" t="s">
        <v>24</v>
      </c>
      <c r="K1103" s="3">
        <f t="shared" si="34"/>
        <v>180000</v>
      </c>
      <c r="L1103" t="str">
        <f t="shared" si="35"/>
        <v>2025-07</v>
      </c>
    </row>
    <row r="1104" spans="1:12" x14ac:dyDescent="0.25">
      <c r="A1104">
        <v>2106</v>
      </c>
      <c r="B1104">
        <v>1</v>
      </c>
      <c r="C1104" t="str">
        <f>IFERROR(_xlfn.XLOOKUP(B1104, Customer!A:A, Customer!B:B), "Unknown Customer")</f>
        <v>Leila Rezaei</v>
      </c>
      <c r="D1104" s="1">
        <v>45950</v>
      </c>
      <c r="E1104" t="s">
        <v>13</v>
      </c>
      <c r="F1104" t="s">
        <v>14</v>
      </c>
      <c r="G1104">
        <v>4</v>
      </c>
      <c r="H1104" t="s">
        <v>11</v>
      </c>
      <c r="I1104" s="2">
        <v>63000</v>
      </c>
      <c r="J1104" t="s">
        <v>21</v>
      </c>
      <c r="K1104" s="3">
        <f t="shared" si="34"/>
        <v>252000</v>
      </c>
      <c r="L1104" t="str">
        <f t="shared" si="35"/>
        <v>2025-10</v>
      </c>
    </row>
    <row r="1105" spans="1:12" x14ac:dyDescent="0.25">
      <c r="A1105">
        <v>2107</v>
      </c>
      <c r="B1105">
        <v>110</v>
      </c>
      <c r="C1105" t="str">
        <f>IFERROR(_xlfn.XLOOKUP(B1105, Customer!A:A, Customer!B:B), "Unknown Customer")</f>
        <v>Parisa Mousavi</v>
      </c>
      <c r="D1105" s="1">
        <v>45663</v>
      </c>
      <c r="E1105" t="s">
        <v>30</v>
      </c>
      <c r="F1105" t="s">
        <v>14</v>
      </c>
      <c r="G1105">
        <v>2</v>
      </c>
      <c r="H1105" t="s">
        <v>11</v>
      </c>
      <c r="I1105" s="2">
        <v>43000</v>
      </c>
      <c r="J1105" t="s">
        <v>19</v>
      </c>
      <c r="K1105" s="3">
        <f t="shared" si="34"/>
        <v>86000</v>
      </c>
      <c r="L1105" t="str">
        <f t="shared" si="35"/>
        <v>2025-01</v>
      </c>
    </row>
    <row r="1106" spans="1:12" x14ac:dyDescent="0.25">
      <c r="A1106">
        <v>2108</v>
      </c>
      <c r="B1106">
        <v>69</v>
      </c>
      <c r="C1106" t="str">
        <f>IFERROR(_xlfn.XLOOKUP(B1106, Customer!A:A, Customer!B:B), "Unknown Customer")</f>
        <v>Mahsa Ebrahimi</v>
      </c>
      <c r="D1106" s="1">
        <v>45807</v>
      </c>
      <c r="E1106" t="s">
        <v>30</v>
      </c>
      <c r="F1106" t="s">
        <v>14</v>
      </c>
      <c r="G1106">
        <v>1</v>
      </c>
      <c r="H1106" t="s">
        <v>11</v>
      </c>
      <c r="I1106" s="2">
        <v>48000</v>
      </c>
      <c r="J1106" t="s">
        <v>12</v>
      </c>
      <c r="K1106" s="3">
        <f t="shared" si="34"/>
        <v>48000</v>
      </c>
      <c r="L1106" t="str">
        <f t="shared" si="35"/>
        <v>2025-05</v>
      </c>
    </row>
    <row r="1107" spans="1:12" x14ac:dyDescent="0.25">
      <c r="A1107">
        <v>2109</v>
      </c>
      <c r="B1107">
        <v>32</v>
      </c>
      <c r="C1107" t="str">
        <f>IFERROR(_xlfn.XLOOKUP(B1107, Customer!A:A, Customer!B:B), "Unknown Customer")</f>
        <v>Elham Karimi</v>
      </c>
      <c r="D1107" s="1">
        <v>45931</v>
      </c>
      <c r="E1107" t="s">
        <v>30</v>
      </c>
      <c r="F1107" t="s">
        <v>14</v>
      </c>
      <c r="G1107">
        <v>3</v>
      </c>
      <c r="H1107" t="s">
        <v>11</v>
      </c>
      <c r="I1107" s="2">
        <v>48000</v>
      </c>
      <c r="J1107" t="s">
        <v>21</v>
      </c>
      <c r="K1107" s="3">
        <f t="shared" si="34"/>
        <v>144000</v>
      </c>
      <c r="L1107" t="str">
        <f t="shared" si="35"/>
        <v>2025-10</v>
      </c>
    </row>
    <row r="1108" spans="1:12" x14ac:dyDescent="0.25">
      <c r="A1108">
        <v>2110</v>
      </c>
      <c r="B1108">
        <v>11</v>
      </c>
      <c r="C1108" t="str">
        <f>IFERROR(_xlfn.XLOOKUP(B1108, Customer!A:A, Customer!B:B), "Unknown Customer")</f>
        <v>Leila Kazemi</v>
      </c>
      <c r="D1108" s="1">
        <v>45939</v>
      </c>
      <c r="E1108" t="s">
        <v>22</v>
      </c>
      <c r="F1108" t="s">
        <v>14</v>
      </c>
      <c r="G1108">
        <v>2</v>
      </c>
      <c r="H1108" t="s">
        <v>11</v>
      </c>
      <c r="I1108" s="2">
        <v>65000</v>
      </c>
      <c r="J1108" t="s">
        <v>19</v>
      </c>
      <c r="K1108" s="3">
        <f t="shared" si="34"/>
        <v>130000</v>
      </c>
      <c r="L1108" t="str">
        <f t="shared" si="35"/>
        <v>2025-10</v>
      </c>
    </row>
    <row r="1109" spans="1:12" x14ac:dyDescent="0.25">
      <c r="A1109">
        <v>2111</v>
      </c>
      <c r="B1109">
        <v>81</v>
      </c>
      <c r="C1109" t="str">
        <f>IFERROR(_xlfn.XLOOKUP(B1109, Customer!A:A, Customer!B:B), "Unknown Customer")</f>
        <v>Nazanin Fallahi</v>
      </c>
      <c r="D1109" s="1">
        <v>45695</v>
      </c>
      <c r="E1109" t="s">
        <v>29</v>
      </c>
      <c r="F1109" t="s">
        <v>14</v>
      </c>
      <c r="G1109">
        <v>1</v>
      </c>
      <c r="H1109" t="s">
        <v>11</v>
      </c>
      <c r="I1109" s="2">
        <v>45000</v>
      </c>
      <c r="J1109" t="s">
        <v>12</v>
      </c>
      <c r="K1109" s="3">
        <f t="shared" si="34"/>
        <v>45000</v>
      </c>
      <c r="L1109" t="str">
        <f t="shared" si="35"/>
        <v>2025-02</v>
      </c>
    </row>
    <row r="1110" spans="1:12" x14ac:dyDescent="0.25">
      <c r="A1110">
        <v>2112</v>
      </c>
      <c r="B1110">
        <v>96</v>
      </c>
      <c r="C1110" t="str">
        <f>IFERROR(_xlfn.XLOOKUP(B1110, Customer!A:A, Customer!B:B), "Unknown Customer")</f>
        <v>Milad Norouzi</v>
      </c>
      <c r="D1110" s="1">
        <v>45853</v>
      </c>
      <c r="E1110" t="s">
        <v>22</v>
      </c>
      <c r="F1110" t="s">
        <v>14</v>
      </c>
      <c r="G1110">
        <v>4</v>
      </c>
      <c r="H1110" t="s">
        <v>11</v>
      </c>
      <c r="I1110" s="2">
        <v>65000</v>
      </c>
      <c r="J1110" t="s">
        <v>15</v>
      </c>
      <c r="K1110" s="3">
        <f t="shared" si="34"/>
        <v>260000</v>
      </c>
      <c r="L1110" t="str">
        <f t="shared" si="35"/>
        <v>2025-07</v>
      </c>
    </row>
    <row r="1111" spans="1:12" x14ac:dyDescent="0.25">
      <c r="A1111">
        <v>2113</v>
      </c>
      <c r="B1111">
        <v>29</v>
      </c>
      <c r="C1111" t="str">
        <f>IFERROR(_xlfn.XLOOKUP(B1111, Customer!A:A, Customer!B:B), "Unknown Customer")</f>
        <v>Leila Kazemi</v>
      </c>
      <c r="D1111" s="1">
        <v>45795</v>
      </c>
      <c r="E1111" t="s">
        <v>25</v>
      </c>
      <c r="F1111" t="s">
        <v>10</v>
      </c>
      <c r="G1111">
        <v>1</v>
      </c>
      <c r="H1111" t="s">
        <v>11</v>
      </c>
      <c r="I1111" s="2">
        <v>65000</v>
      </c>
      <c r="J1111" t="s">
        <v>21</v>
      </c>
      <c r="K1111" s="3">
        <f t="shared" si="34"/>
        <v>65000</v>
      </c>
      <c r="L1111" t="str">
        <f t="shared" si="35"/>
        <v>2025-05</v>
      </c>
    </row>
    <row r="1112" spans="1:12" x14ac:dyDescent="0.25">
      <c r="A1112">
        <v>2114</v>
      </c>
      <c r="B1112">
        <v>19</v>
      </c>
      <c r="C1112" t="str">
        <f>IFERROR(_xlfn.XLOOKUP(B1112, Customer!A:A, Customer!B:B), "Unknown Customer")</f>
        <v>Leila Sadeghi</v>
      </c>
      <c r="D1112" s="1">
        <v>45705</v>
      </c>
      <c r="E1112" t="s">
        <v>16</v>
      </c>
      <c r="F1112" t="s">
        <v>17</v>
      </c>
      <c r="G1112">
        <v>2</v>
      </c>
      <c r="H1112" t="s">
        <v>11</v>
      </c>
      <c r="I1112" s="2">
        <v>75000</v>
      </c>
      <c r="J1112" t="s">
        <v>28</v>
      </c>
      <c r="K1112" s="3">
        <f t="shared" si="34"/>
        <v>150000</v>
      </c>
      <c r="L1112" t="str">
        <f t="shared" si="35"/>
        <v>2025-02</v>
      </c>
    </row>
    <row r="1113" spans="1:12" x14ac:dyDescent="0.25">
      <c r="A1113">
        <v>2115</v>
      </c>
      <c r="B1113">
        <v>63</v>
      </c>
      <c r="C1113" t="str">
        <f>IFERROR(_xlfn.XLOOKUP(B1113, Customer!A:A, Customer!B:B), "Unknown Customer")</f>
        <v>Golnaz Rezaei</v>
      </c>
      <c r="D1113" s="1">
        <v>45720</v>
      </c>
      <c r="E1113" t="s">
        <v>22</v>
      </c>
      <c r="F1113" t="s">
        <v>14</v>
      </c>
      <c r="G1113">
        <v>1</v>
      </c>
      <c r="H1113" t="s">
        <v>11</v>
      </c>
      <c r="I1113" s="2">
        <v>60000</v>
      </c>
      <c r="J1113" t="s">
        <v>15</v>
      </c>
      <c r="K1113" s="3">
        <f t="shared" si="34"/>
        <v>60000</v>
      </c>
      <c r="L1113" t="str">
        <f t="shared" si="35"/>
        <v>2025-03</v>
      </c>
    </row>
    <row r="1114" spans="1:12" x14ac:dyDescent="0.25">
      <c r="A1114">
        <v>2116</v>
      </c>
      <c r="B1114">
        <v>88</v>
      </c>
      <c r="C1114" t="str">
        <f>IFERROR(_xlfn.XLOOKUP(B1114, Customer!A:A, Customer!B:B), "Unknown Customer")</f>
        <v>Golnaz Rostami</v>
      </c>
      <c r="D1114" s="1">
        <v>45754</v>
      </c>
      <c r="E1114" t="s">
        <v>20</v>
      </c>
      <c r="F1114" t="s">
        <v>17</v>
      </c>
      <c r="G1114">
        <v>1</v>
      </c>
      <c r="H1114" t="s">
        <v>11</v>
      </c>
      <c r="I1114" s="2">
        <v>50000</v>
      </c>
      <c r="J1114" t="s">
        <v>12</v>
      </c>
      <c r="K1114" s="3">
        <f t="shared" si="34"/>
        <v>50000</v>
      </c>
      <c r="L1114" t="str">
        <f t="shared" si="35"/>
        <v>2025-04</v>
      </c>
    </row>
    <row r="1115" spans="1:12" x14ac:dyDescent="0.25">
      <c r="A1115">
        <v>2117</v>
      </c>
      <c r="B1115">
        <v>78</v>
      </c>
      <c r="C1115" t="str">
        <f>IFERROR(_xlfn.XLOOKUP(B1115, Customer!A:A, Customer!B:B), "Unknown Customer")</f>
        <v>Elham Karimi</v>
      </c>
      <c r="D1115" s="1">
        <v>45709</v>
      </c>
      <c r="E1115" t="s">
        <v>31</v>
      </c>
      <c r="F1115" t="s">
        <v>17</v>
      </c>
      <c r="G1115">
        <v>3</v>
      </c>
      <c r="H1115" t="s">
        <v>11</v>
      </c>
      <c r="I1115" s="2">
        <v>35000</v>
      </c>
      <c r="J1115" t="s">
        <v>15</v>
      </c>
      <c r="K1115" s="3">
        <f t="shared" si="34"/>
        <v>105000</v>
      </c>
      <c r="L1115" t="str">
        <f t="shared" si="35"/>
        <v>2025-02</v>
      </c>
    </row>
    <row r="1116" spans="1:12" x14ac:dyDescent="0.25">
      <c r="A1116">
        <v>2118</v>
      </c>
      <c r="B1116">
        <v>50</v>
      </c>
      <c r="C1116" t="str">
        <f>IFERROR(_xlfn.XLOOKUP(B1116, Customer!A:A, Customer!B:B), "Unknown Customer")</f>
        <v>Mona Naderi</v>
      </c>
      <c r="D1116" s="1">
        <v>45714</v>
      </c>
      <c r="E1116" t="s">
        <v>29</v>
      </c>
      <c r="F1116" t="s">
        <v>14</v>
      </c>
      <c r="G1116">
        <v>1</v>
      </c>
      <c r="H1116" t="s">
        <v>11</v>
      </c>
      <c r="I1116" s="2">
        <v>45000</v>
      </c>
      <c r="J1116" t="s">
        <v>24</v>
      </c>
      <c r="K1116" s="3">
        <f t="shared" si="34"/>
        <v>45000</v>
      </c>
      <c r="L1116" t="str">
        <f t="shared" si="35"/>
        <v>2025-02</v>
      </c>
    </row>
    <row r="1117" spans="1:12" x14ac:dyDescent="0.25">
      <c r="A1117">
        <v>2119</v>
      </c>
      <c r="B1117">
        <v>96</v>
      </c>
      <c r="C1117" t="str">
        <f>IFERROR(_xlfn.XLOOKUP(B1117, Customer!A:A, Customer!B:B), "Unknown Customer")</f>
        <v>Milad Norouzi</v>
      </c>
      <c r="D1117" s="1">
        <v>45965</v>
      </c>
      <c r="E1117" t="s">
        <v>27</v>
      </c>
      <c r="F1117" t="s">
        <v>14</v>
      </c>
      <c r="G1117">
        <v>4</v>
      </c>
      <c r="H1117" t="s">
        <v>11</v>
      </c>
      <c r="I1117" s="2">
        <v>30000</v>
      </c>
      <c r="J1117" t="s">
        <v>12</v>
      </c>
      <c r="K1117" s="3">
        <f t="shared" si="34"/>
        <v>120000</v>
      </c>
      <c r="L1117" t="str">
        <f t="shared" si="35"/>
        <v>2025-11</v>
      </c>
    </row>
    <row r="1118" spans="1:12" x14ac:dyDescent="0.25">
      <c r="A1118">
        <v>2120</v>
      </c>
      <c r="B1118">
        <v>11</v>
      </c>
      <c r="C1118" t="str">
        <f>IFERROR(_xlfn.XLOOKUP(B1118, Customer!A:A, Customer!B:B), "Unknown Customer")</f>
        <v>Leila Kazemi</v>
      </c>
      <c r="D1118" s="1">
        <v>45729</v>
      </c>
      <c r="E1118" t="s">
        <v>30</v>
      </c>
      <c r="F1118" t="s">
        <v>14</v>
      </c>
      <c r="G1118">
        <v>4</v>
      </c>
      <c r="H1118" t="s">
        <v>11</v>
      </c>
      <c r="I1118" s="2">
        <v>48000</v>
      </c>
      <c r="J1118" t="s">
        <v>15</v>
      </c>
      <c r="K1118" s="3">
        <f t="shared" si="34"/>
        <v>192000</v>
      </c>
      <c r="L1118" t="str">
        <f t="shared" si="35"/>
        <v>2025-03</v>
      </c>
    </row>
    <row r="1119" spans="1:12" x14ac:dyDescent="0.25">
      <c r="A1119">
        <v>2121</v>
      </c>
      <c r="B1119">
        <v>20</v>
      </c>
      <c r="C1119" t="str">
        <f>IFERROR(_xlfn.XLOOKUP(B1119, Customer!A:A, Customer!B:B), "Unknown Customer")</f>
        <v>Setareh Abbasi</v>
      </c>
      <c r="D1119" s="1">
        <v>45686</v>
      </c>
      <c r="E1119" t="s">
        <v>30</v>
      </c>
      <c r="F1119" t="s">
        <v>14</v>
      </c>
      <c r="G1119">
        <v>3</v>
      </c>
      <c r="H1119" t="s">
        <v>11</v>
      </c>
      <c r="I1119" s="2">
        <v>53000</v>
      </c>
      <c r="J1119" t="s">
        <v>19</v>
      </c>
      <c r="K1119" s="3">
        <f t="shared" si="34"/>
        <v>159000</v>
      </c>
      <c r="L1119" t="str">
        <f t="shared" si="35"/>
        <v>2025-01</v>
      </c>
    </row>
    <row r="1120" spans="1:12" x14ac:dyDescent="0.25">
      <c r="A1120">
        <v>2122</v>
      </c>
      <c r="B1120">
        <v>14</v>
      </c>
      <c r="C1120" t="str">
        <f>IFERROR(_xlfn.XLOOKUP(B1120, Customer!A:A, Customer!B:B), "Unknown Customer")</f>
        <v>Ali Ghasemi</v>
      </c>
      <c r="D1120" s="1">
        <v>45663</v>
      </c>
      <c r="E1120" t="s">
        <v>23</v>
      </c>
      <c r="F1120" t="s">
        <v>17</v>
      </c>
      <c r="G1120">
        <v>1</v>
      </c>
      <c r="H1120" t="s">
        <v>11</v>
      </c>
      <c r="I1120" s="2">
        <v>80000</v>
      </c>
      <c r="J1120" t="s">
        <v>24</v>
      </c>
      <c r="K1120" s="3">
        <f t="shared" si="34"/>
        <v>80000</v>
      </c>
      <c r="L1120" t="str">
        <f t="shared" si="35"/>
        <v>2025-01</v>
      </c>
    </row>
    <row r="1121" spans="1:12" x14ac:dyDescent="0.25">
      <c r="A1121">
        <v>2123</v>
      </c>
      <c r="B1121">
        <v>55</v>
      </c>
      <c r="C1121" t="str">
        <f>IFERROR(_xlfn.XLOOKUP(B1121, Customer!A:A, Customer!B:B), "Unknown Customer")</f>
        <v>Payam Jafari</v>
      </c>
      <c r="D1121" s="1">
        <v>45733</v>
      </c>
      <c r="E1121" t="s">
        <v>31</v>
      </c>
      <c r="F1121" t="s">
        <v>17</v>
      </c>
      <c r="G1121">
        <v>1</v>
      </c>
      <c r="H1121" t="s">
        <v>11</v>
      </c>
      <c r="I1121" s="2">
        <v>40000</v>
      </c>
      <c r="J1121" t="s">
        <v>15</v>
      </c>
      <c r="K1121" s="3">
        <f t="shared" si="34"/>
        <v>40000</v>
      </c>
      <c r="L1121" t="str">
        <f t="shared" si="35"/>
        <v>2025-03</v>
      </c>
    </row>
    <row r="1122" spans="1:12" x14ac:dyDescent="0.25">
      <c r="A1122">
        <v>2124</v>
      </c>
      <c r="B1122">
        <v>22</v>
      </c>
      <c r="C1122" t="str">
        <f>IFERROR(_xlfn.XLOOKUP(B1122, Customer!A:A, Customer!B:B), "Unknown Customer")</f>
        <v>Amir Yousefi</v>
      </c>
      <c r="D1122" s="1">
        <v>45772</v>
      </c>
      <c r="E1122" t="s">
        <v>18</v>
      </c>
      <c r="F1122" t="s">
        <v>14</v>
      </c>
      <c r="G1122">
        <v>1</v>
      </c>
      <c r="H1122" t="s">
        <v>11</v>
      </c>
      <c r="I1122" s="2">
        <v>50000</v>
      </c>
      <c r="J1122" t="s">
        <v>19</v>
      </c>
      <c r="K1122" s="3">
        <f t="shared" si="34"/>
        <v>50000</v>
      </c>
      <c r="L1122" t="str">
        <f t="shared" si="35"/>
        <v>2025-04</v>
      </c>
    </row>
    <row r="1123" spans="1:12" x14ac:dyDescent="0.25">
      <c r="A1123">
        <v>2125</v>
      </c>
      <c r="B1123">
        <v>47</v>
      </c>
      <c r="C1123" t="str">
        <f>IFERROR(_xlfn.XLOOKUP(B1123, Customer!A:A, Customer!B:B), "Unknown Customer")</f>
        <v>Mahsa Abbasi</v>
      </c>
      <c r="D1123" s="1">
        <v>45680</v>
      </c>
      <c r="E1123" t="s">
        <v>18</v>
      </c>
      <c r="F1123" t="s">
        <v>14</v>
      </c>
      <c r="G1123">
        <v>1</v>
      </c>
      <c r="H1123" t="s">
        <v>11</v>
      </c>
      <c r="I1123" s="2">
        <v>55320</v>
      </c>
      <c r="J1123" t="s">
        <v>28</v>
      </c>
      <c r="K1123" s="3">
        <f t="shared" si="34"/>
        <v>55320</v>
      </c>
      <c r="L1123" t="str">
        <f t="shared" si="35"/>
        <v>2025-01</v>
      </c>
    </row>
    <row r="1124" spans="1:12" x14ac:dyDescent="0.25">
      <c r="A1124">
        <v>2126</v>
      </c>
      <c r="B1124">
        <v>24</v>
      </c>
      <c r="C1124" t="str">
        <f>IFERROR(_xlfn.XLOOKUP(B1124, Customer!A:A, Customer!B:B), "Unknown Customer")</f>
        <v>Farhad Sadeghi</v>
      </c>
      <c r="D1124" s="1">
        <v>45816</v>
      </c>
      <c r="E1124" t="s">
        <v>27</v>
      </c>
      <c r="F1124" t="s">
        <v>14</v>
      </c>
      <c r="G1124">
        <v>2</v>
      </c>
      <c r="H1124" t="s">
        <v>11</v>
      </c>
      <c r="I1124" s="2">
        <v>35000</v>
      </c>
      <c r="J1124" t="s">
        <v>21</v>
      </c>
      <c r="K1124" s="3">
        <f t="shared" si="34"/>
        <v>70000</v>
      </c>
      <c r="L1124" t="str">
        <f t="shared" si="35"/>
        <v>2025-06</v>
      </c>
    </row>
    <row r="1125" spans="1:12" x14ac:dyDescent="0.25">
      <c r="A1125">
        <v>2127</v>
      </c>
      <c r="B1125">
        <v>118</v>
      </c>
      <c r="C1125" t="str">
        <f>IFERROR(_xlfn.XLOOKUP(B1125, Customer!A:A, Customer!B:B), "Unknown Customer")</f>
        <v>Hamed Rezaei</v>
      </c>
      <c r="D1125" s="1">
        <v>45789</v>
      </c>
      <c r="E1125" t="s">
        <v>16</v>
      </c>
      <c r="F1125" t="s">
        <v>17</v>
      </c>
      <c r="G1125">
        <v>1</v>
      </c>
      <c r="H1125" t="s">
        <v>11</v>
      </c>
      <c r="I1125" s="2">
        <v>70000</v>
      </c>
      <c r="J1125" t="s">
        <v>12</v>
      </c>
      <c r="K1125" s="3">
        <f t="shared" si="34"/>
        <v>70000</v>
      </c>
      <c r="L1125" t="str">
        <f t="shared" si="35"/>
        <v>2025-05</v>
      </c>
    </row>
    <row r="1126" spans="1:12" x14ac:dyDescent="0.25">
      <c r="A1126">
        <v>2128</v>
      </c>
      <c r="B1126">
        <v>19</v>
      </c>
      <c r="C1126" t="str">
        <f>IFERROR(_xlfn.XLOOKUP(B1126, Customer!A:A, Customer!B:B), "Unknown Customer")</f>
        <v>Leila Sadeghi</v>
      </c>
      <c r="D1126" s="1">
        <v>45733</v>
      </c>
      <c r="E1126" t="s">
        <v>25</v>
      </c>
      <c r="F1126" t="s">
        <v>10</v>
      </c>
      <c r="G1126">
        <v>3</v>
      </c>
      <c r="H1126" t="s">
        <v>11</v>
      </c>
      <c r="I1126" s="2">
        <v>65000</v>
      </c>
      <c r="J1126" t="s">
        <v>28</v>
      </c>
      <c r="K1126" s="3">
        <f t="shared" si="34"/>
        <v>195000</v>
      </c>
      <c r="L1126" t="str">
        <f t="shared" si="35"/>
        <v>2025-03</v>
      </c>
    </row>
    <row r="1127" spans="1:12" x14ac:dyDescent="0.25">
      <c r="A1127">
        <v>2129</v>
      </c>
      <c r="B1127">
        <v>55</v>
      </c>
      <c r="C1127" t="str">
        <f>IFERROR(_xlfn.XLOOKUP(B1127, Customer!A:A, Customer!B:B), "Unknown Customer")</f>
        <v>Payam Jafari</v>
      </c>
      <c r="D1127" s="1">
        <v>45800</v>
      </c>
      <c r="E1127" t="s">
        <v>22</v>
      </c>
      <c r="F1127" t="s">
        <v>14</v>
      </c>
      <c r="G1127">
        <v>1</v>
      </c>
      <c r="H1127" t="s">
        <v>11</v>
      </c>
      <c r="I1127" s="2">
        <v>60000</v>
      </c>
      <c r="J1127" t="s">
        <v>21</v>
      </c>
      <c r="K1127" s="3">
        <f t="shared" si="34"/>
        <v>60000</v>
      </c>
      <c r="L1127" t="str">
        <f t="shared" si="35"/>
        <v>2025-05</v>
      </c>
    </row>
    <row r="1128" spans="1:12" x14ac:dyDescent="0.25">
      <c r="A1128">
        <v>2130</v>
      </c>
      <c r="B1128">
        <v>41</v>
      </c>
      <c r="C1128" t="str">
        <f>IFERROR(_xlfn.XLOOKUP(B1128, Customer!A:A, Customer!B:B), "Unknown Customer")</f>
        <v>Iman Yousefi</v>
      </c>
      <c r="D1128" s="1">
        <v>45816</v>
      </c>
      <c r="E1128" t="s">
        <v>16</v>
      </c>
      <c r="F1128" t="s">
        <v>17</v>
      </c>
      <c r="G1128">
        <v>2</v>
      </c>
      <c r="H1128" t="s">
        <v>11</v>
      </c>
      <c r="I1128" s="2">
        <v>75000</v>
      </c>
      <c r="J1128" t="s">
        <v>15</v>
      </c>
      <c r="K1128" s="3">
        <f t="shared" si="34"/>
        <v>150000</v>
      </c>
      <c r="L1128" t="str">
        <f t="shared" si="35"/>
        <v>2025-06</v>
      </c>
    </row>
    <row r="1129" spans="1:12" x14ac:dyDescent="0.25">
      <c r="A1129">
        <v>2131</v>
      </c>
      <c r="B1129">
        <v>54</v>
      </c>
      <c r="C1129" t="str">
        <f>IFERROR(_xlfn.XLOOKUP(B1129, Customer!A:A, Customer!B:B), "Unknown Customer")</f>
        <v>Parisa Rostami</v>
      </c>
      <c r="D1129" s="1">
        <v>46000</v>
      </c>
      <c r="E1129" t="s">
        <v>23</v>
      </c>
      <c r="F1129" t="s">
        <v>17</v>
      </c>
      <c r="G1129">
        <v>2</v>
      </c>
      <c r="H1129" t="s">
        <v>11</v>
      </c>
      <c r="I1129" s="2">
        <v>90000</v>
      </c>
      <c r="J1129" t="s">
        <v>19</v>
      </c>
      <c r="K1129" s="3">
        <f t="shared" si="34"/>
        <v>180000</v>
      </c>
      <c r="L1129" t="str">
        <f t="shared" si="35"/>
        <v>2025-12</v>
      </c>
    </row>
    <row r="1130" spans="1:12" x14ac:dyDescent="0.25">
      <c r="A1130">
        <v>2132</v>
      </c>
      <c r="B1130">
        <v>75</v>
      </c>
      <c r="C1130" t="str">
        <f>IFERROR(_xlfn.XLOOKUP(B1130, Customer!A:A, Customer!B:B), "Unknown Customer")</f>
        <v>Kian Ebrahimi</v>
      </c>
      <c r="D1130" s="1">
        <v>45873</v>
      </c>
      <c r="E1130" t="s">
        <v>22</v>
      </c>
      <c r="F1130" t="s">
        <v>14</v>
      </c>
      <c r="G1130">
        <v>3</v>
      </c>
      <c r="H1130" t="s">
        <v>11</v>
      </c>
      <c r="I1130" s="2">
        <v>59954.128440366971</v>
      </c>
      <c r="J1130" t="s">
        <v>19</v>
      </c>
      <c r="K1130" s="3">
        <f t="shared" si="34"/>
        <v>179862.38532110091</v>
      </c>
      <c r="L1130" t="str">
        <f t="shared" si="35"/>
        <v>2025-08</v>
      </c>
    </row>
    <row r="1131" spans="1:12" x14ac:dyDescent="0.25">
      <c r="A1131">
        <v>2133</v>
      </c>
      <c r="B1131">
        <v>27</v>
      </c>
      <c r="C1131" t="str">
        <f>IFERROR(_xlfn.XLOOKUP(B1131, Customer!A:A, Customer!B:B), "Unknown Customer")</f>
        <v>Sina Fallahi</v>
      </c>
      <c r="D1131" s="1">
        <v>45784</v>
      </c>
      <c r="E1131" t="s">
        <v>29</v>
      </c>
      <c r="F1131" t="s">
        <v>14</v>
      </c>
      <c r="G1131">
        <v>1</v>
      </c>
      <c r="H1131" t="s">
        <v>11</v>
      </c>
      <c r="I1131" s="2">
        <v>40000</v>
      </c>
      <c r="J1131" t="s">
        <v>21</v>
      </c>
      <c r="K1131" s="3">
        <f t="shared" si="34"/>
        <v>40000</v>
      </c>
      <c r="L1131" t="str">
        <f t="shared" si="35"/>
        <v>2025-05</v>
      </c>
    </row>
    <row r="1132" spans="1:12" x14ac:dyDescent="0.25">
      <c r="A1132">
        <v>2134</v>
      </c>
      <c r="B1132">
        <v>109</v>
      </c>
      <c r="C1132" t="str">
        <f>IFERROR(_xlfn.XLOOKUP(B1132, Customer!A:A, Customer!B:B), "Unknown Customer")</f>
        <v>Roya Jafari</v>
      </c>
      <c r="D1132" s="1">
        <v>45808</v>
      </c>
      <c r="E1132" t="s">
        <v>13</v>
      </c>
      <c r="F1132" t="s">
        <v>14</v>
      </c>
      <c r="G1132">
        <v>4</v>
      </c>
      <c r="H1132" t="s">
        <v>11</v>
      </c>
      <c r="I1132" s="2">
        <v>63000</v>
      </c>
      <c r="J1132" t="s">
        <v>24</v>
      </c>
      <c r="K1132" s="3">
        <f t="shared" si="34"/>
        <v>252000</v>
      </c>
      <c r="L1132" t="str">
        <f t="shared" si="35"/>
        <v>2025-05</v>
      </c>
    </row>
    <row r="1133" spans="1:12" x14ac:dyDescent="0.25">
      <c r="A1133">
        <v>2135</v>
      </c>
      <c r="B1133">
        <v>106</v>
      </c>
      <c r="C1133" t="str">
        <f>IFERROR(_xlfn.XLOOKUP(B1133, Customer!A:A, Customer!B:B), "Unknown Customer")</f>
        <v>Iman Zare</v>
      </c>
      <c r="D1133" s="1">
        <v>45686</v>
      </c>
      <c r="E1133" t="s">
        <v>30</v>
      </c>
      <c r="F1133" t="s">
        <v>14</v>
      </c>
      <c r="G1133">
        <v>1</v>
      </c>
      <c r="H1133" t="s">
        <v>11</v>
      </c>
      <c r="I1133" s="2">
        <v>48000</v>
      </c>
      <c r="J1133" t="s">
        <v>12</v>
      </c>
      <c r="K1133" s="3">
        <f t="shared" si="34"/>
        <v>48000</v>
      </c>
      <c r="L1133" t="str">
        <f t="shared" si="35"/>
        <v>2025-01</v>
      </c>
    </row>
    <row r="1134" spans="1:12" x14ac:dyDescent="0.25">
      <c r="A1134">
        <v>2136</v>
      </c>
      <c r="B1134">
        <v>118</v>
      </c>
      <c r="C1134" t="str">
        <f>IFERROR(_xlfn.XLOOKUP(B1134, Customer!A:A, Customer!B:B), "Unknown Customer")</f>
        <v>Hamed Rezaei</v>
      </c>
      <c r="D1134" s="1">
        <v>45848</v>
      </c>
      <c r="E1134" t="s">
        <v>31</v>
      </c>
      <c r="F1134" t="s">
        <v>17</v>
      </c>
      <c r="G1134">
        <v>3</v>
      </c>
      <c r="H1134" t="s">
        <v>11</v>
      </c>
      <c r="I1134" s="2">
        <v>45000</v>
      </c>
      <c r="J1134" t="s">
        <v>28</v>
      </c>
      <c r="K1134" s="3">
        <f t="shared" si="34"/>
        <v>135000</v>
      </c>
      <c r="L1134" t="str">
        <f t="shared" si="35"/>
        <v>2025-07</v>
      </c>
    </row>
    <row r="1135" spans="1:12" x14ac:dyDescent="0.25">
      <c r="A1135">
        <v>2137</v>
      </c>
      <c r="B1135">
        <v>112</v>
      </c>
      <c r="C1135" t="str">
        <f>IFERROR(_xlfn.XLOOKUP(B1135, Customer!A:A, Customer!B:B), "Unknown Customer")</f>
        <v>Amir Fallahi</v>
      </c>
      <c r="D1135" s="1">
        <v>45673</v>
      </c>
      <c r="E1135" t="s">
        <v>13</v>
      </c>
      <c r="F1135" t="s">
        <v>14</v>
      </c>
      <c r="G1135">
        <v>-1</v>
      </c>
      <c r="H1135" t="s">
        <v>26</v>
      </c>
      <c r="I1135" s="2">
        <v>53000</v>
      </c>
      <c r="J1135" t="s">
        <v>19</v>
      </c>
      <c r="K1135" s="3">
        <f t="shared" si="34"/>
        <v>-53000</v>
      </c>
      <c r="L1135" t="str">
        <f t="shared" si="35"/>
        <v>2025-01</v>
      </c>
    </row>
    <row r="1136" spans="1:12" x14ac:dyDescent="0.25">
      <c r="A1136">
        <v>2138</v>
      </c>
      <c r="B1136">
        <v>73</v>
      </c>
      <c r="C1136" t="str">
        <f>IFERROR(_xlfn.XLOOKUP(B1136, Customer!A:A, Customer!B:B), "Unknown Customer")</f>
        <v>Niloofar Ebrahimi</v>
      </c>
      <c r="D1136" s="1">
        <v>45734</v>
      </c>
      <c r="E1136" t="s">
        <v>31</v>
      </c>
      <c r="F1136" t="s">
        <v>17</v>
      </c>
      <c r="G1136">
        <v>3</v>
      </c>
      <c r="H1136" t="s">
        <v>11</v>
      </c>
      <c r="I1136" s="2">
        <v>40000</v>
      </c>
      <c r="J1136" t="s">
        <v>15</v>
      </c>
      <c r="K1136" s="3">
        <f t="shared" si="34"/>
        <v>120000</v>
      </c>
      <c r="L1136" t="str">
        <f t="shared" si="35"/>
        <v>2025-03</v>
      </c>
    </row>
    <row r="1137" spans="1:12" x14ac:dyDescent="0.25">
      <c r="A1137">
        <v>2139</v>
      </c>
      <c r="B1137">
        <v>53</v>
      </c>
      <c r="C1137" t="str">
        <f>IFERROR(_xlfn.XLOOKUP(B1137, Customer!A:A, Customer!B:B), "Unknown Customer")</f>
        <v>Azadeh Moradi</v>
      </c>
      <c r="D1137" s="1">
        <v>45830</v>
      </c>
      <c r="E1137" t="s">
        <v>22</v>
      </c>
      <c r="F1137" t="s">
        <v>14</v>
      </c>
      <c r="G1137">
        <v>1</v>
      </c>
      <c r="H1137" t="s">
        <v>11</v>
      </c>
      <c r="I1137" s="2">
        <v>55000</v>
      </c>
      <c r="J1137" t="s">
        <v>12</v>
      </c>
      <c r="K1137" s="3">
        <f t="shared" si="34"/>
        <v>55000</v>
      </c>
      <c r="L1137" t="str">
        <f t="shared" si="35"/>
        <v>2025-06</v>
      </c>
    </row>
    <row r="1138" spans="1:12" x14ac:dyDescent="0.25">
      <c r="A1138">
        <v>2140</v>
      </c>
      <c r="B1138">
        <v>5</v>
      </c>
      <c r="C1138" t="str">
        <f>IFERROR(_xlfn.XLOOKUP(B1138, Customer!A:A, Customer!B:B), "Unknown Customer")</f>
        <v>Sara Sadeghi</v>
      </c>
      <c r="D1138" s="1">
        <v>45746</v>
      </c>
      <c r="E1138" t="s">
        <v>20</v>
      </c>
      <c r="F1138" t="s">
        <v>17</v>
      </c>
      <c r="G1138">
        <v>1</v>
      </c>
      <c r="H1138" t="s">
        <v>11</v>
      </c>
      <c r="I1138" s="2">
        <v>50000</v>
      </c>
      <c r="J1138" t="s">
        <v>28</v>
      </c>
      <c r="K1138" s="3">
        <f t="shared" si="34"/>
        <v>50000</v>
      </c>
      <c r="L1138" t="str">
        <f t="shared" si="35"/>
        <v>2025-03</v>
      </c>
    </row>
    <row r="1139" spans="1:12" x14ac:dyDescent="0.25">
      <c r="A1139">
        <v>2141</v>
      </c>
      <c r="B1139">
        <v>92</v>
      </c>
      <c r="C1139" t="str">
        <f>IFERROR(_xlfn.XLOOKUP(B1139, Customer!A:A, Customer!B:B), "Unknown Customer")</f>
        <v>Payam Zare</v>
      </c>
      <c r="D1139" s="1">
        <v>45950</v>
      </c>
      <c r="E1139" t="s">
        <v>9</v>
      </c>
      <c r="F1139" t="s">
        <v>10</v>
      </c>
      <c r="G1139">
        <v>3</v>
      </c>
      <c r="H1139" t="s">
        <v>11</v>
      </c>
      <c r="I1139" s="2">
        <v>62000</v>
      </c>
      <c r="J1139" t="s">
        <v>21</v>
      </c>
      <c r="K1139" s="3">
        <f t="shared" si="34"/>
        <v>186000</v>
      </c>
      <c r="L1139" t="str">
        <f t="shared" si="35"/>
        <v>2025-10</v>
      </c>
    </row>
    <row r="1140" spans="1:12" x14ac:dyDescent="0.25">
      <c r="A1140">
        <v>2142</v>
      </c>
      <c r="B1140">
        <v>78</v>
      </c>
      <c r="C1140" t="str">
        <f>IFERROR(_xlfn.XLOOKUP(B1140, Customer!A:A, Customer!B:B), "Unknown Customer")</f>
        <v>Elham Karimi</v>
      </c>
      <c r="D1140" s="1">
        <v>45925</v>
      </c>
      <c r="E1140" t="s">
        <v>18</v>
      </c>
      <c r="F1140" t="s">
        <v>14</v>
      </c>
      <c r="G1140">
        <v>3</v>
      </c>
      <c r="H1140" t="s">
        <v>11</v>
      </c>
      <c r="I1140" s="2">
        <v>55000</v>
      </c>
      <c r="J1140" t="s">
        <v>24</v>
      </c>
      <c r="K1140" s="3">
        <f t="shared" si="34"/>
        <v>165000</v>
      </c>
      <c r="L1140" t="str">
        <f t="shared" si="35"/>
        <v>2025-09</v>
      </c>
    </row>
    <row r="1141" spans="1:12" x14ac:dyDescent="0.25">
      <c r="A1141">
        <v>2143</v>
      </c>
      <c r="B1141">
        <v>51</v>
      </c>
      <c r="C1141" t="str">
        <f>IFERROR(_xlfn.XLOOKUP(B1141, Customer!A:A, Customer!B:B), "Unknown Customer")</f>
        <v>Azadeh Karimi</v>
      </c>
      <c r="D1141" s="1">
        <v>45944</v>
      </c>
      <c r="E1141" t="s">
        <v>13</v>
      </c>
      <c r="F1141" t="s">
        <v>14</v>
      </c>
      <c r="G1141">
        <v>4</v>
      </c>
      <c r="H1141" t="s">
        <v>11</v>
      </c>
      <c r="I1141" s="2">
        <v>58000</v>
      </c>
      <c r="J1141" t="s">
        <v>12</v>
      </c>
      <c r="K1141" s="3">
        <f t="shared" si="34"/>
        <v>232000</v>
      </c>
      <c r="L1141" t="str">
        <f t="shared" si="35"/>
        <v>2025-10</v>
      </c>
    </row>
    <row r="1142" spans="1:12" x14ac:dyDescent="0.25">
      <c r="A1142">
        <v>2144</v>
      </c>
      <c r="B1142">
        <v>83</v>
      </c>
      <c r="C1142" t="str">
        <f>IFERROR(_xlfn.XLOOKUP(B1142, Customer!A:A, Customer!B:B), "Unknown Customer")</f>
        <v>Roya Yousefi</v>
      </c>
      <c r="D1142" s="1">
        <v>45852</v>
      </c>
      <c r="E1142" t="s">
        <v>31</v>
      </c>
      <c r="F1142" t="s">
        <v>17</v>
      </c>
      <c r="G1142">
        <v>4</v>
      </c>
      <c r="H1142" t="s">
        <v>11</v>
      </c>
      <c r="I1142" s="2">
        <v>40000</v>
      </c>
      <c r="J1142" t="s">
        <v>24</v>
      </c>
      <c r="K1142" s="3">
        <f t="shared" si="34"/>
        <v>160000</v>
      </c>
      <c r="L1142" t="str">
        <f t="shared" si="35"/>
        <v>2025-07</v>
      </c>
    </row>
    <row r="1143" spans="1:12" x14ac:dyDescent="0.25">
      <c r="A1143">
        <v>2145</v>
      </c>
      <c r="B1143">
        <v>35</v>
      </c>
      <c r="C1143" t="str">
        <f>IFERROR(_xlfn.XLOOKUP(B1143, Customer!A:A, Customer!B:B), "Unknown Customer")</f>
        <v>Babak Hosseini</v>
      </c>
      <c r="D1143" s="1">
        <v>45711</v>
      </c>
      <c r="E1143" t="s">
        <v>18</v>
      </c>
      <c r="F1143" t="s">
        <v>14</v>
      </c>
      <c r="G1143">
        <v>2</v>
      </c>
      <c r="H1143" t="s">
        <v>11</v>
      </c>
      <c r="I1143" s="2">
        <v>55000</v>
      </c>
      <c r="J1143" t="s">
        <v>32</v>
      </c>
      <c r="K1143" s="3">
        <f t="shared" si="34"/>
        <v>110000</v>
      </c>
      <c r="L1143" t="str">
        <f t="shared" si="35"/>
        <v>2025-02</v>
      </c>
    </row>
    <row r="1144" spans="1:12" x14ac:dyDescent="0.25">
      <c r="A1144">
        <v>2146</v>
      </c>
      <c r="B1144">
        <v>21</v>
      </c>
      <c r="C1144" t="str">
        <f>IFERROR(_xlfn.XLOOKUP(B1144, Customer!A:A, Customer!B:B), "Unknown Customer")</f>
        <v>Sina Naderi</v>
      </c>
      <c r="D1144" s="1">
        <v>45712</v>
      </c>
      <c r="E1144" t="s">
        <v>23</v>
      </c>
      <c r="F1144" t="s">
        <v>17</v>
      </c>
      <c r="G1144">
        <v>2</v>
      </c>
      <c r="H1144" t="s">
        <v>11</v>
      </c>
      <c r="I1144" s="2">
        <v>80000</v>
      </c>
      <c r="J1144" t="s">
        <v>28</v>
      </c>
      <c r="K1144" s="3">
        <f t="shared" si="34"/>
        <v>160000</v>
      </c>
      <c r="L1144" t="str">
        <f t="shared" si="35"/>
        <v>2025-02</v>
      </c>
    </row>
    <row r="1145" spans="1:12" x14ac:dyDescent="0.25">
      <c r="A1145">
        <v>2147</v>
      </c>
      <c r="B1145">
        <v>26</v>
      </c>
      <c r="C1145" t="str">
        <f>IFERROR(_xlfn.XLOOKUP(B1145, Customer!A:A, Customer!B:B), "Unknown Customer")</f>
        <v>Mona Karimi</v>
      </c>
      <c r="D1145" s="1">
        <v>45674</v>
      </c>
      <c r="E1145" t="s">
        <v>27</v>
      </c>
      <c r="F1145" t="s">
        <v>14</v>
      </c>
      <c r="G1145">
        <v>1</v>
      </c>
      <c r="H1145" t="s">
        <v>11</v>
      </c>
      <c r="I1145" s="2">
        <v>40000</v>
      </c>
      <c r="J1145" t="s">
        <v>28</v>
      </c>
      <c r="K1145" s="3">
        <f t="shared" si="34"/>
        <v>40000</v>
      </c>
      <c r="L1145" t="str">
        <f t="shared" si="35"/>
        <v>2025-01</v>
      </c>
    </row>
    <row r="1146" spans="1:12" x14ac:dyDescent="0.25">
      <c r="A1146">
        <v>2148</v>
      </c>
      <c r="B1146">
        <v>102</v>
      </c>
      <c r="C1146" t="str">
        <f>IFERROR(_xlfn.XLOOKUP(B1146, Customer!A:A, Customer!B:B), "Unknown Customer")</f>
        <v>Yasaman Yousefi</v>
      </c>
      <c r="D1146" s="1">
        <v>45681</v>
      </c>
      <c r="E1146" t="s">
        <v>16</v>
      </c>
      <c r="F1146" t="s">
        <v>17</v>
      </c>
      <c r="G1146">
        <v>1</v>
      </c>
      <c r="H1146" t="s">
        <v>11</v>
      </c>
      <c r="I1146" s="2">
        <v>75000</v>
      </c>
      <c r="J1146" t="s">
        <v>21</v>
      </c>
      <c r="K1146" s="3">
        <f t="shared" si="34"/>
        <v>75000</v>
      </c>
      <c r="L1146" t="str">
        <f t="shared" si="35"/>
        <v>2025-01</v>
      </c>
    </row>
    <row r="1147" spans="1:12" x14ac:dyDescent="0.25">
      <c r="A1147">
        <v>2149</v>
      </c>
      <c r="B1147">
        <v>60</v>
      </c>
      <c r="C1147" t="str">
        <f>IFERROR(_xlfn.XLOOKUP(B1147, Customer!A:A, Customer!B:B), "Unknown Customer")</f>
        <v>Sina Ghasemi</v>
      </c>
      <c r="D1147" s="1">
        <v>45914</v>
      </c>
      <c r="E1147" t="s">
        <v>31</v>
      </c>
      <c r="F1147" t="s">
        <v>17</v>
      </c>
      <c r="G1147">
        <v>4</v>
      </c>
      <c r="H1147" t="s">
        <v>11</v>
      </c>
      <c r="I1147" s="2">
        <v>40000</v>
      </c>
      <c r="J1147" t="s">
        <v>24</v>
      </c>
      <c r="K1147" s="3">
        <f t="shared" si="34"/>
        <v>160000</v>
      </c>
      <c r="L1147" t="str">
        <f t="shared" si="35"/>
        <v>2025-09</v>
      </c>
    </row>
    <row r="1148" spans="1:12" x14ac:dyDescent="0.25">
      <c r="A1148">
        <v>2150</v>
      </c>
      <c r="B1148">
        <v>90</v>
      </c>
      <c r="C1148" t="str">
        <f>IFERROR(_xlfn.XLOOKUP(B1148, Customer!A:A, Customer!B:B), "Unknown Customer")</f>
        <v>Yasaman Karimi</v>
      </c>
      <c r="D1148" s="1">
        <v>45707</v>
      </c>
      <c r="E1148" t="s">
        <v>27</v>
      </c>
      <c r="F1148" t="s">
        <v>14</v>
      </c>
      <c r="G1148">
        <v>3</v>
      </c>
      <c r="H1148" t="s">
        <v>11</v>
      </c>
      <c r="I1148" s="2">
        <v>35000</v>
      </c>
      <c r="J1148" t="s">
        <v>19</v>
      </c>
      <c r="K1148" s="3">
        <f t="shared" si="34"/>
        <v>105000</v>
      </c>
      <c r="L1148" t="str">
        <f t="shared" si="35"/>
        <v>2025-02</v>
      </c>
    </row>
    <row r="1149" spans="1:12" x14ac:dyDescent="0.25">
      <c r="A1149">
        <v>2151</v>
      </c>
      <c r="B1149">
        <v>76</v>
      </c>
      <c r="C1149" t="str">
        <f>IFERROR(_xlfn.XLOOKUP(B1149, Customer!A:A, Customer!B:B), "Unknown Customer")</f>
        <v>Setareh Yousefi</v>
      </c>
      <c r="D1149" s="1">
        <v>45902</v>
      </c>
      <c r="E1149" t="s">
        <v>31</v>
      </c>
      <c r="F1149" t="s">
        <v>17</v>
      </c>
      <c r="G1149">
        <v>1</v>
      </c>
      <c r="H1149" t="s">
        <v>11</v>
      </c>
      <c r="I1149" s="2">
        <v>40000</v>
      </c>
      <c r="J1149" t="s">
        <v>19</v>
      </c>
      <c r="K1149" s="3">
        <f t="shared" si="34"/>
        <v>40000</v>
      </c>
      <c r="L1149" t="str">
        <f t="shared" si="35"/>
        <v>2025-09</v>
      </c>
    </row>
    <row r="1150" spans="1:12" x14ac:dyDescent="0.25">
      <c r="A1150">
        <v>2152</v>
      </c>
      <c r="B1150">
        <v>114</v>
      </c>
      <c r="C1150" t="str">
        <f>IFERROR(_xlfn.XLOOKUP(B1150, Customer!A:A, Customer!B:B), "Unknown Customer")</f>
        <v>Omid Fallahi</v>
      </c>
      <c r="D1150" s="1">
        <v>45705</v>
      </c>
      <c r="E1150" t="s">
        <v>27</v>
      </c>
      <c r="F1150" t="s">
        <v>14</v>
      </c>
      <c r="G1150">
        <v>-1</v>
      </c>
      <c r="H1150" t="s">
        <v>26</v>
      </c>
      <c r="I1150" s="2">
        <v>35000</v>
      </c>
      <c r="J1150" t="s">
        <v>28</v>
      </c>
      <c r="K1150" s="3">
        <f t="shared" si="34"/>
        <v>-35000</v>
      </c>
      <c r="L1150" t="str">
        <f t="shared" si="35"/>
        <v>2025-02</v>
      </c>
    </row>
    <row r="1151" spans="1:12" x14ac:dyDescent="0.25">
      <c r="A1151">
        <v>2153</v>
      </c>
      <c r="B1151">
        <v>67</v>
      </c>
      <c r="C1151" t="str">
        <f>IFERROR(_xlfn.XLOOKUP(B1151, Customer!A:A, Customer!B:B), "Unknown Customer")</f>
        <v>Reza Jafari</v>
      </c>
      <c r="D1151" s="1">
        <v>45880</v>
      </c>
      <c r="E1151" t="s">
        <v>22</v>
      </c>
      <c r="F1151" t="s">
        <v>14</v>
      </c>
      <c r="G1151">
        <v>2</v>
      </c>
      <c r="H1151" t="s">
        <v>11</v>
      </c>
      <c r="I1151" s="2">
        <v>60000</v>
      </c>
      <c r="J1151" t="s">
        <v>21</v>
      </c>
      <c r="K1151" s="3">
        <f t="shared" si="34"/>
        <v>120000</v>
      </c>
      <c r="L1151" t="str">
        <f t="shared" si="35"/>
        <v>2025-08</v>
      </c>
    </row>
    <row r="1152" spans="1:12" x14ac:dyDescent="0.25">
      <c r="A1152">
        <v>2154</v>
      </c>
      <c r="B1152">
        <v>80</v>
      </c>
      <c r="C1152" t="str">
        <f>IFERROR(_xlfn.XLOOKUP(B1152, Customer!A:A, Customer!B:B), "Unknown Customer")</f>
        <v>Mona Yousefi</v>
      </c>
      <c r="D1152" s="1">
        <v>45678</v>
      </c>
      <c r="E1152" t="s">
        <v>31</v>
      </c>
      <c r="F1152" t="s">
        <v>17</v>
      </c>
      <c r="G1152">
        <v>1</v>
      </c>
      <c r="H1152" t="s">
        <v>11</v>
      </c>
      <c r="I1152" s="2">
        <v>40000</v>
      </c>
      <c r="J1152" t="s">
        <v>24</v>
      </c>
      <c r="K1152" s="3">
        <f t="shared" si="34"/>
        <v>40000</v>
      </c>
      <c r="L1152" t="str">
        <f t="shared" si="35"/>
        <v>2025-01</v>
      </c>
    </row>
    <row r="1153" spans="1:12" x14ac:dyDescent="0.25">
      <c r="A1153">
        <v>2155</v>
      </c>
      <c r="B1153">
        <v>73</v>
      </c>
      <c r="C1153" t="str">
        <f>IFERROR(_xlfn.XLOOKUP(B1153, Customer!A:A, Customer!B:B), "Unknown Customer")</f>
        <v>Niloofar Ebrahimi</v>
      </c>
      <c r="D1153" s="1">
        <v>45912</v>
      </c>
      <c r="E1153" t="s">
        <v>27</v>
      </c>
      <c r="F1153" t="s">
        <v>14</v>
      </c>
      <c r="G1153">
        <v>1</v>
      </c>
      <c r="H1153" t="s">
        <v>11</v>
      </c>
      <c r="I1153" s="2">
        <v>35000</v>
      </c>
      <c r="J1153" t="s">
        <v>15</v>
      </c>
      <c r="K1153" s="3">
        <f t="shared" si="34"/>
        <v>35000</v>
      </c>
      <c r="L1153" t="str">
        <f t="shared" si="35"/>
        <v>2025-09</v>
      </c>
    </row>
    <row r="1154" spans="1:12" x14ac:dyDescent="0.25">
      <c r="A1154">
        <v>2156</v>
      </c>
      <c r="B1154">
        <v>13</v>
      </c>
      <c r="C1154" t="str">
        <f>IFERROR(_xlfn.XLOOKUP(B1154, Customer!A:A, Customer!B:B), "Unknown Customer")</f>
        <v>Milad Naderi</v>
      </c>
      <c r="D1154" s="1">
        <v>45936</v>
      </c>
      <c r="E1154" t="s">
        <v>16</v>
      </c>
      <c r="F1154" t="s">
        <v>17</v>
      </c>
      <c r="G1154">
        <v>1</v>
      </c>
      <c r="H1154" t="s">
        <v>11</v>
      </c>
      <c r="I1154" s="2">
        <v>70000</v>
      </c>
      <c r="J1154" t="s">
        <v>21</v>
      </c>
      <c r="K1154" s="3">
        <f t="shared" si="34"/>
        <v>70000</v>
      </c>
      <c r="L1154" t="str">
        <f t="shared" si="35"/>
        <v>2025-10</v>
      </c>
    </row>
    <row r="1155" spans="1:12" x14ac:dyDescent="0.25">
      <c r="A1155">
        <v>2157</v>
      </c>
      <c r="B1155">
        <v>12</v>
      </c>
      <c r="C1155" t="str">
        <f>IFERROR(_xlfn.XLOOKUP(B1155, Customer!A:A, Customer!B:B), "Unknown Customer")</f>
        <v>Golnaz Karimi</v>
      </c>
      <c r="D1155" s="1">
        <v>45692</v>
      </c>
      <c r="E1155" t="s">
        <v>18</v>
      </c>
      <c r="F1155" t="s">
        <v>14</v>
      </c>
      <c r="G1155">
        <v>1</v>
      </c>
      <c r="H1155" t="s">
        <v>11</v>
      </c>
      <c r="I1155" s="2">
        <v>55000</v>
      </c>
      <c r="J1155" t="s">
        <v>12</v>
      </c>
      <c r="K1155" s="3">
        <f t="shared" ref="K1155:K1218" si="36">G1155*I1155</f>
        <v>55000</v>
      </c>
      <c r="L1155" t="str">
        <f t="shared" ref="L1155:L1218" si="37">TEXT(D1155,"YYYY-MM")</f>
        <v>2025-02</v>
      </c>
    </row>
    <row r="1156" spans="1:12" x14ac:dyDescent="0.25">
      <c r="A1156">
        <v>2158</v>
      </c>
      <c r="B1156">
        <v>119</v>
      </c>
      <c r="C1156" t="str">
        <f>IFERROR(_xlfn.XLOOKUP(B1156, Customer!A:A, Customer!B:B), "Unknown Customer")</f>
        <v>Sepideh Sadeghi</v>
      </c>
      <c r="D1156" s="1">
        <v>45780</v>
      </c>
      <c r="E1156" t="s">
        <v>13</v>
      </c>
      <c r="F1156" t="s">
        <v>14</v>
      </c>
      <c r="G1156">
        <v>1</v>
      </c>
      <c r="H1156" t="s">
        <v>11</v>
      </c>
      <c r="I1156" s="2">
        <v>58000</v>
      </c>
      <c r="J1156" t="s">
        <v>15</v>
      </c>
      <c r="K1156" s="3">
        <f t="shared" si="36"/>
        <v>58000</v>
      </c>
      <c r="L1156" t="str">
        <f t="shared" si="37"/>
        <v>2025-05</v>
      </c>
    </row>
    <row r="1157" spans="1:12" x14ac:dyDescent="0.25">
      <c r="A1157">
        <v>2159</v>
      </c>
      <c r="B1157">
        <v>110</v>
      </c>
      <c r="C1157" t="str">
        <f>IFERROR(_xlfn.XLOOKUP(B1157, Customer!A:A, Customer!B:B), "Unknown Customer")</f>
        <v>Parisa Mousavi</v>
      </c>
      <c r="D1157" s="1">
        <v>46006</v>
      </c>
      <c r="E1157" t="s">
        <v>20</v>
      </c>
      <c r="F1157" t="s">
        <v>17</v>
      </c>
      <c r="G1157">
        <v>1</v>
      </c>
      <c r="H1157" t="s">
        <v>11</v>
      </c>
      <c r="I1157" s="2">
        <v>55000</v>
      </c>
      <c r="J1157" t="s">
        <v>21</v>
      </c>
      <c r="K1157" s="3">
        <f t="shared" si="36"/>
        <v>55000</v>
      </c>
      <c r="L1157" t="str">
        <f t="shared" si="37"/>
        <v>2025-12</v>
      </c>
    </row>
    <row r="1158" spans="1:12" x14ac:dyDescent="0.25">
      <c r="A1158">
        <v>2160</v>
      </c>
      <c r="B1158">
        <v>11</v>
      </c>
      <c r="C1158" t="str">
        <f>IFERROR(_xlfn.XLOOKUP(B1158, Customer!A:A, Customer!B:B), "Unknown Customer")</f>
        <v>Leila Kazemi</v>
      </c>
      <c r="D1158" s="1">
        <v>45869</v>
      </c>
      <c r="E1158" t="s">
        <v>27</v>
      </c>
      <c r="F1158" t="s">
        <v>14</v>
      </c>
      <c r="G1158">
        <v>1</v>
      </c>
      <c r="H1158" t="s">
        <v>11</v>
      </c>
      <c r="I1158" s="2">
        <v>30000</v>
      </c>
      <c r="J1158" t="s">
        <v>12</v>
      </c>
      <c r="K1158" s="3">
        <f t="shared" si="36"/>
        <v>30000</v>
      </c>
      <c r="L1158" t="str">
        <f t="shared" si="37"/>
        <v>2025-07</v>
      </c>
    </row>
    <row r="1159" spans="1:12" x14ac:dyDescent="0.25">
      <c r="A1159">
        <v>2161</v>
      </c>
      <c r="B1159">
        <v>102</v>
      </c>
      <c r="C1159" t="str">
        <f>IFERROR(_xlfn.XLOOKUP(B1159, Customer!A:A, Customer!B:B), "Unknown Customer")</f>
        <v>Yasaman Yousefi</v>
      </c>
      <c r="D1159" s="1">
        <v>46016</v>
      </c>
      <c r="E1159" t="s">
        <v>30</v>
      </c>
      <c r="F1159" t="s">
        <v>14</v>
      </c>
      <c r="G1159">
        <v>1</v>
      </c>
      <c r="H1159" t="s">
        <v>11</v>
      </c>
      <c r="I1159" s="2">
        <v>43000</v>
      </c>
      <c r="J1159" t="s">
        <v>24</v>
      </c>
      <c r="K1159" s="3">
        <f t="shared" si="36"/>
        <v>43000</v>
      </c>
      <c r="L1159" t="str">
        <f t="shared" si="37"/>
        <v>2025-12</v>
      </c>
    </row>
    <row r="1160" spans="1:12" x14ac:dyDescent="0.25">
      <c r="A1160">
        <v>2162</v>
      </c>
      <c r="B1160">
        <v>73</v>
      </c>
      <c r="C1160" t="str">
        <f>IFERROR(_xlfn.XLOOKUP(B1160, Customer!A:A, Customer!B:B), "Unknown Customer")</f>
        <v>Niloofar Ebrahimi</v>
      </c>
      <c r="D1160" s="1">
        <v>45840</v>
      </c>
      <c r="E1160" t="s">
        <v>31</v>
      </c>
      <c r="F1160" t="s">
        <v>17</v>
      </c>
      <c r="G1160">
        <v>4</v>
      </c>
      <c r="H1160" t="s">
        <v>11</v>
      </c>
      <c r="I1160" s="2">
        <v>40000</v>
      </c>
      <c r="J1160" t="s">
        <v>21</v>
      </c>
      <c r="K1160" s="3">
        <f t="shared" si="36"/>
        <v>160000</v>
      </c>
      <c r="L1160" t="str">
        <f t="shared" si="37"/>
        <v>2025-07</v>
      </c>
    </row>
    <row r="1161" spans="1:12" x14ac:dyDescent="0.25">
      <c r="A1161">
        <v>2163</v>
      </c>
      <c r="B1161">
        <v>60</v>
      </c>
      <c r="C1161" t="str">
        <f>IFERROR(_xlfn.XLOOKUP(B1161, Customer!A:A, Customer!B:B), "Unknown Customer")</f>
        <v>Sina Ghasemi</v>
      </c>
      <c r="D1161" s="1">
        <v>45986</v>
      </c>
      <c r="E1161" t="s">
        <v>16</v>
      </c>
      <c r="F1161" t="s">
        <v>17</v>
      </c>
      <c r="G1161">
        <v>1</v>
      </c>
      <c r="H1161" t="s">
        <v>11</v>
      </c>
      <c r="I1161" s="2">
        <v>70000</v>
      </c>
      <c r="J1161" t="s">
        <v>15</v>
      </c>
      <c r="K1161" s="3">
        <f t="shared" si="36"/>
        <v>70000</v>
      </c>
      <c r="L1161" t="str">
        <f t="shared" si="37"/>
        <v>2025-11</v>
      </c>
    </row>
    <row r="1162" spans="1:12" x14ac:dyDescent="0.25">
      <c r="A1162">
        <v>2164</v>
      </c>
      <c r="B1162">
        <v>99</v>
      </c>
      <c r="C1162" t="str">
        <f>IFERROR(_xlfn.XLOOKUP(B1162, Customer!A:A, Customer!B:B), "Unknown Customer")</f>
        <v>Behnam Ahmadi</v>
      </c>
      <c r="D1162" s="1">
        <v>45760</v>
      </c>
      <c r="E1162" t="s">
        <v>31</v>
      </c>
      <c r="F1162" t="s">
        <v>17</v>
      </c>
      <c r="G1162">
        <v>1</v>
      </c>
      <c r="H1162" t="s">
        <v>11</v>
      </c>
      <c r="I1162" s="2">
        <v>40000</v>
      </c>
      <c r="J1162" t="s">
        <v>24</v>
      </c>
      <c r="K1162" s="3">
        <f t="shared" si="36"/>
        <v>40000</v>
      </c>
      <c r="L1162" t="str">
        <f t="shared" si="37"/>
        <v>2025-04</v>
      </c>
    </row>
    <row r="1163" spans="1:12" x14ac:dyDescent="0.25">
      <c r="A1163">
        <v>2165</v>
      </c>
      <c r="B1163">
        <v>90</v>
      </c>
      <c r="C1163" t="str">
        <f>IFERROR(_xlfn.XLOOKUP(B1163, Customer!A:A, Customer!B:B), "Unknown Customer")</f>
        <v>Yasaman Karimi</v>
      </c>
      <c r="D1163" s="1">
        <v>45666</v>
      </c>
      <c r="E1163" t="s">
        <v>22</v>
      </c>
      <c r="F1163" t="s">
        <v>14</v>
      </c>
      <c r="G1163">
        <v>2</v>
      </c>
      <c r="H1163" t="s">
        <v>11</v>
      </c>
      <c r="I1163" s="2">
        <v>55000</v>
      </c>
      <c r="J1163" t="s">
        <v>15</v>
      </c>
      <c r="K1163" s="3">
        <f t="shared" si="36"/>
        <v>110000</v>
      </c>
      <c r="L1163" t="str">
        <f t="shared" si="37"/>
        <v>2025-01</v>
      </c>
    </row>
    <row r="1164" spans="1:12" x14ac:dyDescent="0.25">
      <c r="A1164">
        <v>2166</v>
      </c>
      <c r="B1164">
        <v>19</v>
      </c>
      <c r="C1164" t="str">
        <f>IFERROR(_xlfn.XLOOKUP(B1164, Customer!A:A, Customer!B:B), "Unknown Customer")</f>
        <v>Leila Sadeghi</v>
      </c>
      <c r="D1164" s="1">
        <v>45767</v>
      </c>
      <c r="E1164" t="s">
        <v>27</v>
      </c>
      <c r="F1164" t="s">
        <v>14</v>
      </c>
      <c r="G1164">
        <v>2</v>
      </c>
      <c r="H1164" t="s">
        <v>11</v>
      </c>
      <c r="I1164" s="2">
        <v>35000</v>
      </c>
      <c r="J1164" t="s">
        <v>32</v>
      </c>
      <c r="K1164" s="3">
        <f t="shared" si="36"/>
        <v>70000</v>
      </c>
      <c r="L1164" t="str">
        <f t="shared" si="37"/>
        <v>2025-04</v>
      </c>
    </row>
    <row r="1165" spans="1:12" x14ac:dyDescent="0.25">
      <c r="A1165">
        <v>2167</v>
      </c>
      <c r="B1165">
        <v>61</v>
      </c>
      <c r="C1165" t="str">
        <f>IFERROR(_xlfn.XLOOKUP(B1165, Customer!A:A, Customer!B:B), "Unknown Customer")</f>
        <v>Arman Moradi</v>
      </c>
      <c r="D1165" s="1">
        <v>45685</v>
      </c>
      <c r="E1165" t="s">
        <v>30</v>
      </c>
      <c r="F1165" t="s">
        <v>14</v>
      </c>
      <c r="G1165">
        <v>4</v>
      </c>
      <c r="H1165" t="s">
        <v>11</v>
      </c>
      <c r="I1165" s="2">
        <v>48000</v>
      </c>
      <c r="J1165" t="s">
        <v>32</v>
      </c>
      <c r="K1165" s="3">
        <f t="shared" si="36"/>
        <v>192000</v>
      </c>
      <c r="L1165" t="str">
        <f t="shared" si="37"/>
        <v>2025-01</v>
      </c>
    </row>
    <row r="1166" spans="1:12" x14ac:dyDescent="0.25">
      <c r="A1166">
        <v>2168</v>
      </c>
      <c r="B1166">
        <v>23</v>
      </c>
      <c r="C1166" t="str">
        <f>IFERROR(_xlfn.XLOOKUP(B1166, Customer!A:A, Customer!B:B), "Unknown Customer")</f>
        <v>Milad Rezaei</v>
      </c>
      <c r="D1166" s="1">
        <v>45730</v>
      </c>
      <c r="E1166" t="s">
        <v>18</v>
      </c>
      <c r="F1166" t="s">
        <v>14</v>
      </c>
      <c r="G1166">
        <v>2</v>
      </c>
      <c r="H1166" t="s">
        <v>11</v>
      </c>
      <c r="I1166" s="2">
        <v>55320</v>
      </c>
      <c r="J1166" t="s">
        <v>15</v>
      </c>
      <c r="K1166" s="3">
        <f t="shared" si="36"/>
        <v>110640</v>
      </c>
      <c r="L1166" t="str">
        <f t="shared" si="37"/>
        <v>2025-03</v>
      </c>
    </row>
    <row r="1167" spans="1:12" x14ac:dyDescent="0.25">
      <c r="A1167">
        <v>2169</v>
      </c>
      <c r="B1167">
        <v>68</v>
      </c>
      <c r="C1167" t="str">
        <f>IFERROR(_xlfn.XLOOKUP(B1167, Customer!A:A, Customer!B:B), "Unknown Customer")</f>
        <v>Farhad Mousavi</v>
      </c>
      <c r="D1167" s="1">
        <v>46000</v>
      </c>
      <c r="E1167" t="s">
        <v>30</v>
      </c>
      <c r="F1167" t="s">
        <v>14</v>
      </c>
      <c r="G1167">
        <v>4</v>
      </c>
      <c r="H1167" t="s">
        <v>11</v>
      </c>
      <c r="I1167" s="2">
        <v>43000</v>
      </c>
      <c r="J1167" t="s">
        <v>21</v>
      </c>
      <c r="K1167" s="3">
        <f t="shared" si="36"/>
        <v>172000</v>
      </c>
      <c r="L1167" t="str">
        <f t="shared" si="37"/>
        <v>2025-12</v>
      </c>
    </row>
    <row r="1168" spans="1:12" x14ac:dyDescent="0.25">
      <c r="A1168">
        <v>2170</v>
      </c>
      <c r="B1168">
        <v>118</v>
      </c>
      <c r="C1168" t="str">
        <f>IFERROR(_xlfn.XLOOKUP(B1168, Customer!A:A, Customer!B:B), "Unknown Customer")</f>
        <v>Hamed Rezaei</v>
      </c>
      <c r="D1168" s="1">
        <v>45742</v>
      </c>
      <c r="E1168" t="s">
        <v>9</v>
      </c>
      <c r="F1168" t="s">
        <v>10</v>
      </c>
      <c r="G1168">
        <v>2</v>
      </c>
      <c r="H1168" t="s">
        <v>11</v>
      </c>
      <c r="I1168" s="2">
        <v>62000</v>
      </c>
      <c r="J1168" t="s">
        <v>12</v>
      </c>
      <c r="K1168" s="3">
        <f t="shared" si="36"/>
        <v>124000</v>
      </c>
      <c r="L1168" t="str">
        <f t="shared" si="37"/>
        <v>2025-03</v>
      </c>
    </row>
    <row r="1169" spans="1:12" x14ac:dyDescent="0.25">
      <c r="A1169">
        <v>2171</v>
      </c>
      <c r="B1169">
        <v>56</v>
      </c>
      <c r="C1169" t="str">
        <f>IFERROR(_xlfn.XLOOKUP(B1169, Customer!A:A, Customer!B:B), "Unknown Customer")</f>
        <v>Tara Jafari</v>
      </c>
      <c r="D1169" s="1">
        <v>46012</v>
      </c>
      <c r="E1169" t="s">
        <v>25</v>
      </c>
      <c r="F1169" t="s">
        <v>10</v>
      </c>
      <c r="G1169">
        <v>4</v>
      </c>
      <c r="H1169" t="s">
        <v>11</v>
      </c>
      <c r="I1169" s="2">
        <v>60000</v>
      </c>
      <c r="J1169" t="s">
        <v>19</v>
      </c>
      <c r="K1169" s="3">
        <f t="shared" si="36"/>
        <v>240000</v>
      </c>
      <c r="L1169" t="str">
        <f t="shared" si="37"/>
        <v>2025-12</v>
      </c>
    </row>
    <row r="1170" spans="1:12" x14ac:dyDescent="0.25">
      <c r="A1170">
        <v>2172</v>
      </c>
      <c r="B1170">
        <v>93</v>
      </c>
      <c r="C1170" t="str">
        <f>IFERROR(_xlfn.XLOOKUP(B1170, Customer!A:A, Customer!B:B), "Unknown Customer")</f>
        <v>Sepideh Norouzi</v>
      </c>
      <c r="D1170" s="1">
        <v>45954</v>
      </c>
      <c r="E1170" t="s">
        <v>27</v>
      </c>
      <c r="F1170" t="s">
        <v>14</v>
      </c>
      <c r="G1170">
        <v>1</v>
      </c>
      <c r="H1170" t="s">
        <v>11</v>
      </c>
      <c r="I1170" s="2">
        <v>35000</v>
      </c>
      <c r="J1170" t="s">
        <v>15</v>
      </c>
      <c r="K1170" s="3">
        <f t="shared" si="36"/>
        <v>35000</v>
      </c>
      <c r="L1170" t="str">
        <f t="shared" si="37"/>
        <v>2025-10</v>
      </c>
    </row>
    <row r="1171" spans="1:12" x14ac:dyDescent="0.25">
      <c r="A1171">
        <v>2173</v>
      </c>
      <c r="B1171">
        <v>120</v>
      </c>
      <c r="C1171" t="str">
        <f>IFERROR(_xlfn.XLOOKUP(B1171, Customer!A:A, Customer!B:B), "Unknown Customer")</f>
        <v>Sepideh Abbasi</v>
      </c>
      <c r="D1171" s="1">
        <v>45913</v>
      </c>
      <c r="E1171" t="s">
        <v>13</v>
      </c>
      <c r="F1171" t="s">
        <v>14</v>
      </c>
      <c r="G1171">
        <v>4</v>
      </c>
      <c r="H1171" t="s">
        <v>11</v>
      </c>
      <c r="I1171" s="2">
        <v>58000</v>
      </c>
      <c r="J1171" t="s">
        <v>15</v>
      </c>
      <c r="K1171" s="3">
        <f t="shared" si="36"/>
        <v>232000</v>
      </c>
      <c r="L1171" t="str">
        <f t="shared" si="37"/>
        <v>2025-09</v>
      </c>
    </row>
    <row r="1172" spans="1:12" x14ac:dyDescent="0.25">
      <c r="A1172">
        <v>2174</v>
      </c>
      <c r="B1172">
        <v>96</v>
      </c>
      <c r="C1172" t="str">
        <f>IFERROR(_xlfn.XLOOKUP(B1172, Customer!A:A, Customer!B:B), "Unknown Customer")</f>
        <v>Milad Norouzi</v>
      </c>
      <c r="D1172" s="1">
        <v>45982</v>
      </c>
      <c r="E1172" t="s">
        <v>13</v>
      </c>
      <c r="F1172" t="s">
        <v>14</v>
      </c>
      <c r="G1172">
        <v>1</v>
      </c>
      <c r="H1172" t="s">
        <v>11</v>
      </c>
      <c r="I1172" s="2">
        <v>58000</v>
      </c>
      <c r="J1172" t="s">
        <v>15</v>
      </c>
      <c r="K1172" s="3">
        <f t="shared" si="36"/>
        <v>58000</v>
      </c>
      <c r="L1172" t="str">
        <f t="shared" si="37"/>
        <v>2025-11</v>
      </c>
    </row>
    <row r="1173" spans="1:12" x14ac:dyDescent="0.25">
      <c r="A1173">
        <v>2175</v>
      </c>
      <c r="B1173">
        <v>90</v>
      </c>
      <c r="C1173" t="str">
        <f>IFERROR(_xlfn.XLOOKUP(B1173, Customer!A:A, Customer!B:B), "Unknown Customer")</f>
        <v>Yasaman Karimi</v>
      </c>
      <c r="D1173" s="1">
        <v>45743</v>
      </c>
      <c r="E1173" t="s">
        <v>23</v>
      </c>
      <c r="F1173" t="s">
        <v>17</v>
      </c>
      <c r="G1173">
        <v>1</v>
      </c>
      <c r="H1173" t="s">
        <v>11</v>
      </c>
      <c r="I1173" s="2">
        <v>85000</v>
      </c>
      <c r="J1173" t="s">
        <v>32</v>
      </c>
      <c r="K1173" s="3">
        <f t="shared" si="36"/>
        <v>85000</v>
      </c>
      <c r="L1173" t="str">
        <f t="shared" si="37"/>
        <v>2025-03</v>
      </c>
    </row>
    <row r="1174" spans="1:12" x14ac:dyDescent="0.25">
      <c r="A1174">
        <v>2176</v>
      </c>
      <c r="B1174">
        <v>74</v>
      </c>
      <c r="C1174" t="str">
        <f>IFERROR(_xlfn.XLOOKUP(B1174, Customer!A:A, Customer!B:B), "Unknown Customer")</f>
        <v>Amir Vakili</v>
      </c>
      <c r="D1174" s="1">
        <v>45847</v>
      </c>
      <c r="E1174" t="s">
        <v>29</v>
      </c>
      <c r="F1174" t="s">
        <v>14</v>
      </c>
      <c r="G1174">
        <v>1</v>
      </c>
      <c r="H1174" t="s">
        <v>11</v>
      </c>
      <c r="I1174" s="2">
        <v>45000</v>
      </c>
      <c r="J1174" t="s">
        <v>12</v>
      </c>
      <c r="K1174" s="3">
        <f t="shared" si="36"/>
        <v>45000</v>
      </c>
      <c r="L1174" t="str">
        <f t="shared" si="37"/>
        <v>2025-07</v>
      </c>
    </row>
    <row r="1175" spans="1:12" x14ac:dyDescent="0.25">
      <c r="A1175">
        <v>2177</v>
      </c>
      <c r="B1175">
        <v>64</v>
      </c>
      <c r="C1175" t="str">
        <f>IFERROR(_xlfn.XLOOKUP(B1175, Customer!A:A, Customer!B:B), "Unknown Customer")</f>
        <v>Milad Yousefi</v>
      </c>
      <c r="D1175" s="1">
        <v>45891</v>
      </c>
      <c r="E1175" t="s">
        <v>27</v>
      </c>
      <c r="F1175" t="s">
        <v>14</v>
      </c>
      <c r="G1175">
        <v>1</v>
      </c>
      <c r="H1175" t="s">
        <v>11</v>
      </c>
      <c r="I1175" s="2">
        <v>35000</v>
      </c>
      <c r="J1175" t="s">
        <v>28</v>
      </c>
      <c r="K1175" s="3">
        <f t="shared" si="36"/>
        <v>35000</v>
      </c>
      <c r="L1175" t="str">
        <f t="shared" si="37"/>
        <v>2025-08</v>
      </c>
    </row>
    <row r="1176" spans="1:12" x14ac:dyDescent="0.25">
      <c r="A1176">
        <v>2178</v>
      </c>
      <c r="B1176">
        <v>78</v>
      </c>
      <c r="C1176" t="str">
        <f>IFERROR(_xlfn.XLOOKUP(B1176, Customer!A:A, Customer!B:B), "Unknown Customer")</f>
        <v>Elham Karimi</v>
      </c>
      <c r="D1176" s="1">
        <v>45716</v>
      </c>
      <c r="E1176" t="s">
        <v>25</v>
      </c>
      <c r="F1176" t="s">
        <v>10</v>
      </c>
      <c r="G1176">
        <v>2</v>
      </c>
      <c r="H1176" t="s">
        <v>11</v>
      </c>
      <c r="I1176" s="2">
        <v>65000</v>
      </c>
      <c r="J1176" t="s">
        <v>28</v>
      </c>
      <c r="K1176" s="3">
        <f t="shared" si="36"/>
        <v>130000</v>
      </c>
      <c r="L1176" t="str">
        <f t="shared" si="37"/>
        <v>2025-02</v>
      </c>
    </row>
    <row r="1177" spans="1:12" x14ac:dyDescent="0.25">
      <c r="A1177">
        <v>2179</v>
      </c>
      <c r="B1177">
        <v>56</v>
      </c>
      <c r="C1177" t="str">
        <f>IFERROR(_xlfn.XLOOKUP(B1177, Customer!A:A, Customer!B:B), "Unknown Customer")</f>
        <v>Tara Jafari</v>
      </c>
      <c r="D1177" s="1">
        <v>45803</v>
      </c>
      <c r="E1177" t="s">
        <v>31</v>
      </c>
      <c r="F1177" t="s">
        <v>17</v>
      </c>
      <c r="G1177">
        <v>3</v>
      </c>
      <c r="H1177" t="s">
        <v>11</v>
      </c>
      <c r="I1177" s="2">
        <v>40428.571428571428</v>
      </c>
      <c r="J1177" t="s">
        <v>32</v>
      </c>
      <c r="K1177" s="3">
        <f t="shared" si="36"/>
        <v>121285.71428571429</v>
      </c>
      <c r="L1177" t="str">
        <f t="shared" si="37"/>
        <v>2025-05</v>
      </c>
    </row>
    <row r="1178" spans="1:12" x14ac:dyDescent="0.25">
      <c r="A1178">
        <v>2180</v>
      </c>
      <c r="B1178">
        <v>104</v>
      </c>
      <c r="C1178" t="str">
        <f>IFERROR(_xlfn.XLOOKUP(B1178, Customer!A:A, Customer!B:B), "Unknown Customer")</f>
        <v>Kian Zare</v>
      </c>
      <c r="D1178" s="1">
        <v>45703</v>
      </c>
      <c r="E1178" t="s">
        <v>18</v>
      </c>
      <c r="F1178" t="s">
        <v>14</v>
      </c>
      <c r="G1178">
        <v>2</v>
      </c>
      <c r="H1178" t="s">
        <v>11</v>
      </c>
      <c r="I1178" s="2">
        <v>55000</v>
      </c>
      <c r="J1178" t="s">
        <v>12</v>
      </c>
      <c r="K1178" s="3">
        <f t="shared" si="36"/>
        <v>110000</v>
      </c>
      <c r="L1178" t="str">
        <f t="shared" si="37"/>
        <v>2025-02</v>
      </c>
    </row>
    <row r="1179" spans="1:12" x14ac:dyDescent="0.25">
      <c r="A1179">
        <v>2181</v>
      </c>
      <c r="B1179">
        <v>97</v>
      </c>
      <c r="C1179" t="str">
        <f>IFERROR(_xlfn.XLOOKUP(B1179, Customer!A:A, Customer!B:B), "Unknown Customer")</f>
        <v>Setareh Sadeghi</v>
      </c>
      <c r="D1179" s="1">
        <v>45818</v>
      </c>
      <c r="E1179" t="s">
        <v>20</v>
      </c>
      <c r="F1179" t="s">
        <v>17</v>
      </c>
      <c r="G1179">
        <v>2</v>
      </c>
      <c r="H1179" t="s">
        <v>11</v>
      </c>
      <c r="I1179" s="2">
        <v>55000</v>
      </c>
      <c r="J1179" t="s">
        <v>15</v>
      </c>
      <c r="K1179" s="3">
        <f t="shared" si="36"/>
        <v>110000</v>
      </c>
      <c r="L1179" t="str">
        <f t="shared" si="37"/>
        <v>2025-06</v>
      </c>
    </row>
    <row r="1180" spans="1:12" x14ac:dyDescent="0.25">
      <c r="A1180">
        <v>2182</v>
      </c>
      <c r="B1180">
        <v>28</v>
      </c>
      <c r="C1180" t="str">
        <f>IFERROR(_xlfn.XLOOKUP(B1180, Customer!A:A, Customer!B:B), "Unknown Customer")</f>
        <v>Yasaman Naderi</v>
      </c>
      <c r="D1180" s="1">
        <v>45890</v>
      </c>
      <c r="E1180" t="s">
        <v>30</v>
      </c>
      <c r="F1180" t="s">
        <v>14</v>
      </c>
      <c r="G1180">
        <v>1</v>
      </c>
      <c r="H1180" t="s">
        <v>11</v>
      </c>
      <c r="I1180" s="2">
        <v>48000</v>
      </c>
      <c r="J1180" t="s">
        <v>21</v>
      </c>
      <c r="K1180" s="3">
        <f t="shared" si="36"/>
        <v>48000</v>
      </c>
      <c r="L1180" t="str">
        <f t="shared" si="37"/>
        <v>2025-08</v>
      </c>
    </row>
    <row r="1181" spans="1:12" x14ac:dyDescent="0.25">
      <c r="A1181">
        <v>2183</v>
      </c>
      <c r="B1181">
        <v>118</v>
      </c>
      <c r="C1181" t="str">
        <f>IFERROR(_xlfn.XLOOKUP(B1181, Customer!A:A, Customer!B:B), "Unknown Customer")</f>
        <v>Hamed Rezaei</v>
      </c>
      <c r="D1181" s="1">
        <v>45869</v>
      </c>
      <c r="E1181" t="s">
        <v>16</v>
      </c>
      <c r="F1181" t="s">
        <v>17</v>
      </c>
      <c r="G1181">
        <v>1</v>
      </c>
      <c r="H1181" t="s">
        <v>11</v>
      </c>
      <c r="I1181" s="2">
        <v>75000</v>
      </c>
      <c r="J1181" t="s">
        <v>21</v>
      </c>
      <c r="K1181" s="3">
        <f t="shared" si="36"/>
        <v>75000</v>
      </c>
      <c r="L1181" t="str">
        <f t="shared" si="37"/>
        <v>2025-07</v>
      </c>
    </row>
    <row r="1182" spans="1:12" x14ac:dyDescent="0.25">
      <c r="A1182">
        <v>2184</v>
      </c>
      <c r="B1182">
        <v>113</v>
      </c>
      <c r="C1182" t="str">
        <f>IFERROR(_xlfn.XLOOKUP(B1182, Customer!A:A, Customer!B:B), "Unknown Customer")</f>
        <v>Arman Jafari</v>
      </c>
      <c r="D1182" s="1">
        <v>45793</v>
      </c>
      <c r="E1182" t="s">
        <v>27</v>
      </c>
      <c r="F1182" t="s">
        <v>14</v>
      </c>
      <c r="G1182">
        <v>3</v>
      </c>
      <c r="H1182" t="s">
        <v>11</v>
      </c>
      <c r="I1182" s="2">
        <v>35000</v>
      </c>
      <c r="J1182" t="s">
        <v>19</v>
      </c>
      <c r="K1182" s="3">
        <f t="shared" si="36"/>
        <v>105000</v>
      </c>
      <c r="L1182" t="str">
        <f t="shared" si="37"/>
        <v>2025-05</v>
      </c>
    </row>
    <row r="1183" spans="1:12" x14ac:dyDescent="0.25">
      <c r="A1183">
        <v>2185</v>
      </c>
      <c r="B1183">
        <v>2</v>
      </c>
      <c r="C1183" t="str">
        <f>IFERROR(_xlfn.XLOOKUP(B1183, Customer!A:A, Customer!B:B), "Unknown Customer")</f>
        <v>Reza Naderi</v>
      </c>
      <c r="D1183" s="1">
        <v>45736</v>
      </c>
      <c r="E1183" t="s">
        <v>29</v>
      </c>
      <c r="F1183" t="s">
        <v>14</v>
      </c>
      <c r="G1183">
        <v>1</v>
      </c>
      <c r="H1183" t="s">
        <v>11</v>
      </c>
      <c r="I1183" s="2">
        <v>45000</v>
      </c>
      <c r="J1183" t="s">
        <v>24</v>
      </c>
      <c r="K1183" s="3">
        <f t="shared" si="36"/>
        <v>45000</v>
      </c>
      <c r="L1183" t="str">
        <f t="shared" si="37"/>
        <v>2025-03</v>
      </c>
    </row>
    <row r="1184" spans="1:12" x14ac:dyDescent="0.25">
      <c r="A1184">
        <v>2186</v>
      </c>
      <c r="B1184">
        <v>72</v>
      </c>
      <c r="C1184" t="str">
        <f>IFERROR(_xlfn.XLOOKUP(B1184, Customer!A:A, Customer!B:B), "Unknown Customer")</f>
        <v>Roya Rostami</v>
      </c>
      <c r="D1184" s="1">
        <v>45904</v>
      </c>
      <c r="E1184" t="s">
        <v>31</v>
      </c>
      <c r="F1184" t="s">
        <v>17</v>
      </c>
      <c r="G1184">
        <v>4</v>
      </c>
      <c r="H1184" t="s">
        <v>11</v>
      </c>
      <c r="I1184" s="2">
        <v>35000</v>
      </c>
      <c r="J1184" t="s">
        <v>24</v>
      </c>
      <c r="K1184" s="3">
        <f t="shared" si="36"/>
        <v>140000</v>
      </c>
      <c r="L1184" t="str">
        <f t="shared" si="37"/>
        <v>2025-09</v>
      </c>
    </row>
    <row r="1185" spans="1:12" x14ac:dyDescent="0.25">
      <c r="A1185">
        <v>2187</v>
      </c>
      <c r="B1185">
        <v>96</v>
      </c>
      <c r="C1185" t="str">
        <f>IFERROR(_xlfn.XLOOKUP(B1185, Customer!A:A, Customer!B:B), "Unknown Customer")</f>
        <v>Milad Norouzi</v>
      </c>
      <c r="D1185" s="1">
        <v>45857</v>
      </c>
      <c r="E1185" t="s">
        <v>27</v>
      </c>
      <c r="F1185" t="s">
        <v>14</v>
      </c>
      <c r="G1185">
        <v>-2</v>
      </c>
      <c r="H1185" t="s">
        <v>26</v>
      </c>
      <c r="I1185" s="2">
        <v>35000</v>
      </c>
      <c r="J1185" t="s">
        <v>15</v>
      </c>
      <c r="K1185" s="3">
        <f t="shared" si="36"/>
        <v>-70000</v>
      </c>
      <c r="L1185" t="str">
        <f t="shared" si="37"/>
        <v>2025-07</v>
      </c>
    </row>
    <row r="1186" spans="1:12" x14ac:dyDescent="0.25">
      <c r="A1186">
        <v>2188</v>
      </c>
      <c r="B1186">
        <v>30</v>
      </c>
      <c r="C1186" t="str">
        <f>IFERROR(_xlfn.XLOOKUP(B1186, Customer!A:A, Customer!B:B), "Unknown Customer")</f>
        <v>Mona Mousavi</v>
      </c>
      <c r="D1186" s="1">
        <v>46021</v>
      </c>
      <c r="E1186" t="s">
        <v>18</v>
      </c>
      <c r="F1186" t="s">
        <v>14</v>
      </c>
      <c r="G1186">
        <v>3</v>
      </c>
      <c r="H1186" t="s">
        <v>11</v>
      </c>
      <c r="I1186" s="2">
        <v>60000</v>
      </c>
      <c r="J1186" t="s">
        <v>28</v>
      </c>
      <c r="K1186" s="3">
        <f t="shared" si="36"/>
        <v>180000</v>
      </c>
      <c r="L1186" t="str">
        <f t="shared" si="37"/>
        <v>2025-12</v>
      </c>
    </row>
    <row r="1187" spans="1:12" x14ac:dyDescent="0.25">
      <c r="A1187">
        <v>2189</v>
      </c>
      <c r="B1187">
        <v>21</v>
      </c>
      <c r="C1187" t="str">
        <f>IFERROR(_xlfn.XLOOKUP(B1187, Customer!A:A, Customer!B:B), "Unknown Customer")</f>
        <v>Sina Naderi</v>
      </c>
      <c r="D1187" s="1">
        <v>45762</v>
      </c>
      <c r="E1187" t="s">
        <v>25</v>
      </c>
      <c r="F1187" t="s">
        <v>10</v>
      </c>
      <c r="G1187">
        <v>1</v>
      </c>
      <c r="H1187" t="s">
        <v>11</v>
      </c>
      <c r="I1187" s="2">
        <v>65000</v>
      </c>
      <c r="J1187" t="s">
        <v>19</v>
      </c>
      <c r="K1187" s="3">
        <f t="shared" si="36"/>
        <v>65000</v>
      </c>
      <c r="L1187" t="str">
        <f t="shared" si="37"/>
        <v>2025-04</v>
      </c>
    </row>
    <row r="1188" spans="1:12" x14ac:dyDescent="0.25">
      <c r="A1188">
        <v>2190</v>
      </c>
      <c r="B1188">
        <v>80</v>
      </c>
      <c r="C1188" t="str">
        <f>IFERROR(_xlfn.XLOOKUP(B1188, Customer!A:A, Customer!B:B), "Unknown Customer")</f>
        <v>Mona Yousefi</v>
      </c>
      <c r="D1188" s="1">
        <v>45818</v>
      </c>
      <c r="E1188" t="s">
        <v>22</v>
      </c>
      <c r="F1188" t="s">
        <v>14</v>
      </c>
      <c r="G1188">
        <v>1</v>
      </c>
      <c r="H1188" t="s">
        <v>11</v>
      </c>
      <c r="I1188" s="2">
        <v>60000</v>
      </c>
      <c r="J1188" t="s">
        <v>24</v>
      </c>
      <c r="K1188" s="3">
        <f t="shared" si="36"/>
        <v>60000</v>
      </c>
      <c r="L1188" t="str">
        <f t="shared" si="37"/>
        <v>2025-06</v>
      </c>
    </row>
    <row r="1189" spans="1:12" x14ac:dyDescent="0.25">
      <c r="A1189">
        <v>2191</v>
      </c>
      <c r="B1189">
        <v>31</v>
      </c>
      <c r="C1189" t="str">
        <f>IFERROR(_xlfn.XLOOKUP(B1189, Customer!A:A, Customer!B:B), "Unknown Customer")</f>
        <v>Sara Karimi</v>
      </c>
      <c r="D1189" s="1">
        <v>45771</v>
      </c>
      <c r="E1189" t="s">
        <v>27</v>
      </c>
      <c r="F1189" t="s">
        <v>14</v>
      </c>
      <c r="G1189">
        <v>2</v>
      </c>
      <c r="H1189" t="s">
        <v>11</v>
      </c>
      <c r="I1189" s="2">
        <v>35000</v>
      </c>
      <c r="J1189" t="s">
        <v>21</v>
      </c>
      <c r="K1189" s="3">
        <f t="shared" si="36"/>
        <v>70000</v>
      </c>
      <c r="L1189" t="str">
        <f t="shared" si="37"/>
        <v>2025-04</v>
      </c>
    </row>
    <row r="1190" spans="1:12" x14ac:dyDescent="0.25">
      <c r="A1190">
        <v>2192</v>
      </c>
      <c r="B1190">
        <v>85</v>
      </c>
      <c r="C1190" t="str">
        <f>IFERROR(_xlfn.XLOOKUP(B1190, Customer!A:A, Customer!B:B), "Unknown Customer")</f>
        <v>Sepideh Yousefi</v>
      </c>
      <c r="D1190" s="1">
        <v>45798</v>
      </c>
      <c r="E1190" t="s">
        <v>29</v>
      </c>
      <c r="F1190" t="s">
        <v>14</v>
      </c>
      <c r="G1190">
        <v>-3</v>
      </c>
      <c r="H1190" t="s">
        <v>26</v>
      </c>
      <c r="I1190" s="2">
        <v>40000</v>
      </c>
      <c r="J1190" t="s">
        <v>19</v>
      </c>
      <c r="K1190" s="3">
        <f t="shared" si="36"/>
        <v>-120000</v>
      </c>
      <c r="L1190" t="str">
        <f t="shared" si="37"/>
        <v>2025-05</v>
      </c>
    </row>
    <row r="1191" spans="1:12" x14ac:dyDescent="0.25">
      <c r="A1191">
        <v>2193</v>
      </c>
      <c r="B1191">
        <v>59</v>
      </c>
      <c r="C1191" t="str">
        <f>IFERROR(_xlfn.XLOOKUP(B1191, Customer!A:A, Customer!B:B), "Unknown Customer")</f>
        <v>Niloofar Hosseini</v>
      </c>
      <c r="D1191" s="1">
        <v>45720</v>
      </c>
      <c r="E1191" t="s">
        <v>20</v>
      </c>
      <c r="F1191" t="s">
        <v>17</v>
      </c>
      <c r="G1191">
        <v>1</v>
      </c>
      <c r="H1191" t="s">
        <v>11</v>
      </c>
      <c r="I1191" s="2">
        <v>50000</v>
      </c>
      <c r="J1191" t="s">
        <v>19</v>
      </c>
      <c r="K1191" s="3">
        <f t="shared" si="36"/>
        <v>50000</v>
      </c>
      <c r="L1191" t="str">
        <f t="shared" si="37"/>
        <v>2025-03</v>
      </c>
    </row>
    <row r="1192" spans="1:12" x14ac:dyDescent="0.25">
      <c r="A1192">
        <v>2194</v>
      </c>
      <c r="B1192">
        <v>64</v>
      </c>
      <c r="C1192" t="str">
        <f>IFERROR(_xlfn.XLOOKUP(B1192, Customer!A:A, Customer!B:B), "Unknown Customer")</f>
        <v>Milad Yousefi</v>
      </c>
      <c r="D1192" s="1">
        <v>45764</v>
      </c>
      <c r="E1192" t="s">
        <v>25</v>
      </c>
      <c r="F1192" t="s">
        <v>10</v>
      </c>
      <c r="G1192">
        <v>2</v>
      </c>
      <c r="H1192" t="s">
        <v>11</v>
      </c>
      <c r="I1192" s="2">
        <v>60000</v>
      </c>
      <c r="J1192" t="s">
        <v>32</v>
      </c>
      <c r="K1192" s="3">
        <f t="shared" si="36"/>
        <v>120000</v>
      </c>
      <c r="L1192" t="str">
        <f t="shared" si="37"/>
        <v>2025-04</v>
      </c>
    </row>
    <row r="1193" spans="1:12" x14ac:dyDescent="0.25">
      <c r="A1193">
        <v>2195</v>
      </c>
      <c r="B1193">
        <v>60</v>
      </c>
      <c r="C1193" t="str">
        <f>IFERROR(_xlfn.XLOOKUP(B1193, Customer!A:A, Customer!B:B), "Unknown Customer")</f>
        <v>Sina Ghasemi</v>
      </c>
      <c r="D1193" s="1">
        <v>45902</v>
      </c>
      <c r="E1193" t="s">
        <v>27</v>
      </c>
      <c r="F1193" t="s">
        <v>14</v>
      </c>
      <c r="G1193">
        <v>2</v>
      </c>
      <c r="H1193" t="s">
        <v>11</v>
      </c>
      <c r="I1193" s="2">
        <v>35000</v>
      </c>
      <c r="J1193" t="s">
        <v>24</v>
      </c>
      <c r="K1193" s="3">
        <f t="shared" si="36"/>
        <v>70000</v>
      </c>
      <c r="L1193" t="str">
        <f t="shared" si="37"/>
        <v>2025-09</v>
      </c>
    </row>
    <row r="1194" spans="1:12" x14ac:dyDescent="0.25">
      <c r="A1194">
        <v>2196</v>
      </c>
      <c r="B1194">
        <v>24</v>
      </c>
      <c r="C1194" t="str">
        <f>IFERROR(_xlfn.XLOOKUP(B1194, Customer!A:A, Customer!B:B), "Unknown Customer")</f>
        <v>Farhad Sadeghi</v>
      </c>
      <c r="D1194" s="1">
        <v>45663</v>
      </c>
      <c r="E1194" t="s">
        <v>9</v>
      </c>
      <c r="F1194" t="s">
        <v>10</v>
      </c>
      <c r="G1194">
        <v>1</v>
      </c>
      <c r="H1194" t="s">
        <v>11</v>
      </c>
      <c r="I1194" s="2">
        <v>62265.486725663715</v>
      </c>
      <c r="J1194" t="s">
        <v>28</v>
      </c>
      <c r="K1194" s="3">
        <f t="shared" si="36"/>
        <v>62265.486725663715</v>
      </c>
      <c r="L1194" t="str">
        <f t="shared" si="37"/>
        <v>2025-01</v>
      </c>
    </row>
    <row r="1195" spans="1:12" x14ac:dyDescent="0.25">
      <c r="A1195">
        <v>2197</v>
      </c>
      <c r="B1195">
        <v>77</v>
      </c>
      <c r="C1195" t="str">
        <f>IFERROR(_xlfn.XLOOKUP(B1195, Customer!A:A, Customer!B:B), "Unknown Customer")</f>
        <v>Iman Sadeghi</v>
      </c>
      <c r="D1195" s="1">
        <v>45717</v>
      </c>
      <c r="E1195" t="s">
        <v>23</v>
      </c>
      <c r="F1195" t="s">
        <v>17</v>
      </c>
      <c r="G1195">
        <v>1</v>
      </c>
      <c r="H1195" t="s">
        <v>11</v>
      </c>
      <c r="I1195" s="2">
        <v>85000</v>
      </c>
      <c r="J1195" t="s">
        <v>28</v>
      </c>
      <c r="K1195" s="3">
        <f t="shared" si="36"/>
        <v>85000</v>
      </c>
      <c r="L1195" t="str">
        <f t="shared" si="37"/>
        <v>2025-03</v>
      </c>
    </row>
    <row r="1196" spans="1:12" x14ac:dyDescent="0.25">
      <c r="A1196">
        <v>2198</v>
      </c>
      <c r="B1196">
        <v>3</v>
      </c>
      <c r="C1196" t="str">
        <f>IFERROR(_xlfn.XLOOKUP(B1196, Customer!A:A, Customer!B:B), "Unknown Customer")</f>
        <v>Hamed Abbasi</v>
      </c>
      <c r="D1196" s="1">
        <v>45920</v>
      </c>
      <c r="E1196" t="s">
        <v>23</v>
      </c>
      <c r="F1196" t="s">
        <v>17</v>
      </c>
      <c r="G1196">
        <v>4</v>
      </c>
      <c r="H1196" t="s">
        <v>11</v>
      </c>
      <c r="I1196" s="2">
        <v>85000</v>
      </c>
      <c r="J1196" t="s">
        <v>19</v>
      </c>
      <c r="K1196" s="3">
        <f t="shared" si="36"/>
        <v>340000</v>
      </c>
      <c r="L1196" t="str">
        <f t="shared" si="37"/>
        <v>2025-09</v>
      </c>
    </row>
    <row r="1197" spans="1:12" x14ac:dyDescent="0.25">
      <c r="A1197">
        <v>2199</v>
      </c>
      <c r="B1197">
        <v>42</v>
      </c>
      <c r="C1197" t="str">
        <f>IFERROR(_xlfn.XLOOKUP(B1197, Customer!A:A, Customer!B:B), "Unknown Customer")</f>
        <v>Niloofar Ebrahimi</v>
      </c>
      <c r="D1197" s="1">
        <v>45770</v>
      </c>
      <c r="E1197" t="s">
        <v>13</v>
      </c>
      <c r="F1197" t="s">
        <v>14</v>
      </c>
      <c r="G1197">
        <v>1</v>
      </c>
      <c r="H1197" t="s">
        <v>11</v>
      </c>
      <c r="I1197" s="2">
        <v>58000</v>
      </c>
      <c r="J1197" t="s">
        <v>19</v>
      </c>
      <c r="K1197" s="3">
        <f t="shared" si="36"/>
        <v>58000</v>
      </c>
      <c r="L1197" t="str">
        <f t="shared" si="37"/>
        <v>2025-04</v>
      </c>
    </row>
    <row r="1198" spans="1:12" x14ac:dyDescent="0.25">
      <c r="A1198">
        <v>2201</v>
      </c>
      <c r="B1198">
        <v>33</v>
      </c>
      <c r="C1198" t="str">
        <f>IFERROR(_xlfn.XLOOKUP(B1198, Customer!A:A, Customer!B:B), "Unknown Customer")</f>
        <v>Niloofar Zare</v>
      </c>
      <c r="D1198" s="1">
        <v>45995</v>
      </c>
      <c r="E1198" t="s">
        <v>13</v>
      </c>
      <c r="F1198" t="s">
        <v>14</v>
      </c>
      <c r="G1198">
        <v>2</v>
      </c>
      <c r="H1198" t="s">
        <v>11</v>
      </c>
      <c r="I1198" s="2">
        <v>53000</v>
      </c>
      <c r="J1198" t="s">
        <v>24</v>
      </c>
      <c r="K1198" s="3">
        <f t="shared" si="36"/>
        <v>106000</v>
      </c>
      <c r="L1198" t="str">
        <f t="shared" si="37"/>
        <v>2025-12</v>
      </c>
    </row>
    <row r="1199" spans="1:12" x14ac:dyDescent="0.25">
      <c r="A1199">
        <v>2202</v>
      </c>
      <c r="B1199">
        <v>102</v>
      </c>
      <c r="C1199" t="str">
        <f>IFERROR(_xlfn.XLOOKUP(B1199, Customer!A:A, Customer!B:B), "Unknown Customer")</f>
        <v>Yasaman Yousefi</v>
      </c>
      <c r="D1199" s="1">
        <v>45847</v>
      </c>
      <c r="E1199" t="s">
        <v>30</v>
      </c>
      <c r="F1199" t="s">
        <v>14</v>
      </c>
      <c r="G1199">
        <v>2</v>
      </c>
      <c r="H1199" t="s">
        <v>11</v>
      </c>
      <c r="I1199" s="2">
        <v>53000</v>
      </c>
      <c r="J1199" t="s">
        <v>21</v>
      </c>
      <c r="K1199" s="3">
        <f t="shared" si="36"/>
        <v>106000</v>
      </c>
      <c r="L1199" t="str">
        <f t="shared" si="37"/>
        <v>2025-07</v>
      </c>
    </row>
    <row r="1200" spans="1:12" x14ac:dyDescent="0.25">
      <c r="A1200">
        <v>2203</v>
      </c>
      <c r="B1200">
        <v>80</v>
      </c>
      <c r="C1200" t="str">
        <f>IFERROR(_xlfn.XLOOKUP(B1200, Customer!A:A, Customer!B:B), "Unknown Customer")</f>
        <v>Mona Yousefi</v>
      </c>
      <c r="D1200" s="1">
        <v>45849</v>
      </c>
      <c r="E1200" t="s">
        <v>18</v>
      </c>
      <c r="F1200" t="s">
        <v>14</v>
      </c>
      <c r="G1200">
        <v>1</v>
      </c>
      <c r="H1200" t="s">
        <v>11</v>
      </c>
      <c r="I1200" s="2">
        <v>60000</v>
      </c>
      <c r="J1200" t="s">
        <v>12</v>
      </c>
      <c r="K1200" s="3">
        <f t="shared" si="36"/>
        <v>60000</v>
      </c>
      <c r="L1200" t="str">
        <f t="shared" si="37"/>
        <v>2025-07</v>
      </c>
    </row>
    <row r="1201" spans="1:12" x14ac:dyDescent="0.25">
      <c r="A1201">
        <v>2204</v>
      </c>
      <c r="B1201">
        <v>105</v>
      </c>
      <c r="C1201" t="str">
        <f>IFERROR(_xlfn.XLOOKUP(B1201, Customer!A:A, Customer!B:B), "Unknown Customer")</f>
        <v>Tara Ghasemi</v>
      </c>
      <c r="D1201" s="1">
        <v>45888</v>
      </c>
      <c r="E1201" t="s">
        <v>18</v>
      </c>
      <c r="F1201" t="s">
        <v>14</v>
      </c>
      <c r="G1201">
        <v>2</v>
      </c>
      <c r="H1201" t="s">
        <v>11</v>
      </c>
      <c r="I1201" s="2">
        <v>55000</v>
      </c>
      <c r="J1201" t="s">
        <v>21</v>
      </c>
      <c r="K1201" s="3">
        <f t="shared" si="36"/>
        <v>110000</v>
      </c>
      <c r="L1201" t="str">
        <f t="shared" si="37"/>
        <v>2025-08</v>
      </c>
    </row>
    <row r="1202" spans="1:12" x14ac:dyDescent="0.25">
      <c r="A1202">
        <v>2205</v>
      </c>
      <c r="B1202">
        <v>78</v>
      </c>
      <c r="C1202" t="str">
        <f>IFERROR(_xlfn.XLOOKUP(B1202, Customer!A:A, Customer!B:B), "Unknown Customer")</f>
        <v>Elham Karimi</v>
      </c>
      <c r="D1202" s="1">
        <v>45929</v>
      </c>
      <c r="E1202" t="s">
        <v>27</v>
      </c>
      <c r="F1202" t="s">
        <v>14</v>
      </c>
      <c r="G1202">
        <v>1</v>
      </c>
      <c r="H1202" t="s">
        <v>11</v>
      </c>
      <c r="I1202" s="2">
        <v>30000</v>
      </c>
      <c r="J1202" t="s">
        <v>15</v>
      </c>
      <c r="K1202" s="3">
        <f t="shared" si="36"/>
        <v>30000</v>
      </c>
      <c r="L1202" t="str">
        <f t="shared" si="37"/>
        <v>2025-09</v>
      </c>
    </row>
    <row r="1203" spans="1:12" x14ac:dyDescent="0.25">
      <c r="A1203">
        <v>2206</v>
      </c>
      <c r="B1203">
        <v>102</v>
      </c>
      <c r="C1203" t="str">
        <f>IFERROR(_xlfn.XLOOKUP(B1203, Customer!A:A, Customer!B:B), "Unknown Customer")</f>
        <v>Yasaman Yousefi</v>
      </c>
      <c r="D1203" s="1">
        <v>45841</v>
      </c>
      <c r="E1203" t="s">
        <v>13</v>
      </c>
      <c r="F1203" t="s">
        <v>14</v>
      </c>
      <c r="G1203">
        <v>1</v>
      </c>
      <c r="H1203" t="s">
        <v>11</v>
      </c>
      <c r="I1203" s="2">
        <v>58000</v>
      </c>
      <c r="J1203" t="s">
        <v>21</v>
      </c>
      <c r="K1203" s="3">
        <f t="shared" si="36"/>
        <v>58000</v>
      </c>
      <c r="L1203" t="str">
        <f t="shared" si="37"/>
        <v>2025-07</v>
      </c>
    </row>
    <row r="1204" spans="1:12" x14ac:dyDescent="0.25">
      <c r="A1204">
        <v>2207</v>
      </c>
      <c r="B1204">
        <v>16</v>
      </c>
      <c r="C1204" t="str">
        <f>IFERROR(_xlfn.XLOOKUP(B1204, Customer!A:A, Customer!B:B), "Unknown Customer")</f>
        <v>Milad Yousefi</v>
      </c>
      <c r="D1204" s="1">
        <v>45821</v>
      </c>
      <c r="E1204" t="s">
        <v>29</v>
      </c>
      <c r="F1204" t="s">
        <v>14</v>
      </c>
      <c r="G1204">
        <v>1</v>
      </c>
      <c r="H1204" t="s">
        <v>11</v>
      </c>
      <c r="I1204" s="2">
        <v>45000</v>
      </c>
      <c r="J1204" t="s">
        <v>28</v>
      </c>
      <c r="K1204" s="3">
        <f t="shared" si="36"/>
        <v>45000</v>
      </c>
      <c r="L1204" t="str">
        <f t="shared" si="37"/>
        <v>2025-06</v>
      </c>
    </row>
    <row r="1205" spans="1:12" x14ac:dyDescent="0.25">
      <c r="A1205">
        <v>2208</v>
      </c>
      <c r="B1205">
        <v>102</v>
      </c>
      <c r="C1205" t="str">
        <f>IFERROR(_xlfn.XLOOKUP(B1205, Customer!A:A, Customer!B:B), "Unknown Customer")</f>
        <v>Yasaman Yousefi</v>
      </c>
      <c r="D1205" s="1">
        <v>45777</v>
      </c>
      <c r="E1205" t="s">
        <v>25</v>
      </c>
      <c r="F1205" t="s">
        <v>10</v>
      </c>
      <c r="G1205">
        <v>2</v>
      </c>
      <c r="H1205" t="s">
        <v>11</v>
      </c>
      <c r="I1205" s="2">
        <v>65458.715596330272</v>
      </c>
      <c r="J1205" t="s">
        <v>28</v>
      </c>
      <c r="K1205" s="3">
        <f t="shared" si="36"/>
        <v>130917.43119266054</v>
      </c>
      <c r="L1205" t="str">
        <f t="shared" si="37"/>
        <v>2025-04</v>
      </c>
    </row>
    <row r="1206" spans="1:12" x14ac:dyDescent="0.25">
      <c r="A1206">
        <v>2209</v>
      </c>
      <c r="B1206">
        <v>28</v>
      </c>
      <c r="C1206" t="str">
        <f>IFERROR(_xlfn.XLOOKUP(B1206, Customer!A:A, Customer!B:B), "Unknown Customer")</f>
        <v>Yasaman Naderi</v>
      </c>
      <c r="D1206" s="1">
        <v>45945</v>
      </c>
      <c r="E1206" t="s">
        <v>18</v>
      </c>
      <c r="F1206" t="s">
        <v>14</v>
      </c>
      <c r="G1206">
        <v>2</v>
      </c>
      <c r="H1206" t="s">
        <v>11</v>
      </c>
      <c r="I1206" s="2">
        <v>55000</v>
      </c>
      <c r="J1206" t="s">
        <v>21</v>
      </c>
      <c r="K1206" s="3">
        <f t="shared" si="36"/>
        <v>110000</v>
      </c>
      <c r="L1206" t="str">
        <f t="shared" si="37"/>
        <v>2025-10</v>
      </c>
    </row>
    <row r="1207" spans="1:12" x14ac:dyDescent="0.25">
      <c r="A1207">
        <v>2210</v>
      </c>
      <c r="B1207">
        <v>105</v>
      </c>
      <c r="C1207" t="str">
        <f>IFERROR(_xlfn.XLOOKUP(B1207, Customer!A:A, Customer!B:B), "Unknown Customer")</f>
        <v>Tara Ghasemi</v>
      </c>
      <c r="D1207" s="1">
        <v>45759</v>
      </c>
      <c r="E1207" t="s">
        <v>25</v>
      </c>
      <c r="F1207" t="s">
        <v>10</v>
      </c>
      <c r="G1207">
        <v>4</v>
      </c>
      <c r="H1207" t="s">
        <v>11</v>
      </c>
      <c r="I1207" s="2">
        <v>65000</v>
      </c>
      <c r="J1207" t="s">
        <v>21</v>
      </c>
      <c r="K1207" s="3">
        <f t="shared" si="36"/>
        <v>260000</v>
      </c>
      <c r="L1207" t="str">
        <f t="shared" si="37"/>
        <v>2025-04</v>
      </c>
    </row>
    <row r="1208" spans="1:12" x14ac:dyDescent="0.25">
      <c r="A1208">
        <v>2211</v>
      </c>
      <c r="B1208">
        <v>54</v>
      </c>
      <c r="C1208" t="str">
        <f>IFERROR(_xlfn.XLOOKUP(B1208, Customer!A:A, Customer!B:B), "Unknown Customer")</f>
        <v>Parisa Rostami</v>
      </c>
      <c r="D1208" s="1">
        <v>45721</v>
      </c>
      <c r="E1208" t="s">
        <v>18</v>
      </c>
      <c r="F1208" t="s">
        <v>14</v>
      </c>
      <c r="G1208">
        <v>2</v>
      </c>
      <c r="H1208" t="s">
        <v>11</v>
      </c>
      <c r="I1208" s="2">
        <v>55000</v>
      </c>
      <c r="J1208" t="s">
        <v>24</v>
      </c>
      <c r="K1208" s="3">
        <f t="shared" si="36"/>
        <v>110000</v>
      </c>
      <c r="L1208" t="str">
        <f t="shared" si="37"/>
        <v>2025-03</v>
      </c>
    </row>
    <row r="1209" spans="1:12" x14ac:dyDescent="0.25">
      <c r="A1209">
        <v>2212</v>
      </c>
      <c r="B1209">
        <v>74</v>
      </c>
      <c r="C1209" t="str">
        <f>IFERROR(_xlfn.XLOOKUP(B1209, Customer!A:A, Customer!B:B), "Unknown Customer")</f>
        <v>Amir Vakili</v>
      </c>
      <c r="D1209" s="1">
        <v>45803</v>
      </c>
      <c r="E1209" t="s">
        <v>29</v>
      </c>
      <c r="F1209" t="s">
        <v>14</v>
      </c>
      <c r="G1209">
        <v>2</v>
      </c>
      <c r="H1209" t="s">
        <v>11</v>
      </c>
      <c r="I1209" s="2">
        <v>45353.535353535357</v>
      </c>
      <c r="J1209" t="s">
        <v>19</v>
      </c>
      <c r="K1209" s="3">
        <f t="shared" si="36"/>
        <v>90707.070707070714</v>
      </c>
      <c r="L1209" t="str">
        <f t="shared" si="37"/>
        <v>2025-05</v>
      </c>
    </row>
    <row r="1210" spans="1:12" x14ac:dyDescent="0.25">
      <c r="A1210">
        <v>2213</v>
      </c>
      <c r="B1210">
        <v>115</v>
      </c>
      <c r="C1210" t="str">
        <f>IFERROR(_xlfn.XLOOKUP(B1210, Customer!A:A, Customer!B:B), "Unknown Customer")</f>
        <v>Setareh Ahmadi</v>
      </c>
      <c r="D1210" s="1">
        <v>45928</v>
      </c>
      <c r="E1210" t="s">
        <v>23</v>
      </c>
      <c r="F1210" t="s">
        <v>17</v>
      </c>
      <c r="G1210">
        <v>3</v>
      </c>
      <c r="H1210" t="s">
        <v>11</v>
      </c>
      <c r="I1210" s="2">
        <v>80000</v>
      </c>
      <c r="J1210" t="s">
        <v>19</v>
      </c>
      <c r="K1210" s="3">
        <f t="shared" si="36"/>
        <v>240000</v>
      </c>
      <c r="L1210" t="str">
        <f t="shared" si="37"/>
        <v>2025-09</v>
      </c>
    </row>
    <row r="1211" spans="1:12" x14ac:dyDescent="0.25">
      <c r="A1211">
        <v>2214</v>
      </c>
      <c r="B1211">
        <v>107</v>
      </c>
      <c r="C1211" t="str">
        <f>IFERROR(_xlfn.XLOOKUP(B1211, Customer!A:A, Customer!B:B), "Unknown Customer")</f>
        <v>Mona Abbasi</v>
      </c>
      <c r="D1211" s="1">
        <v>45753</v>
      </c>
      <c r="E1211" t="s">
        <v>31</v>
      </c>
      <c r="F1211" t="s">
        <v>17</v>
      </c>
      <c r="G1211">
        <v>1</v>
      </c>
      <c r="H1211" t="s">
        <v>11</v>
      </c>
      <c r="I1211" s="2">
        <v>40000</v>
      </c>
      <c r="J1211" t="s">
        <v>28</v>
      </c>
      <c r="K1211" s="3">
        <f t="shared" si="36"/>
        <v>40000</v>
      </c>
      <c r="L1211" t="str">
        <f t="shared" si="37"/>
        <v>2025-04</v>
      </c>
    </row>
    <row r="1212" spans="1:12" x14ac:dyDescent="0.25">
      <c r="A1212">
        <v>2215</v>
      </c>
      <c r="B1212">
        <v>100</v>
      </c>
      <c r="C1212" t="str">
        <f>IFERROR(_xlfn.XLOOKUP(B1212, Customer!A:A, Customer!B:B), "Unknown Customer")</f>
        <v>Leila Hosseini</v>
      </c>
      <c r="D1212" s="1">
        <v>45910</v>
      </c>
      <c r="E1212" t="s">
        <v>25</v>
      </c>
      <c r="F1212" t="s">
        <v>10</v>
      </c>
      <c r="G1212">
        <v>2</v>
      </c>
      <c r="H1212" t="s">
        <v>11</v>
      </c>
      <c r="I1212" s="2">
        <v>65000</v>
      </c>
      <c r="J1212" t="s">
        <v>32</v>
      </c>
      <c r="K1212" s="3">
        <f t="shared" si="36"/>
        <v>130000</v>
      </c>
      <c r="L1212" t="str">
        <f t="shared" si="37"/>
        <v>2025-09</v>
      </c>
    </row>
    <row r="1213" spans="1:12" x14ac:dyDescent="0.25">
      <c r="A1213">
        <v>2216</v>
      </c>
      <c r="B1213">
        <v>109</v>
      </c>
      <c r="C1213" t="str">
        <f>IFERROR(_xlfn.XLOOKUP(B1213, Customer!A:A, Customer!B:B), "Unknown Customer")</f>
        <v>Roya Jafari</v>
      </c>
      <c r="D1213" s="1">
        <v>45720</v>
      </c>
      <c r="E1213" t="s">
        <v>27</v>
      </c>
      <c r="F1213" t="s">
        <v>14</v>
      </c>
      <c r="G1213">
        <v>1</v>
      </c>
      <c r="H1213" t="s">
        <v>11</v>
      </c>
      <c r="I1213" s="2">
        <v>35000</v>
      </c>
      <c r="J1213" t="s">
        <v>24</v>
      </c>
      <c r="K1213" s="3">
        <f t="shared" si="36"/>
        <v>35000</v>
      </c>
      <c r="L1213" t="str">
        <f t="shared" si="37"/>
        <v>2025-03</v>
      </c>
    </row>
    <row r="1214" spans="1:12" x14ac:dyDescent="0.25">
      <c r="A1214">
        <v>2217</v>
      </c>
      <c r="B1214">
        <v>14</v>
      </c>
      <c r="C1214" t="str">
        <f>IFERROR(_xlfn.XLOOKUP(B1214, Customer!A:A, Customer!B:B), "Unknown Customer")</f>
        <v>Ali Ghasemi</v>
      </c>
      <c r="D1214" s="1">
        <v>46010</v>
      </c>
      <c r="E1214" t="s">
        <v>25</v>
      </c>
      <c r="F1214" t="s">
        <v>10</v>
      </c>
      <c r="G1214">
        <v>1</v>
      </c>
      <c r="H1214" t="s">
        <v>11</v>
      </c>
      <c r="I1214" s="2">
        <v>65000</v>
      </c>
      <c r="J1214" t="s">
        <v>12</v>
      </c>
      <c r="K1214" s="3">
        <f t="shared" si="36"/>
        <v>65000</v>
      </c>
      <c r="L1214" t="str">
        <f t="shared" si="37"/>
        <v>2025-12</v>
      </c>
    </row>
    <row r="1215" spans="1:12" x14ac:dyDescent="0.25">
      <c r="A1215">
        <v>2218</v>
      </c>
      <c r="B1215">
        <v>116</v>
      </c>
      <c r="C1215" t="str">
        <f>IFERROR(_xlfn.XLOOKUP(B1215, Customer!A:A, Customer!B:B), "Unknown Customer")</f>
        <v>Kian Zare</v>
      </c>
      <c r="D1215" s="1">
        <v>45933</v>
      </c>
      <c r="E1215" t="s">
        <v>25</v>
      </c>
      <c r="F1215" t="s">
        <v>10</v>
      </c>
      <c r="G1215">
        <v>1</v>
      </c>
      <c r="H1215" t="s">
        <v>11</v>
      </c>
      <c r="I1215" s="2">
        <v>60000</v>
      </c>
      <c r="J1215" t="s">
        <v>21</v>
      </c>
      <c r="K1215" s="3">
        <f t="shared" si="36"/>
        <v>60000</v>
      </c>
      <c r="L1215" t="str">
        <f t="shared" si="37"/>
        <v>2025-10</v>
      </c>
    </row>
    <row r="1216" spans="1:12" x14ac:dyDescent="0.25">
      <c r="A1216">
        <v>2219</v>
      </c>
      <c r="B1216">
        <v>10</v>
      </c>
      <c r="C1216" t="str">
        <f>IFERROR(_xlfn.XLOOKUP(B1216, Customer!A:A, Customer!B:B), "Unknown Customer")</f>
        <v>Sepideh Rostami</v>
      </c>
      <c r="D1216" s="1">
        <v>45826</v>
      </c>
      <c r="E1216" t="s">
        <v>9</v>
      </c>
      <c r="F1216" t="s">
        <v>10</v>
      </c>
      <c r="G1216">
        <v>1</v>
      </c>
      <c r="H1216" t="s">
        <v>11</v>
      </c>
      <c r="I1216" s="2">
        <v>62000</v>
      </c>
      <c r="J1216" t="s">
        <v>19</v>
      </c>
      <c r="K1216" s="3">
        <f t="shared" si="36"/>
        <v>62000</v>
      </c>
      <c r="L1216" t="str">
        <f t="shared" si="37"/>
        <v>2025-06</v>
      </c>
    </row>
    <row r="1217" spans="1:12" x14ac:dyDescent="0.25">
      <c r="A1217">
        <v>2220</v>
      </c>
      <c r="B1217">
        <v>17</v>
      </c>
      <c r="C1217" t="str">
        <f>IFERROR(_xlfn.XLOOKUP(B1217, Customer!A:A, Customer!B:B), "Unknown Customer")</f>
        <v>Kaveh Jafari</v>
      </c>
      <c r="D1217" s="1">
        <v>45733</v>
      </c>
      <c r="E1217" t="s">
        <v>25</v>
      </c>
      <c r="F1217" t="s">
        <v>10</v>
      </c>
      <c r="G1217">
        <v>3</v>
      </c>
      <c r="H1217" t="s">
        <v>11</v>
      </c>
      <c r="I1217" s="2">
        <v>65000</v>
      </c>
      <c r="J1217" t="s">
        <v>28</v>
      </c>
      <c r="K1217" s="3">
        <f t="shared" si="36"/>
        <v>195000</v>
      </c>
      <c r="L1217" t="str">
        <f t="shared" si="37"/>
        <v>2025-03</v>
      </c>
    </row>
    <row r="1218" spans="1:12" x14ac:dyDescent="0.25">
      <c r="A1218">
        <v>2221</v>
      </c>
      <c r="B1218">
        <v>68</v>
      </c>
      <c r="C1218" t="str">
        <f>IFERROR(_xlfn.XLOOKUP(B1218, Customer!A:A, Customer!B:B), "Unknown Customer")</f>
        <v>Farhad Mousavi</v>
      </c>
      <c r="D1218" s="1">
        <v>45953</v>
      </c>
      <c r="E1218" t="s">
        <v>30</v>
      </c>
      <c r="F1218" t="s">
        <v>14</v>
      </c>
      <c r="G1218">
        <v>1</v>
      </c>
      <c r="H1218" t="s">
        <v>11</v>
      </c>
      <c r="I1218" s="2">
        <v>48000</v>
      </c>
      <c r="J1218" t="s">
        <v>24</v>
      </c>
      <c r="K1218" s="3">
        <f t="shared" si="36"/>
        <v>48000</v>
      </c>
      <c r="L1218" t="str">
        <f t="shared" si="37"/>
        <v>2025-10</v>
      </c>
    </row>
    <row r="1219" spans="1:12" x14ac:dyDescent="0.25">
      <c r="A1219">
        <v>2222</v>
      </c>
      <c r="B1219">
        <v>12</v>
      </c>
      <c r="C1219" t="str">
        <f>IFERROR(_xlfn.XLOOKUP(B1219, Customer!A:A, Customer!B:B), "Unknown Customer")</f>
        <v>Golnaz Karimi</v>
      </c>
      <c r="D1219" s="1">
        <v>45809</v>
      </c>
      <c r="E1219" t="s">
        <v>9</v>
      </c>
      <c r="F1219" t="s">
        <v>10</v>
      </c>
      <c r="G1219">
        <v>1</v>
      </c>
      <c r="H1219" t="s">
        <v>11</v>
      </c>
      <c r="I1219" s="2">
        <v>67000</v>
      </c>
      <c r="J1219" t="s">
        <v>12</v>
      </c>
      <c r="K1219" s="3">
        <f t="shared" ref="K1219:K1282" si="38">G1219*I1219</f>
        <v>67000</v>
      </c>
      <c r="L1219" t="str">
        <f t="shared" ref="L1219:L1282" si="39">TEXT(D1219,"YYYY-MM")</f>
        <v>2025-06</v>
      </c>
    </row>
    <row r="1220" spans="1:12" x14ac:dyDescent="0.25">
      <c r="A1220">
        <v>2223</v>
      </c>
      <c r="B1220">
        <v>10</v>
      </c>
      <c r="C1220" t="str">
        <f>IFERROR(_xlfn.XLOOKUP(B1220, Customer!A:A, Customer!B:B), "Unknown Customer")</f>
        <v>Sepideh Rostami</v>
      </c>
      <c r="D1220" s="1">
        <v>45911</v>
      </c>
      <c r="E1220" t="s">
        <v>18</v>
      </c>
      <c r="F1220" t="s">
        <v>14</v>
      </c>
      <c r="G1220">
        <v>1</v>
      </c>
      <c r="H1220" t="s">
        <v>11</v>
      </c>
      <c r="I1220" s="2">
        <v>55000</v>
      </c>
      <c r="J1220" t="s">
        <v>24</v>
      </c>
      <c r="K1220" s="3">
        <f t="shared" si="38"/>
        <v>55000</v>
      </c>
      <c r="L1220" t="str">
        <f t="shared" si="39"/>
        <v>2025-09</v>
      </c>
    </row>
    <row r="1221" spans="1:12" x14ac:dyDescent="0.25">
      <c r="A1221">
        <v>2224</v>
      </c>
      <c r="B1221">
        <v>63</v>
      </c>
      <c r="C1221" t="str">
        <f>IFERROR(_xlfn.XLOOKUP(B1221, Customer!A:A, Customer!B:B), "Unknown Customer")</f>
        <v>Golnaz Rezaei</v>
      </c>
      <c r="D1221" s="1">
        <v>45832</v>
      </c>
      <c r="E1221" t="s">
        <v>18</v>
      </c>
      <c r="F1221" t="s">
        <v>14</v>
      </c>
      <c r="G1221">
        <v>4</v>
      </c>
      <c r="H1221" t="s">
        <v>11</v>
      </c>
      <c r="I1221" s="2">
        <v>55000</v>
      </c>
      <c r="J1221" t="s">
        <v>12</v>
      </c>
      <c r="K1221" s="3">
        <f t="shared" si="38"/>
        <v>220000</v>
      </c>
      <c r="L1221" t="str">
        <f t="shared" si="39"/>
        <v>2025-06</v>
      </c>
    </row>
    <row r="1222" spans="1:12" x14ac:dyDescent="0.25">
      <c r="A1222">
        <v>2225</v>
      </c>
      <c r="B1222">
        <v>20</v>
      </c>
      <c r="C1222" t="str">
        <f>IFERROR(_xlfn.XLOOKUP(B1222, Customer!A:A, Customer!B:B), "Unknown Customer")</f>
        <v>Setareh Abbasi</v>
      </c>
      <c r="D1222" s="1">
        <v>45712</v>
      </c>
      <c r="E1222" t="s">
        <v>23</v>
      </c>
      <c r="F1222" t="s">
        <v>17</v>
      </c>
      <c r="G1222">
        <v>1</v>
      </c>
      <c r="H1222" t="s">
        <v>11</v>
      </c>
      <c r="I1222" s="2">
        <v>85000</v>
      </c>
      <c r="J1222" t="s">
        <v>15</v>
      </c>
      <c r="K1222" s="3">
        <f t="shared" si="38"/>
        <v>85000</v>
      </c>
      <c r="L1222" t="str">
        <f t="shared" si="39"/>
        <v>2025-02</v>
      </c>
    </row>
    <row r="1223" spans="1:12" x14ac:dyDescent="0.25">
      <c r="A1223">
        <v>2226</v>
      </c>
      <c r="B1223">
        <v>25</v>
      </c>
      <c r="C1223" t="str">
        <f>IFERROR(_xlfn.XLOOKUP(B1223, Customer!A:A, Customer!B:B), "Unknown Customer")</f>
        <v>Milad Kazemi</v>
      </c>
      <c r="D1223" s="1">
        <v>45800</v>
      </c>
      <c r="E1223" t="s">
        <v>18</v>
      </c>
      <c r="F1223" t="s">
        <v>14</v>
      </c>
      <c r="G1223">
        <v>1</v>
      </c>
      <c r="H1223" t="s">
        <v>11</v>
      </c>
      <c r="I1223" s="2">
        <v>55000</v>
      </c>
      <c r="J1223" t="s">
        <v>24</v>
      </c>
      <c r="K1223" s="3">
        <f t="shared" si="38"/>
        <v>55000</v>
      </c>
      <c r="L1223" t="str">
        <f t="shared" si="39"/>
        <v>2025-05</v>
      </c>
    </row>
    <row r="1224" spans="1:12" x14ac:dyDescent="0.25">
      <c r="A1224">
        <v>2227</v>
      </c>
      <c r="B1224">
        <v>60</v>
      </c>
      <c r="C1224" t="str">
        <f>IFERROR(_xlfn.XLOOKUP(B1224, Customer!A:A, Customer!B:B), "Unknown Customer")</f>
        <v>Sina Ghasemi</v>
      </c>
      <c r="D1224" s="1">
        <v>45714</v>
      </c>
      <c r="E1224" t="s">
        <v>18</v>
      </c>
      <c r="F1224" t="s">
        <v>14</v>
      </c>
      <c r="G1224">
        <v>2</v>
      </c>
      <c r="H1224" t="s">
        <v>11</v>
      </c>
      <c r="I1224" s="2">
        <v>55000</v>
      </c>
      <c r="J1224" t="s">
        <v>15</v>
      </c>
      <c r="K1224" s="3">
        <f t="shared" si="38"/>
        <v>110000</v>
      </c>
      <c r="L1224" t="str">
        <f t="shared" si="39"/>
        <v>2025-02</v>
      </c>
    </row>
    <row r="1225" spans="1:12" x14ac:dyDescent="0.25">
      <c r="A1225">
        <v>2228</v>
      </c>
      <c r="B1225">
        <v>85</v>
      </c>
      <c r="C1225" t="str">
        <f>IFERROR(_xlfn.XLOOKUP(B1225, Customer!A:A, Customer!B:B), "Unknown Customer")</f>
        <v>Sepideh Yousefi</v>
      </c>
      <c r="D1225" s="1">
        <v>45889</v>
      </c>
      <c r="E1225" t="s">
        <v>23</v>
      </c>
      <c r="F1225" t="s">
        <v>17</v>
      </c>
      <c r="G1225">
        <v>1</v>
      </c>
      <c r="H1225" t="s">
        <v>11</v>
      </c>
      <c r="I1225" s="2">
        <v>90000</v>
      </c>
      <c r="J1225" t="s">
        <v>15</v>
      </c>
      <c r="K1225" s="3">
        <f t="shared" si="38"/>
        <v>90000</v>
      </c>
      <c r="L1225" t="str">
        <f t="shared" si="39"/>
        <v>2025-08</v>
      </c>
    </row>
    <row r="1226" spans="1:12" x14ac:dyDescent="0.25">
      <c r="A1226">
        <v>2229</v>
      </c>
      <c r="B1226">
        <v>28</v>
      </c>
      <c r="C1226" t="str">
        <f>IFERROR(_xlfn.XLOOKUP(B1226, Customer!A:A, Customer!B:B), "Unknown Customer")</f>
        <v>Yasaman Naderi</v>
      </c>
      <c r="D1226" s="1">
        <v>45861</v>
      </c>
      <c r="E1226" t="s">
        <v>13</v>
      </c>
      <c r="F1226" t="s">
        <v>14</v>
      </c>
      <c r="G1226">
        <v>2</v>
      </c>
      <c r="H1226" t="s">
        <v>11</v>
      </c>
      <c r="I1226" s="2">
        <v>58000</v>
      </c>
      <c r="J1226" t="s">
        <v>21</v>
      </c>
      <c r="K1226" s="3">
        <f t="shared" si="38"/>
        <v>116000</v>
      </c>
      <c r="L1226" t="str">
        <f t="shared" si="39"/>
        <v>2025-07</v>
      </c>
    </row>
    <row r="1227" spans="1:12" x14ac:dyDescent="0.25">
      <c r="A1227">
        <v>2230</v>
      </c>
      <c r="B1227">
        <v>48</v>
      </c>
      <c r="C1227" t="str">
        <f>IFERROR(_xlfn.XLOOKUP(B1227, Customer!A:A, Customer!B:B), "Unknown Customer")</f>
        <v>Hamed Jafari</v>
      </c>
      <c r="D1227" s="1">
        <v>45683</v>
      </c>
      <c r="E1227" t="s">
        <v>18</v>
      </c>
      <c r="F1227" t="s">
        <v>14</v>
      </c>
      <c r="G1227">
        <v>1</v>
      </c>
      <c r="H1227" t="s">
        <v>11</v>
      </c>
      <c r="I1227" s="2">
        <v>55000</v>
      </c>
      <c r="J1227" t="s">
        <v>24</v>
      </c>
      <c r="K1227" s="3">
        <f t="shared" si="38"/>
        <v>55000</v>
      </c>
      <c r="L1227" t="str">
        <f t="shared" si="39"/>
        <v>2025-01</v>
      </c>
    </row>
    <row r="1228" spans="1:12" x14ac:dyDescent="0.25">
      <c r="A1228">
        <v>2231</v>
      </c>
      <c r="B1228">
        <v>52</v>
      </c>
      <c r="C1228" t="str">
        <f>IFERROR(_xlfn.XLOOKUP(B1228, Customer!A:A, Customer!B:B), "Unknown Customer")</f>
        <v>Kaveh Rostami</v>
      </c>
      <c r="D1228" s="1">
        <v>45668</v>
      </c>
      <c r="E1228" t="s">
        <v>13</v>
      </c>
      <c r="F1228" t="s">
        <v>14</v>
      </c>
      <c r="G1228">
        <v>2</v>
      </c>
      <c r="H1228" t="s">
        <v>11</v>
      </c>
      <c r="I1228" s="2">
        <v>58000</v>
      </c>
      <c r="J1228" t="s">
        <v>12</v>
      </c>
      <c r="K1228" s="3">
        <f t="shared" si="38"/>
        <v>116000</v>
      </c>
      <c r="L1228" t="str">
        <f t="shared" si="39"/>
        <v>2025-01</v>
      </c>
    </row>
    <row r="1229" spans="1:12" x14ac:dyDescent="0.25">
      <c r="A1229">
        <v>2232</v>
      </c>
      <c r="B1229">
        <v>32</v>
      </c>
      <c r="C1229" t="str">
        <f>IFERROR(_xlfn.XLOOKUP(B1229, Customer!A:A, Customer!B:B), "Unknown Customer")</f>
        <v>Elham Karimi</v>
      </c>
      <c r="D1229" s="1">
        <v>45770</v>
      </c>
      <c r="E1229" t="s">
        <v>18</v>
      </c>
      <c r="F1229" t="s">
        <v>14</v>
      </c>
      <c r="G1229">
        <v>1</v>
      </c>
      <c r="H1229" t="s">
        <v>11</v>
      </c>
      <c r="I1229" s="2">
        <v>60000</v>
      </c>
      <c r="J1229" t="s">
        <v>19</v>
      </c>
      <c r="K1229" s="3">
        <f t="shared" si="38"/>
        <v>60000</v>
      </c>
      <c r="L1229" t="str">
        <f t="shared" si="39"/>
        <v>2025-04</v>
      </c>
    </row>
    <row r="1230" spans="1:12" x14ac:dyDescent="0.25">
      <c r="A1230">
        <v>2233</v>
      </c>
      <c r="B1230">
        <v>69</v>
      </c>
      <c r="C1230" t="str">
        <f>IFERROR(_xlfn.XLOOKUP(B1230, Customer!A:A, Customer!B:B), "Unknown Customer")</f>
        <v>Mahsa Ebrahimi</v>
      </c>
      <c r="D1230" s="1">
        <v>45799</v>
      </c>
      <c r="E1230" t="s">
        <v>18</v>
      </c>
      <c r="F1230" t="s">
        <v>14</v>
      </c>
      <c r="G1230">
        <v>2</v>
      </c>
      <c r="H1230" t="s">
        <v>11</v>
      </c>
      <c r="I1230" s="2">
        <v>55000</v>
      </c>
      <c r="J1230" t="s">
        <v>12</v>
      </c>
      <c r="K1230" s="3">
        <f t="shared" si="38"/>
        <v>110000</v>
      </c>
      <c r="L1230" t="str">
        <f t="shared" si="39"/>
        <v>2025-05</v>
      </c>
    </row>
    <row r="1231" spans="1:12" x14ac:dyDescent="0.25">
      <c r="A1231">
        <v>2234</v>
      </c>
      <c r="B1231">
        <v>106</v>
      </c>
      <c r="C1231" t="str">
        <f>IFERROR(_xlfn.XLOOKUP(B1231, Customer!A:A, Customer!B:B), "Unknown Customer")</f>
        <v>Iman Zare</v>
      </c>
      <c r="D1231" s="1">
        <v>45795</v>
      </c>
      <c r="E1231" t="s">
        <v>22</v>
      </c>
      <c r="F1231" t="s">
        <v>14</v>
      </c>
      <c r="G1231">
        <v>1</v>
      </c>
      <c r="H1231" t="s">
        <v>11</v>
      </c>
      <c r="I1231" s="2">
        <v>60000</v>
      </c>
      <c r="J1231" t="s">
        <v>12</v>
      </c>
      <c r="K1231" s="3">
        <f t="shared" si="38"/>
        <v>60000</v>
      </c>
      <c r="L1231" t="str">
        <f t="shared" si="39"/>
        <v>2025-05</v>
      </c>
    </row>
    <row r="1232" spans="1:12" x14ac:dyDescent="0.25">
      <c r="A1232">
        <v>2235</v>
      </c>
      <c r="B1232">
        <v>77</v>
      </c>
      <c r="C1232" t="str">
        <f>IFERROR(_xlfn.XLOOKUP(B1232, Customer!A:A, Customer!B:B), "Unknown Customer")</f>
        <v>Iman Sadeghi</v>
      </c>
      <c r="D1232" s="1">
        <v>45659</v>
      </c>
      <c r="E1232" t="s">
        <v>9</v>
      </c>
      <c r="F1232" t="s">
        <v>10</v>
      </c>
      <c r="G1232">
        <v>2</v>
      </c>
      <c r="H1232" t="s">
        <v>11</v>
      </c>
      <c r="I1232" s="2">
        <v>67000</v>
      </c>
      <c r="J1232" t="s">
        <v>12</v>
      </c>
      <c r="K1232" s="3">
        <f t="shared" si="38"/>
        <v>134000</v>
      </c>
      <c r="L1232" t="str">
        <f t="shared" si="39"/>
        <v>2025-01</v>
      </c>
    </row>
    <row r="1233" spans="1:12" x14ac:dyDescent="0.25">
      <c r="A1233">
        <v>2236</v>
      </c>
      <c r="B1233">
        <v>31</v>
      </c>
      <c r="C1233" t="str">
        <f>IFERROR(_xlfn.XLOOKUP(B1233, Customer!A:A, Customer!B:B), "Unknown Customer")</f>
        <v>Sara Karimi</v>
      </c>
      <c r="D1233" s="1">
        <v>45819</v>
      </c>
      <c r="E1233" t="s">
        <v>13</v>
      </c>
      <c r="F1233" t="s">
        <v>14</v>
      </c>
      <c r="G1233">
        <v>1</v>
      </c>
      <c r="H1233" t="s">
        <v>11</v>
      </c>
      <c r="I1233" s="2">
        <v>58000</v>
      </c>
      <c r="J1233" t="s">
        <v>24</v>
      </c>
      <c r="K1233" s="3">
        <f t="shared" si="38"/>
        <v>58000</v>
      </c>
      <c r="L1233" t="str">
        <f t="shared" si="39"/>
        <v>2025-06</v>
      </c>
    </row>
    <row r="1234" spans="1:12" x14ac:dyDescent="0.25">
      <c r="A1234">
        <v>2237</v>
      </c>
      <c r="B1234">
        <v>118</v>
      </c>
      <c r="C1234" t="str">
        <f>IFERROR(_xlfn.XLOOKUP(B1234, Customer!A:A, Customer!B:B), "Unknown Customer")</f>
        <v>Hamed Rezaei</v>
      </c>
      <c r="D1234" s="1">
        <v>45881</v>
      </c>
      <c r="E1234" t="s">
        <v>29</v>
      </c>
      <c r="F1234" t="s">
        <v>14</v>
      </c>
      <c r="G1234">
        <v>1</v>
      </c>
      <c r="H1234" t="s">
        <v>11</v>
      </c>
      <c r="I1234" s="2">
        <v>40000</v>
      </c>
      <c r="J1234" t="s">
        <v>19</v>
      </c>
      <c r="K1234" s="3">
        <f t="shared" si="38"/>
        <v>40000</v>
      </c>
      <c r="L1234" t="str">
        <f t="shared" si="39"/>
        <v>2025-08</v>
      </c>
    </row>
    <row r="1235" spans="1:12" x14ac:dyDescent="0.25">
      <c r="A1235">
        <v>2238</v>
      </c>
      <c r="B1235">
        <v>22</v>
      </c>
      <c r="C1235" t="str">
        <f>IFERROR(_xlfn.XLOOKUP(B1235, Customer!A:A, Customer!B:B), "Unknown Customer")</f>
        <v>Amir Yousefi</v>
      </c>
      <c r="D1235" s="1">
        <v>45778</v>
      </c>
      <c r="E1235" t="s">
        <v>27</v>
      </c>
      <c r="F1235" t="s">
        <v>14</v>
      </c>
      <c r="G1235">
        <v>2</v>
      </c>
      <c r="H1235" t="s">
        <v>11</v>
      </c>
      <c r="I1235" s="2">
        <v>40000</v>
      </c>
      <c r="J1235" t="s">
        <v>24</v>
      </c>
      <c r="K1235" s="3">
        <f t="shared" si="38"/>
        <v>80000</v>
      </c>
      <c r="L1235" t="str">
        <f t="shared" si="39"/>
        <v>2025-05</v>
      </c>
    </row>
    <row r="1236" spans="1:12" x14ac:dyDescent="0.25">
      <c r="A1236">
        <v>2239</v>
      </c>
      <c r="B1236">
        <v>61</v>
      </c>
      <c r="C1236" t="str">
        <f>IFERROR(_xlfn.XLOOKUP(B1236, Customer!A:A, Customer!B:B), "Unknown Customer")</f>
        <v>Arman Moradi</v>
      </c>
      <c r="D1236" s="1">
        <v>45681</v>
      </c>
      <c r="E1236" t="s">
        <v>18</v>
      </c>
      <c r="F1236" t="s">
        <v>14</v>
      </c>
      <c r="G1236">
        <v>4</v>
      </c>
      <c r="H1236" t="s">
        <v>11</v>
      </c>
      <c r="I1236" s="2">
        <v>55000</v>
      </c>
      <c r="J1236" t="s">
        <v>24</v>
      </c>
      <c r="K1236" s="3">
        <f t="shared" si="38"/>
        <v>220000</v>
      </c>
      <c r="L1236" t="str">
        <f t="shared" si="39"/>
        <v>2025-01</v>
      </c>
    </row>
    <row r="1237" spans="1:12" x14ac:dyDescent="0.25">
      <c r="A1237">
        <v>2240</v>
      </c>
      <c r="B1237">
        <v>100</v>
      </c>
      <c r="C1237" t="str">
        <f>IFERROR(_xlfn.XLOOKUP(B1237, Customer!A:A, Customer!B:B), "Unknown Customer")</f>
        <v>Leila Hosseini</v>
      </c>
      <c r="D1237" s="1">
        <v>45709</v>
      </c>
      <c r="E1237" t="s">
        <v>18</v>
      </c>
      <c r="F1237" t="s">
        <v>14</v>
      </c>
      <c r="G1237">
        <v>2</v>
      </c>
      <c r="H1237" t="s">
        <v>11</v>
      </c>
      <c r="I1237" s="2">
        <v>55000</v>
      </c>
      <c r="J1237" t="s">
        <v>28</v>
      </c>
      <c r="K1237" s="3">
        <f t="shared" si="38"/>
        <v>110000</v>
      </c>
      <c r="L1237" t="str">
        <f t="shared" si="39"/>
        <v>2025-02</v>
      </c>
    </row>
    <row r="1238" spans="1:12" x14ac:dyDescent="0.25">
      <c r="A1238">
        <v>2241</v>
      </c>
      <c r="B1238">
        <v>33</v>
      </c>
      <c r="C1238" t="str">
        <f>IFERROR(_xlfn.XLOOKUP(B1238, Customer!A:A, Customer!B:B), "Unknown Customer")</f>
        <v>Niloofar Zare</v>
      </c>
      <c r="D1238" s="1">
        <v>45847</v>
      </c>
      <c r="E1238" t="s">
        <v>27</v>
      </c>
      <c r="F1238" t="s">
        <v>14</v>
      </c>
      <c r="G1238">
        <v>2</v>
      </c>
      <c r="H1238" t="s">
        <v>11</v>
      </c>
      <c r="I1238" s="2">
        <v>30000</v>
      </c>
      <c r="J1238" t="s">
        <v>12</v>
      </c>
      <c r="K1238" s="3">
        <f t="shared" si="38"/>
        <v>60000</v>
      </c>
      <c r="L1238" t="str">
        <f t="shared" si="39"/>
        <v>2025-07</v>
      </c>
    </row>
    <row r="1239" spans="1:12" x14ac:dyDescent="0.25">
      <c r="A1239">
        <v>2242</v>
      </c>
      <c r="B1239">
        <v>43</v>
      </c>
      <c r="C1239" t="str">
        <f>IFERROR(_xlfn.XLOOKUP(B1239, Customer!A:A, Customer!B:B), "Unknown Customer")</f>
        <v>Ali Mousavi</v>
      </c>
      <c r="D1239" s="1">
        <v>45820</v>
      </c>
      <c r="E1239" t="s">
        <v>23</v>
      </c>
      <c r="F1239" t="s">
        <v>17</v>
      </c>
      <c r="G1239">
        <v>1</v>
      </c>
      <c r="H1239" t="s">
        <v>11</v>
      </c>
      <c r="I1239" s="2">
        <v>85000</v>
      </c>
      <c r="J1239" t="s">
        <v>24</v>
      </c>
      <c r="K1239" s="3">
        <f t="shared" si="38"/>
        <v>85000</v>
      </c>
      <c r="L1239" t="str">
        <f t="shared" si="39"/>
        <v>2025-06</v>
      </c>
    </row>
    <row r="1240" spans="1:12" x14ac:dyDescent="0.25">
      <c r="A1240">
        <v>2243</v>
      </c>
      <c r="B1240">
        <v>53</v>
      </c>
      <c r="C1240" t="str">
        <f>IFERROR(_xlfn.XLOOKUP(B1240, Customer!A:A, Customer!B:B), "Unknown Customer")</f>
        <v>Azadeh Moradi</v>
      </c>
      <c r="D1240" s="1">
        <v>45759</v>
      </c>
      <c r="E1240" t="s">
        <v>30</v>
      </c>
      <c r="F1240" t="s">
        <v>14</v>
      </c>
      <c r="G1240">
        <v>2</v>
      </c>
      <c r="H1240" t="s">
        <v>11</v>
      </c>
      <c r="I1240" s="2">
        <v>43000</v>
      </c>
      <c r="J1240" t="s">
        <v>21</v>
      </c>
      <c r="K1240" s="3">
        <f t="shared" si="38"/>
        <v>86000</v>
      </c>
      <c r="L1240" t="str">
        <f t="shared" si="39"/>
        <v>2025-04</v>
      </c>
    </row>
    <row r="1241" spans="1:12" x14ac:dyDescent="0.25">
      <c r="A1241">
        <v>2244</v>
      </c>
      <c r="B1241">
        <v>27</v>
      </c>
      <c r="C1241" t="str">
        <f>IFERROR(_xlfn.XLOOKUP(B1241, Customer!A:A, Customer!B:B), "Unknown Customer")</f>
        <v>Sina Fallahi</v>
      </c>
      <c r="D1241" s="1">
        <v>45703</v>
      </c>
      <c r="E1241" t="s">
        <v>22</v>
      </c>
      <c r="F1241" t="s">
        <v>14</v>
      </c>
      <c r="G1241">
        <v>3</v>
      </c>
      <c r="H1241" t="s">
        <v>11</v>
      </c>
      <c r="I1241" s="2">
        <v>55000</v>
      </c>
      <c r="J1241" t="s">
        <v>28</v>
      </c>
      <c r="K1241" s="3">
        <f t="shared" si="38"/>
        <v>165000</v>
      </c>
      <c r="L1241" t="str">
        <f t="shared" si="39"/>
        <v>2025-02</v>
      </c>
    </row>
    <row r="1242" spans="1:12" x14ac:dyDescent="0.25">
      <c r="A1242">
        <v>2245</v>
      </c>
      <c r="B1242">
        <v>23</v>
      </c>
      <c r="C1242" t="str">
        <f>IFERROR(_xlfn.XLOOKUP(B1242, Customer!A:A, Customer!B:B), "Unknown Customer")</f>
        <v>Milad Rezaei</v>
      </c>
      <c r="D1242" s="1">
        <v>46005</v>
      </c>
      <c r="E1242" t="s">
        <v>9</v>
      </c>
      <c r="F1242" t="s">
        <v>10</v>
      </c>
      <c r="G1242">
        <v>2</v>
      </c>
      <c r="H1242" t="s">
        <v>11</v>
      </c>
      <c r="I1242" s="2">
        <v>67000</v>
      </c>
      <c r="J1242" t="s">
        <v>21</v>
      </c>
      <c r="K1242" s="3">
        <f t="shared" si="38"/>
        <v>134000</v>
      </c>
      <c r="L1242" t="str">
        <f t="shared" si="39"/>
        <v>2025-12</v>
      </c>
    </row>
    <row r="1243" spans="1:12" x14ac:dyDescent="0.25">
      <c r="A1243">
        <v>2246</v>
      </c>
      <c r="B1243">
        <v>25</v>
      </c>
      <c r="C1243" t="str">
        <f>IFERROR(_xlfn.XLOOKUP(B1243, Customer!A:A, Customer!B:B), "Unknown Customer")</f>
        <v>Milad Kazemi</v>
      </c>
      <c r="D1243" s="1">
        <v>45954</v>
      </c>
      <c r="E1243" t="s">
        <v>29</v>
      </c>
      <c r="F1243" t="s">
        <v>14</v>
      </c>
      <c r="G1243">
        <v>4</v>
      </c>
      <c r="H1243" t="s">
        <v>11</v>
      </c>
      <c r="I1243" s="2">
        <v>50000</v>
      </c>
      <c r="J1243" t="s">
        <v>15</v>
      </c>
      <c r="K1243" s="3">
        <f t="shared" si="38"/>
        <v>200000</v>
      </c>
      <c r="L1243" t="str">
        <f t="shared" si="39"/>
        <v>2025-10</v>
      </c>
    </row>
    <row r="1244" spans="1:12" x14ac:dyDescent="0.25">
      <c r="A1244">
        <v>2247</v>
      </c>
      <c r="B1244">
        <v>73</v>
      </c>
      <c r="C1244" t="str">
        <f>IFERROR(_xlfn.XLOOKUP(B1244, Customer!A:A, Customer!B:B), "Unknown Customer")</f>
        <v>Niloofar Ebrahimi</v>
      </c>
      <c r="D1244" s="1">
        <v>45805</v>
      </c>
      <c r="E1244" t="s">
        <v>25</v>
      </c>
      <c r="F1244" t="s">
        <v>10</v>
      </c>
      <c r="G1244">
        <v>2</v>
      </c>
      <c r="H1244" t="s">
        <v>11</v>
      </c>
      <c r="I1244" s="2">
        <v>65000</v>
      </c>
      <c r="J1244" t="s">
        <v>28</v>
      </c>
      <c r="K1244" s="3">
        <f t="shared" si="38"/>
        <v>130000</v>
      </c>
      <c r="L1244" t="str">
        <f t="shared" si="39"/>
        <v>2025-05</v>
      </c>
    </row>
    <row r="1245" spans="1:12" x14ac:dyDescent="0.25">
      <c r="A1245">
        <v>2248</v>
      </c>
      <c r="B1245">
        <v>118</v>
      </c>
      <c r="C1245" t="str">
        <f>IFERROR(_xlfn.XLOOKUP(B1245, Customer!A:A, Customer!B:B), "Unknown Customer")</f>
        <v>Hamed Rezaei</v>
      </c>
      <c r="D1245" s="1">
        <v>45977</v>
      </c>
      <c r="E1245" t="s">
        <v>9</v>
      </c>
      <c r="F1245" t="s">
        <v>10</v>
      </c>
      <c r="G1245">
        <v>1</v>
      </c>
      <c r="H1245" t="s">
        <v>11</v>
      </c>
      <c r="I1245" s="2">
        <v>62000</v>
      </c>
      <c r="J1245" t="s">
        <v>21</v>
      </c>
      <c r="K1245" s="3">
        <f t="shared" si="38"/>
        <v>62000</v>
      </c>
      <c r="L1245" t="str">
        <f t="shared" si="39"/>
        <v>2025-11</v>
      </c>
    </row>
    <row r="1246" spans="1:12" x14ac:dyDescent="0.25">
      <c r="A1246">
        <v>2249</v>
      </c>
      <c r="B1246">
        <v>2</v>
      </c>
      <c r="C1246" t="str">
        <f>IFERROR(_xlfn.XLOOKUP(B1246, Customer!A:A, Customer!B:B), "Unknown Customer")</f>
        <v>Reza Naderi</v>
      </c>
      <c r="D1246" s="1">
        <v>45678</v>
      </c>
      <c r="E1246" t="s">
        <v>16</v>
      </c>
      <c r="F1246" t="s">
        <v>17</v>
      </c>
      <c r="G1246">
        <v>1</v>
      </c>
      <c r="H1246" t="s">
        <v>11</v>
      </c>
      <c r="I1246" s="2">
        <v>80000</v>
      </c>
      <c r="J1246" t="s">
        <v>15</v>
      </c>
      <c r="K1246" s="3">
        <f t="shared" si="38"/>
        <v>80000</v>
      </c>
      <c r="L1246" t="str">
        <f t="shared" si="39"/>
        <v>2025-01</v>
      </c>
    </row>
    <row r="1247" spans="1:12" x14ac:dyDescent="0.25">
      <c r="A1247">
        <v>2250</v>
      </c>
      <c r="B1247">
        <v>40</v>
      </c>
      <c r="C1247" t="str">
        <f>IFERROR(_xlfn.XLOOKUP(B1247, Customer!A:A, Customer!B:B), "Unknown Customer")</f>
        <v>Nazanin Hosseini</v>
      </c>
      <c r="D1247" s="1">
        <v>45878</v>
      </c>
      <c r="E1247" t="s">
        <v>29</v>
      </c>
      <c r="F1247" t="s">
        <v>14</v>
      </c>
      <c r="G1247">
        <v>-1</v>
      </c>
      <c r="H1247" t="s">
        <v>26</v>
      </c>
      <c r="I1247" s="2">
        <v>45000</v>
      </c>
      <c r="J1247" t="s">
        <v>21</v>
      </c>
      <c r="K1247" s="3">
        <f t="shared" si="38"/>
        <v>-45000</v>
      </c>
      <c r="L1247" t="str">
        <f t="shared" si="39"/>
        <v>2025-08</v>
      </c>
    </row>
    <row r="1248" spans="1:12" x14ac:dyDescent="0.25">
      <c r="A1248">
        <v>2251</v>
      </c>
      <c r="B1248">
        <v>101</v>
      </c>
      <c r="C1248" t="str">
        <f>IFERROR(_xlfn.XLOOKUP(B1248, Customer!A:A, Customer!B:B), "Unknown Customer")</f>
        <v>Niloofar Ghasemi</v>
      </c>
      <c r="D1248" s="1">
        <v>45998</v>
      </c>
      <c r="E1248" t="s">
        <v>23</v>
      </c>
      <c r="F1248" t="s">
        <v>17</v>
      </c>
      <c r="G1248">
        <v>1</v>
      </c>
      <c r="H1248" t="s">
        <v>11</v>
      </c>
      <c r="I1248" s="2">
        <v>85000</v>
      </c>
      <c r="J1248" t="s">
        <v>15</v>
      </c>
      <c r="K1248" s="3">
        <f t="shared" si="38"/>
        <v>85000</v>
      </c>
      <c r="L1248" t="str">
        <f t="shared" si="39"/>
        <v>2025-12</v>
      </c>
    </row>
    <row r="1249" spans="1:12" x14ac:dyDescent="0.25">
      <c r="A1249">
        <v>2252</v>
      </c>
      <c r="B1249">
        <v>75</v>
      </c>
      <c r="C1249" t="str">
        <f>IFERROR(_xlfn.XLOOKUP(B1249, Customer!A:A, Customer!B:B), "Unknown Customer")</f>
        <v>Kian Ebrahimi</v>
      </c>
      <c r="D1249" s="1">
        <v>45806</v>
      </c>
      <c r="E1249" t="s">
        <v>18</v>
      </c>
      <c r="F1249" t="s">
        <v>14</v>
      </c>
      <c r="G1249">
        <v>2</v>
      </c>
      <c r="H1249" t="s">
        <v>11</v>
      </c>
      <c r="I1249" s="2">
        <v>55000</v>
      </c>
      <c r="J1249" t="s">
        <v>15</v>
      </c>
      <c r="K1249" s="3">
        <f t="shared" si="38"/>
        <v>110000</v>
      </c>
      <c r="L1249" t="str">
        <f t="shared" si="39"/>
        <v>2025-05</v>
      </c>
    </row>
    <row r="1250" spans="1:12" x14ac:dyDescent="0.25">
      <c r="A1250">
        <v>2253</v>
      </c>
      <c r="B1250">
        <v>52</v>
      </c>
      <c r="C1250" t="str">
        <f>IFERROR(_xlfn.XLOOKUP(B1250, Customer!A:A, Customer!B:B), "Unknown Customer")</f>
        <v>Kaveh Rostami</v>
      </c>
      <c r="D1250" s="1">
        <v>45791</v>
      </c>
      <c r="E1250" t="s">
        <v>18</v>
      </c>
      <c r="F1250" t="s">
        <v>14</v>
      </c>
      <c r="G1250">
        <v>1</v>
      </c>
      <c r="H1250" t="s">
        <v>11</v>
      </c>
      <c r="I1250" s="2">
        <v>60000</v>
      </c>
      <c r="J1250" t="s">
        <v>28</v>
      </c>
      <c r="K1250" s="3">
        <f t="shared" si="38"/>
        <v>60000</v>
      </c>
      <c r="L1250" t="str">
        <f t="shared" si="39"/>
        <v>2025-05</v>
      </c>
    </row>
    <row r="1251" spans="1:12" x14ac:dyDescent="0.25">
      <c r="A1251">
        <v>2254</v>
      </c>
      <c r="B1251">
        <v>18</v>
      </c>
      <c r="C1251" t="str">
        <f>IFERROR(_xlfn.XLOOKUP(B1251, Customer!A:A, Customer!B:B), "Unknown Customer")</f>
        <v>Niloofar Abbasi</v>
      </c>
      <c r="D1251" s="1">
        <v>45760</v>
      </c>
      <c r="E1251" t="s">
        <v>27</v>
      </c>
      <c r="F1251" t="s">
        <v>14</v>
      </c>
      <c r="G1251">
        <v>2</v>
      </c>
      <c r="H1251" t="s">
        <v>11</v>
      </c>
      <c r="I1251" s="2">
        <v>40000</v>
      </c>
      <c r="J1251" t="s">
        <v>21</v>
      </c>
      <c r="K1251" s="3">
        <f t="shared" si="38"/>
        <v>80000</v>
      </c>
      <c r="L1251" t="str">
        <f t="shared" si="39"/>
        <v>2025-04</v>
      </c>
    </row>
    <row r="1252" spans="1:12" x14ac:dyDescent="0.25">
      <c r="A1252">
        <v>2255</v>
      </c>
      <c r="B1252">
        <v>11</v>
      </c>
      <c r="C1252" t="str">
        <f>IFERROR(_xlfn.XLOOKUP(B1252, Customer!A:A, Customer!B:B), "Unknown Customer")</f>
        <v>Leila Kazemi</v>
      </c>
      <c r="D1252" s="1">
        <v>45948</v>
      </c>
      <c r="E1252" t="s">
        <v>9</v>
      </c>
      <c r="F1252" t="s">
        <v>10</v>
      </c>
      <c r="G1252">
        <v>2</v>
      </c>
      <c r="H1252" t="s">
        <v>11</v>
      </c>
      <c r="I1252" s="2">
        <v>62000</v>
      </c>
      <c r="J1252" t="s">
        <v>19</v>
      </c>
      <c r="K1252" s="3">
        <f t="shared" si="38"/>
        <v>124000</v>
      </c>
      <c r="L1252" t="str">
        <f t="shared" si="39"/>
        <v>2025-10</v>
      </c>
    </row>
    <row r="1253" spans="1:12" x14ac:dyDescent="0.25">
      <c r="A1253">
        <v>2256</v>
      </c>
      <c r="B1253">
        <v>18</v>
      </c>
      <c r="C1253" t="str">
        <f>IFERROR(_xlfn.XLOOKUP(B1253, Customer!A:A, Customer!B:B), "Unknown Customer")</f>
        <v>Niloofar Abbasi</v>
      </c>
      <c r="D1253" s="1">
        <v>45884</v>
      </c>
      <c r="E1253" t="s">
        <v>23</v>
      </c>
      <c r="F1253" t="s">
        <v>17</v>
      </c>
      <c r="G1253">
        <v>-2</v>
      </c>
      <c r="H1253" t="s">
        <v>26</v>
      </c>
      <c r="I1253" s="2">
        <v>85000</v>
      </c>
      <c r="J1253" t="s">
        <v>15</v>
      </c>
      <c r="K1253" s="3">
        <f t="shared" si="38"/>
        <v>-170000</v>
      </c>
      <c r="L1253" t="str">
        <f t="shared" si="39"/>
        <v>2025-08</v>
      </c>
    </row>
    <row r="1254" spans="1:12" x14ac:dyDescent="0.25">
      <c r="A1254">
        <v>2257</v>
      </c>
      <c r="B1254">
        <v>60</v>
      </c>
      <c r="C1254" t="str">
        <f>IFERROR(_xlfn.XLOOKUP(B1254, Customer!A:A, Customer!B:B), "Unknown Customer")</f>
        <v>Sina Ghasemi</v>
      </c>
      <c r="D1254" s="1">
        <v>45868</v>
      </c>
      <c r="E1254" t="s">
        <v>31</v>
      </c>
      <c r="F1254" t="s">
        <v>17</v>
      </c>
      <c r="G1254">
        <v>2</v>
      </c>
      <c r="H1254" t="s">
        <v>11</v>
      </c>
      <c r="I1254" s="2">
        <v>35000</v>
      </c>
      <c r="J1254" t="s">
        <v>24</v>
      </c>
      <c r="K1254" s="3">
        <f t="shared" si="38"/>
        <v>70000</v>
      </c>
      <c r="L1254" t="str">
        <f t="shared" si="39"/>
        <v>2025-07</v>
      </c>
    </row>
    <row r="1255" spans="1:12" x14ac:dyDescent="0.25">
      <c r="A1255">
        <v>2258</v>
      </c>
      <c r="B1255">
        <v>79</v>
      </c>
      <c r="C1255" t="str">
        <f>IFERROR(_xlfn.XLOOKUP(B1255, Customer!A:A, Customer!B:B), "Unknown Customer")</f>
        <v>Niloofar Ahmadi</v>
      </c>
      <c r="D1255" s="1">
        <v>45782</v>
      </c>
      <c r="E1255" t="s">
        <v>9</v>
      </c>
      <c r="F1255" t="s">
        <v>10</v>
      </c>
      <c r="G1255">
        <v>1</v>
      </c>
      <c r="H1255" t="s">
        <v>11</v>
      </c>
      <c r="I1255" s="2">
        <v>67000</v>
      </c>
      <c r="J1255" t="s">
        <v>19</v>
      </c>
      <c r="K1255" s="3">
        <f t="shared" si="38"/>
        <v>67000</v>
      </c>
      <c r="L1255" t="str">
        <f t="shared" si="39"/>
        <v>2025-05</v>
      </c>
    </row>
    <row r="1256" spans="1:12" x14ac:dyDescent="0.25">
      <c r="A1256">
        <v>2259</v>
      </c>
      <c r="B1256">
        <v>97</v>
      </c>
      <c r="C1256" t="str">
        <f>IFERROR(_xlfn.XLOOKUP(B1256, Customer!A:A, Customer!B:B), "Unknown Customer")</f>
        <v>Setareh Sadeghi</v>
      </c>
      <c r="D1256" s="1">
        <v>45722</v>
      </c>
      <c r="E1256" t="s">
        <v>31</v>
      </c>
      <c r="F1256" t="s">
        <v>17</v>
      </c>
      <c r="G1256">
        <v>2</v>
      </c>
      <c r="H1256" t="s">
        <v>11</v>
      </c>
      <c r="I1256" s="2">
        <v>45000</v>
      </c>
      <c r="J1256" t="s">
        <v>19</v>
      </c>
      <c r="K1256" s="3">
        <f t="shared" si="38"/>
        <v>90000</v>
      </c>
      <c r="L1256" t="str">
        <f t="shared" si="39"/>
        <v>2025-03</v>
      </c>
    </row>
    <row r="1257" spans="1:12" x14ac:dyDescent="0.25">
      <c r="A1257">
        <v>2260</v>
      </c>
      <c r="B1257">
        <v>8</v>
      </c>
      <c r="C1257" t="str">
        <f>IFERROR(_xlfn.XLOOKUP(B1257, Customer!A:A, Customer!B:B), "Unknown Customer")</f>
        <v>Milad Norouzi</v>
      </c>
      <c r="D1257" s="1">
        <v>45990</v>
      </c>
      <c r="E1257" t="s">
        <v>9</v>
      </c>
      <c r="F1257" t="s">
        <v>10</v>
      </c>
      <c r="G1257">
        <v>2</v>
      </c>
      <c r="H1257" t="s">
        <v>11</v>
      </c>
      <c r="I1257" s="2">
        <v>57000</v>
      </c>
      <c r="J1257" t="s">
        <v>12</v>
      </c>
      <c r="K1257" s="3">
        <f t="shared" si="38"/>
        <v>114000</v>
      </c>
      <c r="L1257" t="str">
        <f t="shared" si="39"/>
        <v>2025-11</v>
      </c>
    </row>
    <row r="1258" spans="1:12" x14ac:dyDescent="0.25">
      <c r="A1258">
        <v>2261</v>
      </c>
      <c r="B1258">
        <v>43</v>
      </c>
      <c r="C1258" t="str">
        <f>IFERROR(_xlfn.XLOOKUP(B1258, Customer!A:A, Customer!B:B), "Unknown Customer")</f>
        <v>Ali Mousavi</v>
      </c>
      <c r="D1258" s="1">
        <v>45720</v>
      </c>
      <c r="E1258" t="s">
        <v>29</v>
      </c>
      <c r="F1258" t="s">
        <v>14</v>
      </c>
      <c r="G1258">
        <v>3</v>
      </c>
      <c r="H1258" t="s">
        <v>11</v>
      </c>
      <c r="I1258" s="2">
        <v>45000</v>
      </c>
      <c r="J1258" t="s">
        <v>28</v>
      </c>
      <c r="K1258" s="3">
        <f t="shared" si="38"/>
        <v>135000</v>
      </c>
      <c r="L1258" t="str">
        <f t="shared" si="39"/>
        <v>2025-03</v>
      </c>
    </row>
    <row r="1259" spans="1:12" x14ac:dyDescent="0.25">
      <c r="A1259">
        <v>2262</v>
      </c>
      <c r="B1259">
        <v>95</v>
      </c>
      <c r="C1259" t="str">
        <f>IFERROR(_xlfn.XLOOKUP(B1259, Customer!A:A, Customer!B:B), "Unknown Customer")</f>
        <v>Elham Norouzi</v>
      </c>
      <c r="D1259" s="1">
        <v>45727</v>
      </c>
      <c r="E1259" t="s">
        <v>16</v>
      </c>
      <c r="F1259" t="s">
        <v>17</v>
      </c>
      <c r="G1259">
        <v>1</v>
      </c>
      <c r="H1259" t="s">
        <v>11</v>
      </c>
      <c r="I1259" s="2">
        <v>75000</v>
      </c>
      <c r="J1259" t="s">
        <v>15</v>
      </c>
      <c r="K1259" s="3">
        <f t="shared" si="38"/>
        <v>75000</v>
      </c>
      <c r="L1259" t="str">
        <f t="shared" si="39"/>
        <v>2025-03</v>
      </c>
    </row>
    <row r="1260" spans="1:12" x14ac:dyDescent="0.25">
      <c r="A1260">
        <v>2263</v>
      </c>
      <c r="B1260">
        <v>80</v>
      </c>
      <c r="C1260" t="str">
        <f>IFERROR(_xlfn.XLOOKUP(B1260, Customer!A:A, Customer!B:B), "Unknown Customer")</f>
        <v>Mona Yousefi</v>
      </c>
      <c r="D1260" s="1">
        <v>45760</v>
      </c>
      <c r="E1260" t="s">
        <v>22</v>
      </c>
      <c r="F1260" t="s">
        <v>14</v>
      </c>
      <c r="G1260">
        <v>1</v>
      </c>
      <c r="H1260" t="s">
        <v>11</v>
      </c>
      <c r="I1260" s="2">
        <v>60000</v>
      </c>
      <c r="J1260" t="s">
        <v>28</v>
      </c>
      <c r="K1260" s="3">
        <f t="shared" si="38"/>
        <v>60000</v>
      </c>
      <c r="L1260" t="str">
        <f t="shared" si="39"/>
        <v>2025-04</v>
      </c>
    </row>
    <row r="1261" spans="1:12" x14ac:dyDescent="0.25">
      <c r="A1261">
        <v>2264</v>
      </c>
      <c r="B1261">
        <v>13</v>
      </c>
      <c r="C1261" t="str">
        <f>IFERROR(_xlfn.XLOOKUP(B1261, Customer!A:A, Customer!B:B), "Unknown Customer")</f>
        <v>Milad Naderi</v>
      </c>
      <c r="D1261" s="1">
        <v>45762</v>
      </c>
      <c r="E1261" t="s">
        <v>30</v>
      </c>
      <c r="F1261" t="s">
        <v>14</v>
      </c>
      <c r="G1261">
        <v>1</v>
      </c>
      <c r="H1261" t="s">
        <v>11</v>
      </c>
      <c r="I1261" s="2">
        <v>53000</v>
      </c>
      <c r="J1261" t="s">
        <v>19</v>
      </c>
      <c r="K1261" s="3">
        <f t="shared" si="38"/>
        <v>53000</v>
      </c>
      <c r="L1261" t="str">
        <f t="shared" si="39"/>
        <v>2025-04</v>
      </c>
    </row>
    <row r="1262" spans="1:12" x14ac:dyDescent="0.25">
      <c r="A1262">
        <v>2265</v>
      </c>
      <c r="B1262">
        <v>119</v>
      </c>
      <c r="C1262" t="str">
        <f>IFERROR(_xlfn.XLOOKUP(B1262, Customer!A:A, Customer!B:B), "Unknown Customer")</f>
        <v>Sepideh Sadeghi</v>
      </c>
      <c r="D1262" s="1">
        <v>45722</v>
      </c>
      <c r="E1262" t="s">
        <v>18</v>
      </c>
      <c r="F1262" t="s">
        <v>14</v>
      </c>
      <c r="G1262">
        <v>1</v>
      </c>
      <c r="H1262" t="s">
        <v>11</v>
      </c>
      <c r="I1262" s="2">
        <v>55000</v>
      </c>
      <c r="J1262" t="s">
        <v>28</v>
      </c>
      <c r="K1262" s="3">
        <f t="shared" si="38"/>
        <v>55000</v>
      </c>
      <c r="L1262" t="str">
        <f t="shared" si="39"/>
        <v>2025-03</v>
      </c>
    </row>
    <row r="1263" spans="1:12" x14ac:dyDescent="0.25">
      <c r="A1263">
        <v>2266</v>
      </c>
      <c r="B1263">
        <v>88</v>
      </c>
      <c r="C1263" t="str">
        <f>IFERROR(_xlfn.XLOOKUP(B1263, Customer!A:A, Customer!B:B), "Unknown Customer")</f>
        <v>Golnaz Rostami</v>
      </c>
      <c r="D1263" s="1">
        <v>45994</v>
      </c>
      <c r="E1263" t="s">
        <v>16</v>
      </c>
      <c r="F1263" t="s">
        <v>17</v>
      </c>
      <c r="G1263">
        <v>2</v>
      </c>
      <c r="H1263" t="s">
        <v>11</v>
      </c>
      <c r="I1263" s="2">
        <v>75000</v>
      </c>
      <c r="J1263" t="s">
        <v>24</v>
      </c>
      <c r="K1263" s="3">
        <f t="shared" si="38"/>
        <v>150000</v>
      </c>
      <c r="L1263" t="str">
        <f t="shared" si="39"/>
        <v>2025-12</v>
      </c>
    </row>
    <row r="1264" spans="1:12" x14ac:dyDescent="0.25">
      <c r="A1264">
        <v>2267</v>
      </c>
      <c r="B1264">
        <v>19</v>
      </c>
      <c r="C1264" t="str">
        <f>IFERROR(_xlfn.XLOOKUP(B1264, Customer!A:A, Customer!B:B), "Unknown Customer")</f>
        <v>Leila Sadeghi</v>
      </c>
      <c r="D1264" s="1">
        <v>45994</v>
      </c>
      <c r="E1264" t="s">
        <v>22</v>
      </c>
      <c r="F1264" t="s">
        <v>14</v>
      </c>
      <c r="G1264">
        <v>2</v>
      </c>
      <c r="H1264" t="s">
        <v>11</v>
      </c>
      <c r="I1264" s="2">
        <v>65000</v>
      </c>
      <c r="J1264" t="s">
        <v>15</v>
      </c>
      <c r="K1264" s="3">
        <f t="shared" si="38"/>
        <v>130000</v>
      </c>
      <c r="L1264" t="str">
        <f t="shared" si="39"/>
        <v>2025-12</v>
      </c>
    </row>
    <row r="1265" spans="1:12" x14ac:dyDescent="0.25">
      <c r="A1265">
        <v>2268</v>
      </c>
      <c r="B1265">
        <v>38</v>
      </c>
      <c r="C1265" t="str">
        <f>IFERROR(_xlfn.XLOOKUP(B1265, Customer!A:A, Customer!B:B), "Unknown Customer")</f>
        <v>Setareh Naderi</v>
      </c>
      <c r="D1265" s="1">
        <v>45881</v>
      </c>
      <c r="E1265" t="s">
        <v>9</v>
      </c>
      <c r="F1265" t="s">
        <v>10</v>
      </c>
      <c r="G1265">
        <v>1</v>
      </c>
      <c r="H1265" t="s">
        <v>11</v>
      </c>
      <c r="I1265" s="2">
        <v>62265.486725663715</v>
      </c>
      <c r="J1265" t="s">
        <v>12</v>
      </c>
      <c r="K1265" s="3">
        <f t="shared" si="38"/>
        <v>62265.486725663715</v>
      </c>
      <c r="L1265" t="str">
        <f t="shared" si="39"/>
        <v>2025-08</v>
      </c>
    </row>
    <row r="1266" spans="1:12" x14ac:dyDescent="0.25">
      <c r="A1266">
        <v>2269</v>
      </c>
      <c r="B1266">
        <v>103</v>
      </c>
      <c r="C1266" t="str">
        <f>IFERROR(_xlfn.XLOOKUP(B1266, Customer!A:A, Customer!B:B), "Unknown Customer")</f>
        <v>Babak Rezaei</v>
      </c>
      <c r="D1266" s="1">
        <v>45895</v>
      </c>
      <c r="E1266" t="s">
        <v>18</v>
      </c>
      <c r="F1266" t="s">
        <v>14</v>
      </c>
      <c r="G1266">
        <v>1</v>
      </c>
      <c r="H1266" t="s">
        <v>11</v>
      </c>
      <c r="I1266" s="2">
        <v>50000</v>
      </c>
      <c r="J1266" t="s">
        <v>19</v>
      </c>
      <c r="K1266" s="3">
        <f t="shared" si="38"/>
        <v>50000</v>
      </c>
      <c r="L1266" t="str">
        <f t="shared" si="39"/>
        <v>2025-08</v>
      </c>
    </row>
    <row r="1267" spans="1:12" x14ac:dyDescent="0.25">
      <c r="A1267">
        <v>2270</v>
      </c>
      <c r="B1267">
        <v>73</v>
      </c>
      <c r="C1267" t="str">
        <f>IFERROR(_xlfn.XLOOKUP(B1267, Customer!A:A, Customer!B:B), "Unknown Customer")</f>
        <v>Niloofar Ebrahimi</v>
      </c>
      <c r="D1267" s="1">
        <v>45809</v>
      </c>
      <c r="E1267" t="s">
        <v>31</v>
      </c>
      <c r="F1267" t="s">
        <v>17</v>
      </c>
      <c r="G1267">
        <v>1</v>
      </c>
      <c r="H1267" t="s">
        <v>11</v>
      </c>
      <c r="I1267" s="2">
        <v>45000</v>
      </c>
      <c r="J1267" t="s">
        <v>21</v>
      </c>
      <c r="K1267" s="3">
        <f t="shared" si="38"/>
        <v>45000</v>
      </c>
      <c r="L1267" t="str">
        <f t="shared" si="39"/>
        <v>2025-06</v>
      </c>
    </row>
    <row r="1268" spans="1:12" x14ac:dyDescent="0.25">
      <c r="A1268">
        <v>2271</v>
      </c>
      <c r="B1268">
        <v>118</v>
      </c>
      <c r="C1268" t="str">
        <f>IFERROR(_xlfn.XLOOKUP(B1268, Customer!A:A, Customer!B:B), "Unknown Customer")</f>
        <v>Hamed Rezaei</v>
      </c>
      <c r="D1268" s="1">
        <v>45897</v>
      </c>
      <c r="E1268" t="s">
        <v>13</v>
      </c>
      <c r="F1268" t="s">
        <v>14</v>
      </c>
      <c r="G1268">
        <v>1</v>
      </c>
      <c r="H1268" t="s">
        <v>11</v>
      </c>
      <c r="I1268" s="2">
        <v>53000</v>
      </c>
      <c r="J1268" t="s">
        <v>28</v>
      </c>
      <c r="K1268" s="3">
        <f t="shared" si="38"/>
        <v>53000</v>
      </c>
      <c r="L1268" t="str">
        <f t="shared" si="39"/>
        <v>2025-08</v>
      </c>
    </row>
    <row r="1269" spans="1:12" x14ac:dyDescent="0.25">
      <c r="A1269">
        <v>2272</v>
      </c>
      <c r="B1269">
        <v>110</v>
      </c>
      <c r="C1269" t="str">
        <f>IFERROR(_xlfn.XLOOKUP(B1269, Customer!A:A, Customer!B:B), "Unknown Customer")</f>
        <v>Parisa Mousavi</v>
      </c>
      <c r="D1269" s="1">
        <v>45765</v>
      </c>
      <c r="E1269" t="s">
        <v>23</v>
      </c>
      <c r="F1269" t="s">
        <v>17</v>
      </c>
      <c r="G1269">
        <v>2</v>
      </c>
      <c r="H1269" t="s">
        <v>11</v>
      </c>
      <c r="I1269" s="2">
        <v>80000</v>
      </c>
      <c r="J1269" t="s">
        <v>21</v>
      </c>
      <c r="K1269" s="3">
        <f t="shared" si="38"/>
        <v>160000</v>
      </c>
      <c r="L1269" t="str">
        <f t="shared" si="39"/>
        <v>2025-04</v>
      </c>
    </row>
    <row r="1270" spans="1:12" x14ac:dyDescent="0.25">
      <c r="A1270">
        <v>2273</v>
      </c>
      <c r="B1270">
        <v>84</v>
      </c>
      <c r="C1270" t="str">
        <f>IFERROR(_xlfn.XLOOKUP(B1270, Customer!A:A, Customer!B:B), "Unknown Customer")</f>
        <v>Setareh Moradi</v>
      </c>
      <c r="D1270" s="1">
        <v>45946</v>
      </c>
      <c r="E1270" t="s">
        <v>22</v>
      </c>
      <c r="F1270" t="s">
        <v>14</v>
      </c>
      <c r="G1270">
        <v>3</v>
      </c>
      <c r="H1270" t="s">
        <v>11</v>
      </c>
      <c r="I1270" s="2">
        <v>60000</v>
      </c>
      <c r="J1270" t="s">
        <v>15</v>
      </c>
      <c r="K1270" s="3">
        <f t="shared" si="38"/>
        <v>180000</v>
      </c>
      <c r="L1270" t="str">
        <f t="shared" si="39"/>
        <v>2025-10</v>
      </c>
    </row>
    <row r="1271" spans="1:12" x14ac:dyDescent="0.25">
      <c r="A1271">
        <v>2274</v>
      </c>
      <c r="B1271">
        <v>9</v>
      </c>
      <c r="C1271" t="str">
        <f>IFERROR(_xlfn.XLOOKUP(B1271, Customer!A:A, Customer!B:B), "Unknown Customer")</f>
        <v>Farhad Zare</v>
      </c>
      <c r="D1271" s="1">
        <v>45786</v>
      </c>
      <c r="E1271" t="s">
        <v>27</v>
      </c>
      <c r="F1271" t="s">
        <v>14</v>
      </c>
      <c r="G1271">
        <v>2</v>
      </c>
      <c r="H1271" t="s">
        <v>11</v>
      </c>
      <c r="I1271" s="2">
        <v>35000</v>
      </c>
      <c r="J1271" t="s">
        <v>24</v>
      </c>
      <c r="K1271" s="3">
        <f t="shared" si="38"/>
        <v>70000</v>
      </c>
      <c r="L1271" t="str">
        <f t="shared" si="39"/>
        <v>2025-05</v>
      </c>
    </row>
    <row r="1272" spans="1:12" x14ac:dyDescent="0.25">
      <c r="A1272">
        <v>2275</v>
      </c>
      <c r="B1272">
        <v>90</v>
      </c>
      <c r="C1272" t="str">
        <f>IFERROR(_xlfn.XLOOKUP(B1272, Customer!A:A, Customer!B:B), "Unknown Customer")</f>
        <v>Yasaman Karimi</v>
      </c>
      <c r="D1272" s="1">
        <v>45959</v>
      </c>
      <c r="E1272" t="s">
        <v>25</v>
      </c>
      <c r="F1272" t="s">
        <v>10</v>
      </c>
      <c r="G1272">
        <v>2</v>
      </c>
      <c r="H1272" t="s">
        <v>11</v>
      </c>
      <c r="I1272" s="2">
        <v>70000</v>
      </c>
      <c r="J1272" t="s">
        <v>19</v>
      </c>
      <c r="K1272" s="3">
        <f t="shared" si="38"/>
        <v>140000</v>
      </c>
      <c r="L1272" t="str">
        <f t="shared" si="39"/>
        <v>2025-10</v>
      </c>
    </row>
    <row r="1273" spans="1:12" x14ac:dyDescent="0.25">
      <c r="A1273">
        <v>2276</v>
      </c>
      <c r="B1273">
        <v>4</v>
      </c>
      <c r="C1273" t="str">
        <f>IFERROR(_xlfn.XLOOKUP(B1273, Customer!A:A, Customer!B:B), "Unknown Customer")</f>
        <v>Kaveh Salehi</v>
      </c>
      <c r="D1273" s="1">
        <v>45739</v>
      </c>
      <c r="E1273" t="s">
        <v>22</v>
      </c>
      <c r="F1273" t="s">
        <v>14</v>
      </c>
      <c r="G1273">
        <v>3</v>
      </c>
      <c r="H1273" t="s">
        <v>11</v>
      </c>
      <c r="I1273" s="2">
        <v>55000</v>
      </c>
      <c r="J1273" t="s">
        <v>21</v>
      </c>
      <c r="K1273" s="3">
        <f t="shared" si="38"/>
        <v>165000</v>
      </c>
      <c r="L1273" t="str">
        <f t="shared" si="39"/>
        <v>2025-03</v>
      </c>
    </row>
    <row r="1274" spans="1:12" x14ac:dyDescent="0.25">
      <c r="A1274">
        <v>2277</v>
      </c>
      <c r="B1274">
        <v>98</v>
      </c>
      <c r="C1274" t="str">
        <f>IFERROR(_xlfn.XLOOKUP(B1274, Customer!A:A, Customer!B:B), "Unknown Customer")</f>
        <v>Elham Mousavi</v>
      </c>
      <c r="D1274" s="1">
        <v>45779</v>
      </c>
      <c r="E1274" t="s">
        <v>30</v>
      </c>
      <c r="F1274" t="s">
        <v>14</v>
      </c>
      <c r="G1274">
        <v>3</v>
      </c>
      <c r="H1274" t="s">
        <v>11</v>
      </c>
      <c r="I1274" s="2">
        <v>48053.763440860217</v>
      </c>
      <c r="J1274" t="s">
        <v>19</v>
      </c>
      <c r="K1274" s="3">
        <f t="shared" si="38"/>
        <v>144161.29032258067</v>
      </c>
      <c r="L1274" t="str">
        <f t="shared" si="39"/>
        <v>2025-05</v>
      </c>
    </row>
    <row r="1275" spans="1:12" x14ac:dyDescent="0.25">
      <c r="A1275">
        <v>2278</v>
      </c>
      <c r="B1275">
        <v>79</v>
      </c>
      <c r="C1275" t="str">
        <f>IFERROR(_xlfn.XLOOKUP(B1275, Customer!A:A, Customer!B:B), "Unknown Customer")</f>
        <v>Niloofar Ahmadi</v>
      </c>
      <c r="D1275" s="1">
        <v>45716</v>
      </c>
      <c r="E1275" t="s">
        <v>9</v>
      </c>
      <c r="F1275" t="s">
        <v>10</v>
      </c>
      <c r="G1275">
        <v>2</v>
      </c>
      <c r="H1275" t="s">
        <v>11</v>
      </c>
      <c r="I1275" s="2">
        <v>62000</v>
      </c>
      <c r="J1275" t="s">
        <v>24</v>
      </c>
      <c r="K1275" s="3">
        <f t="shared" si="38"/>
        <v>124000</v>
      </c>
      <c r="L1275" t="str">
        <f t="shared" si="39"/>
        <v>2025-02</v>
      </c>
    </row>
    <row r="1276" spans="1:12" x14ac:dyDescent="0.25">
      <c r="A1276">
        <v>2279</v>
      </c>
      <c r="B1276">
        <v>42</v>
      </c>
      <c r="C1276" t="str">
        <f>IFERROR(_xlfn.XLOOKUP(B1276, Customer!A:A, Customer!B:B), "Unknown Customer")</f>
        <v>Niloofar Ebrahimi</v>
      </c>
      <c r="D1276" s="1">
        <v>46015</v>
      </c>
      <c r="E1276" t="s">
        <v>18</v>
      </c>
      <c r="F1276" t="s">
        <v>14</v>
      </c>
      <c r="G1276">
        <v>1</v>
      </c>
      <c r="H1276" t="s">
        <v>11</v>
      </c>
      <c r="I1276" s="2">
        <v>60000</v>
      </c>
      <c r="J1276" t="s">
        <v>24</v>
      </c>
      <c r="K1276" s="3">
        <f t="shared" si="38"/>
        <v>60000</v>
      </c>
      <c r="L1276" t="str">
        <f t="shared" si="39"/>
        <v>2025-12</v>
      </c>
    </row>
    <row r="1277" spans="1:12" x14ac:dyDescent="0.25">
      <c r="A1277">
        <v>2280</v>
      </c>
      <c r="B1277">
        <v>33</v>
      </c>
      <c r="C1277" t="str">
        <f>IFERROR(_xlfn.XLOOKUP(B1277, Customer!A:A, Customer!B:B), "Unknown Customer")</f>
        <v>Niloofar Zare</v>
      </c>
      <c r="D1277" s="1">
        <v>45882</v>
      </c>
      <c r="E1277" t="s">
        <v>16</v>
      </c>
      <c r="F1277" t="s">
        <v>17</v>
      </c>
      <c r="G1277">
        <v>1</v>
      </c>
      <c r="H1277" t="s">
        <v>11</v>
      </c>
      <c r="I1277" s="2">
        <v>75000</v>
      </c>
      <c r="J1277" t="s">
        <v>15</v>
      </c>
      <c r="K1277" s="3">
        <f t="shared" si="38"/>
        <v>75000</v>
      </c>
      <c r="L1277" t="str">
        <f t="shared" si="39"/>
        <v>2025-08</v>
      </c>
    </row>
    <row r="1278" spans="1:12" x14ac:dyDescent="0.25">
      <c r="A1278">
        <v>2281</v>
      </c>
      <c r="B1278">
        <v>105</v>
      </c>
      <c r="C1278" t="str">
        <f>IFERROR(_xlfn.XLOOKUP(B1278, Customer!A:A, Customer!B:B), "Unknown Customer")</f>
        <v>Tara Ghasemi</v>
      </c>
      <c r="D1278" s="1">
        <v>45756</v>
      </c>
      <c r="E1278" t="s">
        <v>23</v>
      </c>
      <c r="F1278" t="s">
        <v>17</v>
      </c>
      <c r="G1278">
        <v>3</v>
      </c>
      <c r="H1278" t="s">
        <v>11</v>
      </c>
      <c r="I1278" s="2">
        <v>80000</v>
      </c>
      <c r="J1278" t="s">
        <v>24</v>
      </c>
      <c r="K1278" s="3">
        <f t="shared" si="38"/>
        <v>240000</v>
      </c>
      <c r="L1278" t="str">
        <f t="shared" si="39"/>
        <v>2025-04</v>
      </c>
    </row>
    <row r="1279" spans="1:12" x14ac:dyDescent="0.25">
      <c r="A1279">
        <v>2282</v>
      </c>
      <c r="B1279">
        <v>115</v>
      </c>
      <c r="C1279" t="str">
        <f>IFERROR(_xlfn.XLOOKUP(B1279, Customer!A:A, Customer!B:B), "Unknown Customer")</f>
        <v>Setareh Ahmadi</v>
      </c>
      <c r="D1279" s="1">
        <v>45842</v>
      </c>
      <c r="E1279" t="s">
        <v>29</v>
      </c>
      <c r="F1279" t="s">
        <v>14</v>
      </c>
      <c r="G1279">
        <v>1</v>
      </c>
      <c r="H1279" t="s">
        <v>11</v>
      </c>
      <c r="I1279" s="2">
        <v>45000</v>
      </c>
      <c r="J1279" t="s">
        <v>24</v>
      </c>
      <c r="K1279" s="3">
        <f t="shared" si="38"/>
        <v>45000</v>
      </c>
      <c r="L1279" t="str">
        <f t="shared" si="39"/>
        <v>2025-07</v>
      </c>
    </row>
    <row r="1280" spans="1:12" x14ac:dyDescent="0.25">
      <c r="A1280">
        <v>2283</v>
      </c>
      <c r="B1280">
        <v>107</v>
      </c>
      <c r="C1280" t="str">
        <f>IFERROR(_xlfn.XLOOKUP(B1280, Customer!A:A, Customer!B:B), "Unknown Customer")</f>
        <v>Mona Abbasi</v>
      </c>
      <c r="D1280" s="1">
        <v>45950</v>
      </c>
      <c r="E1280" t="s">
        <v>30</v>
      </c>
      <c r="F1280" t="s">
        <v>14</v>
      </c>
      <c r="G1280">
        <v>1</v>
      </c>
      <c r="H1280" t="s">
        <v>11</v>
      </c>
      <c r="I1280" s="2">
        <v>48053.763440860217</v>
      </c>
      <c r="J1280" t="s">
        <v>19</v>
      </c>
      <c r="K1280" s="3">
        <f t="shared" si="38"/>
        <v>48053.763440860217</v>
      </c>
      <c r="L1280" t="str">
        <f t="shared" si="39"/>
        <v>2025-10</v>
      </c>
    </row>
    <row r="1281" spans="1:12" x14ac:dyDescent="0.25">
      <c r="A1281">
        <v>2284</v>
      </c>
      <c r="B1281">
        <v>57</v>
      </c>
      <c r="C1281" t="str">
        <f>IFERROR(_xlfn.XLOOKUP(B1281, Customer!A:A, Customer!B:B), "Unknown Customer")</f>
        <v>Parisa Sadeghi</v>
      </c>
      <c r="D1281" s="1">
        <v>45978</v>
      </c>
      <c r="E1281" t="s">
        <v>31</v>
      </c>
      <c r="F1281" t="s">
        <v>17</v>
      </c>
      <c r="G1281">
        <v>2</v>
      </c>
      <c r="H1281" t="s">
        <v>11</v>
      </c>
      <c r="I1281" s="2">
        <v>35000</v>
      </c>
      <c r="J1281" t="s">
        <v>19</v>
      </c>
      <c r="K1281" s="3">
        <f t="shared" si="38"/>
        <v>70000</v>
      </c>
      <c r="L1281" t="str">
        <f t="shared" si="39"/>
        <v>2025-11</v>
      </c>
    </row>
    <row r="1282" spans="1:12" x14ac:dyDescent="0.25">
      <c r="A1282">
        <v>2285</v>
      </c>
      <c r="B1282">
        <v>16</v>
      </c>
      <c r="C1282" t="str">
        <f>IFERROR(_xlfn.XLOOKUP(B1282, Customer!A:A, Customer!B:B), "Unknown Customer")</f>
        <v>Milad Yousefi</v>
      </c>
      <c r="D1282" s="1">
        <v>45776</v>
      </c>
      <c r="E1282" t="s">
        <v>16</v>
      </c>
      <c r="F1282" t="s">
        <v>17</v>
      </c>
      <c r="G1282">
        <v>1</v>
      </c>
      <c r="H1282" t="s">
        <v>11</v>
      </c>
      <c r="I1282" s="2">
        <v>75000</v>
      </c>
      <c r="J1282" t="s">
        <v>15</v>
      </c>
      <c r="K1282" s="3">
        <f t="shared" si="38"/>
        <v>75000</v>
      </c>
      <c r="L1282" t="str">
        <f t="shared" si="39"/>
        <v>2025-04</v>
      </c>
    </row>
    <row r="1283" spans="1:12" x14ac:dyDescent="0.25">
      <c r="A1283">
        <v>2286</v>
      </c>
      <c r="B1283">
        <v>91</v>
      </c>
      <c r="C1283" t="str">
        <f>IFERROR(_xlfn.XLOOKUP(B1283, Customer!A:A, Customer!B:B), "Unknown Customer")</f>
        <v>Ali Ebrahimi</v>
      </c>
      <c r="D1283" s="1">
        <v>45749</v>
      </c>
      <c r="E1283" t="s">
        <v>25</v>
      </c>
      <c r="F1283" t="s">
        <v>10</v>
      </c>
      <c r="G1283">
        <v>1</v>
      </c>
      <c r="H1283" t="s">
        <v>11</v>
      </c>
      <c r="I1283" s="2">
        <v>70000</v>
      </c>
      <c r="J1283" t="s">
        <v>28</v>
      </c>
      <c r="K1283" s="3">
        <f t="shared" ref="K1283:K1346" si="40">G1283*I1283</f>
        <v>70000</v>
      </c>
      <c r="L1283" t="str">
        <f t="shared" ref="L1283:L1346" si="41">TEXT(D1283,"YYYY-MM")</f>
        <v>2025-04</v>
      </c>
    </row>
    <row r="1284" spans="1:12" x14ac:dyDescent="0.25">
      <c r="A1284">
        <v>2287</v>
      </c>
      <c r="B1284">
        <v>120</v>
      </c>
      <c r="C1284" t="str">
        <f>IFERROR(_xlfn.XLOOKUP(B1284, Customer!A:A, Customer!B:B), "Unknown Customer")</f>
        <v>Sepideh Abbasi</v>
      </c>
      <c r="D1284" s="1">
        <v>45914</v>
      </c>
      <c r="E1284" t="s">
        <v>20</v>
      </c>
      <c r="F1284" t="s">
        <v>17</v>
      </c>
      <c r="G1284">
        <v>2</v>
      </c>
      <c r="H1284" t="s">
        <v>11</v>
      </c>
      <c r="I1284" s="2">
        <v>45000</v>
      </c>
      <c r="J1284" t="s">
        <v>28</v>
      </c>
      <c r="K1284" s="3">
        <f t="shared" si="40"/>
        <v>90000</v>
      </c>
      <c r="L1284" t="str">
        <f t="shared" si="41"/>
        <v>2025-09</v>
      </c>
    </row>
    <row r="1285" spans="1:12" x14ac:dyDescent="0.25">
      <c r="A1285">
        <v>2288</v>
      </c>
      <c r="B1285">
        <v>61</v>
      </c>
      <c r="C1285" t="str">
        <f>IFERROR(_xlfn.XLOOKUP(B1285, Customer!A:A, Customer!B:B), "Unknown Customer")</f>
        <v>Arman Moradi</v>
      </c>
      <c r="D1285" s="1">
        <v>45992</v>
      </c>
      <c r="E1285" t="s">
        <v>9</v>
      </c>
      <c r="F1285" t="s">
        <v>10</v>
      </c>
      <c r="G1285">
        <v>1</v>
      </c>
      <c r="H1285" t="s">
        <v>11</v>
      </c>
      <c r="I1285" s="2">
        <v>62000</v>
      </c>
      <c r="J1285" t="s">
        <v>21</v>
      </c>
      <c r="K1285" s="3">
        <f t="shared" si="40"/>
        <v>62000</v>
      </c>
      <c r="L1285" t="str">
        <f t="shared" si="41"/>
        <v>2025-12</v>
      </c>
    </row>
    <row r="1286" spans="1:12" x14ac:dyDescent="0.25">
      <c r="A1286">
        <v>2289</v>
      </c>
      <c r="B1286">
        <v>114</v>
      </c>
      <c r="C1286" t="str">
        <f>IFERROR(_xlfn.XLOOKUP(B1286, Customer!A:A, Customer!B:B), "Unknown Customer")</f>
        <v>Omid Fallahi</v>
      </c>
      <c r="D1286" s="1">
        <v>45729</v>
      </c>
      <c r="E1286" t="s">
        <v>29</v>
      </c>
      <c r="F1286" t="s">
        <v>14</v>
      </c>
      <c r="G1286">
        <v>4</v>
      </c>
      <c r="H1286" t="s">
        <v>11</v>
      </c>
      <c r="I1286" s="2">
        <v>40000</v>
      </c>
      <c r="J1286" t="s">
        <v>19</v>
      </c>
      <c r="K1286" s="3">
        <f t="shared" si="40"/>
        <v>160000</v>
      </c>
      <c r="L1286" t="str">
        <f t="shared" si="41"/>
        <v>2025-03</v>
      </c>
    </row>
    <row r="1287" spans="1:12" x14ac:dyDescent="0.25">
      <c r="A1287">
        <v>2290</v>
      </c>
      <c r="B1287">
        <v>104</v>
      </c>
      <c r="C1287" t="str">
        <f>IFERROR(_xlfn.XLOOKUP(B1287, Customer!A:A, Customer!B:B), "Unknown Customer")</f>
        <v>Kian Zare</v>
      </c>
      <c r="D1287" s="1">
        <v>45970</v>
      </c>
      <c r="E1287" t="s">
        <v>20</v>
      </c>
      <c r="F1287" t="s">
        <v>17</v>
      </c>
      <c r="G1287">
        <v>1</v>
      </c>
      <c r="H1287" t="s">
        <v>11</v>
      </c>
      <c r="I1287" s="2">
        <v>45000</v>
      </c>
      <c r="J1287" t="s">
        <v>28</v>
      </c>
      <c r="K1287" s="3">
        <f t="shared" si="40"/>
        <v>45000</v>
      </c>
      <c r="L1287" t="str">
        <f t="shared" si="41"/>
        <v>2025-11</v>
      </c>
    </row>
    <row r="1288" spans="1:12" x14ac:dyDescent="0.25">
      <c r="A1288">
        <v>2291</v>
      </c>
      <c r="B1288">
        <v>62</v>
      </c>
      <c r="C1288" t="str">
        <f>IFERROR(_xlfn.XLOOKUP(B1288, Customer!A:A, Customer!B:B), "Unknown Customer")</f>
        <v>Amir Mousavi</v>
      </c>
      <c r="D1288" s="1">
        <v>45796</v>
      </c>
      <c r="E1288" t="s">
        <v>13</v>
      </c>
      <c r="F1288" t="s">
        <v>14</v>
      </c>
      <c r="G1288">
        <v>1</v>
      </c>
      <c r="H1288" t="s">
        <v>11</v>
      </c>
      <c r="I1288" s="2">
        <v>53000</v>
      </c>
      <c r="J1288" t="s">
        <v>12</v>
      </c>
      <c r="K1288" s="3">
        <f t="shared" si="40"/>
        <v>53000</v>
      </c>
      <c r="L1288" t="str">
        <f t="shared" si="41"/>
        <v>2025-05</v>
      </c>
    </row>
    <row r="1289" spans="1:12" x14ac:dyDescent="0.25">
      <c r="A1289">
        <v>2292</v>
      </c>
      <c r="B1289">
        <v>45</v>
      </c>
      <c r="C1289" t="str">
        <f>IFERROR(_xlfn.XLOOKUP(B1289, Customer!A:A, Customer!B:B), "Unknown Customer")</f>
        <v>Mona Vakili</v>
      </c>
      <c r="D1289" s="1">
        <v>45902</v>
      </c>
      <c r="E1289" t="s">
        <v>31</v>
      </c>
      <c r="F1289" t="s">
        <v>17</v>
      </c>
      <c r="G1289">
        <v>1</v>
      </c>
      <c r="H1289" t="s">
        <v>11</v>
      </c>
      <c r="I1289" s="2">
        <v>35000</v>
      </c>
      <c r="J1289" t="s">
        <v>28</v>
      </c>
      <c r="K1289" s="3">
        <f t="shared" si="40"/>
        <v>35000</v>
      </c>
      <c r="L1289" t="str">
        <f t="shared" si="41"/>
        <v>2025-09</v>
      </c>
    </row>
    <row r="1290" spans="1:12" x14ac:dyDescent="0.25">
      <c r="A1290">
        <v>2293</v>
      </c>
      <c r="B1290">
        <v>78</v>
      </c>
      <c r="C1290" t="str">
        <f>IFERROR(_xlfn.XLOOKUP(B1290, Customer!A:A, Customer!B:B), "Unknown Customer")</f>
        <v>Elham Karimi</v>
      </c>
      <c r="D1290" s="1">
        <v>46007</v>
      </c>
      <c r="E1290" t="s">
        <v>31</v>
      </c>
      <c r="F1290" t="s">
        <v>17</v>
      </c>
      <c r="G1290">
        <v>2</v>
      </c>
      <c r="H1290" t="s">
        <v>11</v>
      </c>
      <c r="I1290" s="2">
        <v>40000</v>
      </c>
      <c r="J1290" t="s">
        <v>15</v>
      </c>
      <c r="K1290" s="3">
        <f t="shared" si="40"/>
        <v>80000</v>
      </c>
      <c r="L1290" t="str">
        <f t="shared" si="41"/>
        <v>2025-12</v>
      </c>
    </row>
    <row r="1291" spans="1:12" x14ac:dyDescent="0.25">
      <c r="A1291">
        <v>2294</v>
      </c>
      <c r="B1291">
        <v>90</v>
      </c>
      <c r="C1291" t="str">
        <f>IFERROR(_xlfn.XLOOKUP(B1291, Customer!A:A, Customer!B:B), "Unknown Customer")</f>
        <v>Yasaman Karimi</v>
      </c>
      <c r="D1291" s="1">
        <v>45908</v>
      </c>
      <c r="E1291" t="s">
        <v>13</v>
      </c>
      <c r="F1291" t="s">
        <v>14</v>
      </c>
      <c r="G1291">
        <v>1</v>
      </c>
      <c r="H1291" t="s">
        <v>11</v>
      </c>
      <c r="I1291" s="2">
        <v>58000</v>
      </c>
      <c r="J1291" t="s">
        <v>19</v>
      </c>
      <c r="K1291" s="3">
        <f t="shared" si="40"/>
        <v>58000</v>
      </c>
      <c r="L1291" t="str">
        <f t="shared" si="41"/>
        <v>2025-09</v>
      </c>
    </row>
    <row r="1292" spans="1:12" x14ac:dyDescent="0.25">
      <c r="A1292">
        <v>2295</v>
      </c>
      <c r="B1292">
        <v>115</v>
      </c>
      <c r="C1292" t="str">
        <f>IFERROR(_xlfn.XLOOKUP(B1292, Customer!A:A, Customer!B:B), "Unknown Customer")</f>
        <v>Setareh Ahmadi</v>
      </c>
      <c r="D1292" s="1">
        <v>45846</v>
      </c>
      <c r="E1292" t="s">
        <v>20</v>
      </c>
      <c r="F1292" t="s">
        <v>17</v>
      </c>
      <c r="G1292">
        <v>1</v>
      </c>
      <c r="H1292" t="s">
        <v>11</v>
      </c>
      <c r="I1292" s="2">
        <v>50000</v>
      </c>
      <c r="J1292" t="s">
        <v>24</v>
      </c>
      <c r="K1292" s="3">
        <f t="shared" si="40"/>
        <v>50000</v>
      </c>
      <c r="L1292" t="str">
        <f t="shared" si="41"/>
        <v>2025-07</v>
      </c>
    </row>
    <row r="1293" spans="1:12" x14ac:dyDescent="0.25">
      <c r="A1293">
        <v>2296</v>
      </c>
      <c r="B1293">
        <v>12</v>
      </c>
      <c r="C1293" t="str">
        <f>IFERROR(_xlfn.XLOOKUP(B1293, Customer!A:A, Customer!B:B), "Unknown Customer")</f>
        <v>Golnaz Karimi</v>
      </c>
      <c r="D1293" s="1">
        <v>45809</v>
      </c>
      <c r="E1293" t="s">
        <v>20</v>
      </c>
      <c r="F1293" t="s">
        <v>17</v>
      </c>
      <c r="G1293">
        <v>3</v>
      </c>
      <c r="H1293" t="s">
        <v>11</v>
      </c>
      <c r="I1293" s="2">
        <v>55000</v>
      </c>
      <c r="J1293" t="s">
        <v>19</v>
      </c>
      <c r="K1293" s="3">
        <f t="shared" si="40"/>
        <v>165000</v>
      </c>
      <c r="L1293" t="str">
        <f t="shared" si="41"/>
        <v>2025-06</v>
      </c>
    </row>
    <row r="1294" spans="1:12" x14ac:dyDescent="0.25">
      <c r="A1294">
        <v>2297</v>
      </c>
      <c r="B1294">
        <v>112</v>
      </c>
      <c r="C1294" t="str">
        <f>IFERROR(_xlfn.XLOOKUP(B1294, Customer!A:A, Customer!B:B), "Unknown Customer")</f>
        <v>Amir Fallahi</v>
      </c>
      <c r="D1294" s="1">
        <v>45785</v>
      </c>
      <c r="E1294" t="s">
        <v>22</v>
      </c>
      <c r="F1294" t="s">
        <v>14</v>
      </c>
      <c r="G1294">
        <v>1</v>
      </c>
      <c r="H1294" t="s">
        <v>11</v>
      </c>
      <c r="I1294" s="2">
        <v>60000</v>
      </c>
      <c r="J1294" t="s">
        <v>21</v>
      </c>
      <c r="K1294" s="3">
        <f t="shared" si="40"/>
        <v>60000</v>
      </c>
      <c r="L1294" t="str">
        <f t="shared" si="41"/>
        <v>2025-05</v>
      </c>
    </row>
    <row r="1295" spans="1:12" x14ac:dyDescent="0.25">
      <c r="A1295">
        <v>2298</v>
      </c>
      <c r="B1295">
        <v>6</v>
      </c>
      <c r="C1295" t="str">
        <f>IFERROR(_xlfn.XLOOKUP(B1295, Customer!A:A, Customer!B:B), "Unknown Customer")</f>
        <v>Sepideh Mousavi</v>
      </c>
      <c r="D1295" s="1">
        <v>45837</v>
      </c>
      <c r="E1295" t="s">
        <v>25</v>
      </c>
      <c r="F1295" t="s">
        <v>10</v>
      </c>
      <c r="G1295">
        <v>1</v>
      </c>
      <c r="H1295" t="s">
        <v>11</v>
      </c>
      <c r="I1295" s="2">
        <v>65000</v>
      </c>
      <c r="J1295" t="s">
        <v>15</v>
      </c>
      <c r="K1295" s="3">
        <f t="shared" si="40"/>
        <v>65000</v>
      </c>
      <c r="L1295" t="str">
        <f t="shared" si="41"/>
        <v>2025-06</v>
      </c>
    </row>
    <row r="1296" spans="1:12" x14ac:dyDescent="0.25">
      <c r="A1296">
        <v>2299</v>
      </c>
      <c r="B1296">
        <v>85</v>
      </c>
      <c r="C1296" t="str">
        <f>IFERROR(_xlfn.XLOOKUP(B1296, Customer!A:A, Customer!B:B), "Unknown Customer")</f>
        <v>Sepideh Yousefi</v>
      </c>
      <c r="D1296" s="1">
        <v>45994</v>
      </c>
      <c r="E1296" t="s">
        <v>18</v>
      </c>
      <c r="F1296" t="s">
        <v>14</v>
      </c>
      <c r="G1296">
        <v>1</v>
      </c>
      <c r="H1296" t="s">
        <v>11</v>
      </c>
      <c r="I1296" s="2">
        <v>60000</v>
      </c>
      <c r="J1296" t="s">
        <v>12</v>
      </c>
      <c r="K1296" s="3">
        <f t="shared" si="40"/>
        <v>60000</v>
      </c>
      <c r="L1296" t="str">
        <f t="shared" si="41"/>
        <v>2025-12</v>
      </c>
    </row>
    <row r="1297" spans="1:12" x14ac:dyDescent="0.25">
      <c r="A1297">
        <v>2300</v>
      </c>
      <c r="B1297">
        <v>95</v>
      </c>
      <c r="C1297" t="str">
        <f>IFERROR(_xlfn.XLOOKUP(B1297, Customer!A:A, Customer!B:B), "Unknown Customer")</f>
        <v>Elham Norouzi</v>
      </c>
      <c r="D1297" s="1">
        <v>45770</v>
      </c>
      <c r="E1297" t="s">
        <v>25</v>
      </c>
      <c r="F1297" t="s">
        <v>10</v>
      </c>
      <c r="G1297">
        <v>1</v>
      </c>
      <c r="H1297" t="s">
        <v>11</v>
      </c>
      <c r="I1297" s="2">
        <v>70000</v>
      </c>
      <c r="J1297" t="s">
        <v>28</v>
      </c>
      <c r="K1297" s="3">
        <f t="shared" si="40"/>
        <v>70000</v>
      </c>
      <c r="L1297" t="str">
        <f t="shared" si="41"/>
        <v>2025-04</v>
      </c>
    </row>
    <row r="1298" spans="1:12" x14ac:dyDescent="0.25">
      <c r="A1298">
        <v>2301</v>
      </c>
      <c r="B1298">
        <v>115</v>
      </c>
      <c r="C1298" t="str">
        <f>IFERROR(_xlfn.XLOOKUP(B1298, Customer!A:A, Customer!B:B), "Unknown Customer")</f>
        <v>Setareh Ahmadi</v>
      </c>
      <c r="D1298" s="1">
        <v>45821</v>
      </c>
      <c r="E1298" t="s">
        <v>9</v>
      </c>
      <c r="F1298" t="s">
        <v>10</v>
      </c>
      <c r="G1298">
        <v>1</v>
      </c>
      <c r="H1298" t="s">
        <v>11</v>
      </c>
      <c r="I1298" s="2">
        <v>62000</v>
      </c>
      <c r="J1298" t="s">
        <v>21</v>
      </c>
      <c r="K1298" s="3">
        <f t="shared" si="40"/>
        <v>62000</v>
      </c>
      <c r="L1298" t="str">
        <f t="shared" si="41"/>
        <v>2025-06</v>
      </c>
    </row>
    <row r="1299" spans="1:12" x14ac:dyDescent="0.25">
      <c r="A1299">
        <v>2302</v>
      </c>
      <c r="B1299">
        <v>11</v>
      </c>
      <c r="C1299" t="str">
        <f>IFERROR(_xlfn.XLOOKUP(B1299, Customer!A:A, Customer!B:B), "Unknown Customer")</f>
        <v>Leila Kazemi</v>
      </c>
      <c r="D1299" s="1">
        <v>45728</v>
      </c>
      <c r="E1299" t="s">
        <v>30</v>
      </c>
      <c r="F1299" t="s">
        <v>14</v>
      </c>
      <c r="G1299">
        <v>1</v>
      </c>
      <c r="H1299" t="s">
        <v>11</v>
      </c>
      <c r="I1299" s="2">
        <v>53000</v>
      </c>
      <c r="J1299" t="s">
        <v>21</v>
      </c>
      <c r="K1299" s="3">
        <f t="shared" si="40"/>
        <v>53000</v>
      </c>
      <c r="L1299" t="str">
        <f t="shared" si="41"/>
        <v>2025-03</v>
      </c>
    </row>
    <row r="1300" spans="1:12" x14ac:dyDescent="0.25">
      <c r="A1300">
        <v>2303</v>
      </c>
      <c r="B1300">
        <v>93</v>
      </c>
      <c r="C1300" t="str">
        <f>IFERROR(_xlfn.XLOOKUP(B1300, Customer!A:A, Customer!B:B), "Unknown Customer")</f>
        <v>Sepideh Norouzi</v>
      </c>
      <c r="D1300" s="1">
        <v>45676</v>
      </c>
      <c r="E1300" t="s">
        <v>13</v>
      </c>
      <c r="F1300" t="s">
        <v>14</v>
      </c>
      <c r="G1300">
        <v>3</v>
      </c>
      <c r="H1300" t="s">
        <v>11</v>
      </c>
      <c r="I1300" s="2">
        <v>58000</v>
      </c>
      <c r="J1300" t="s">
        <v>15</v>
      </c>
      <c r="K1300" s="3">
        <f t="shared" si="40"/>
        <v>174000</v>
      </c>
      <c r="L1300" t="str">
        <f t="shared" si="41"/>
        <v>2025-01</v>
      </c>
    </row>
    <row r="1301" spans="1:12" x14ac:dyDescent="0.25">
      <c r="A1301">
        <v>2304</v>
      </c>
      <c r="B1301">
        <v>108</v>
      </c>
      <c r="C1301" t="str">
        <f>IFERROR(_xlfn.XLOOKUP(B1301, Customer!A:A, Customer!B:B), "Unknown Customer")</f>
        <v>Omid Kazemi</v>
      </c>
      <c r="D1301" s="1">
        <v>45796</v>
      </c>
      <c r="E1301" t="s">
        <v>29</v>
      </c>
      <c r="F1301" t="s">
        <v>14</v>
      </c>
      <c r="G1301">
        <v>1</v>
      </c>
      <c r="H1301" t="s">
        <v>11</v>
      </c>
      <c r="I1301" s="2">
        <v>45353.535353535357</v>
      </c>
      <c r="J1301" t="s">
        <v>28</v>
      </c>
      <c r="K1301" s="3">
        <f t="shared" si="40"/>
        <v>45353.535353535357</v>
      </c>
      <c r="L1301" t="str">
        <f t="shared" si="41"/>
        <v>2025-05</v>
      </c>
    </row>
    <row r="1302" spans="1:12" x14ac:dyDescent="0.25">
      <c r="A1302">
        <v>2305</v>
      </c>
      <c r="B1302">
        <v>50</v>
      </c>
      <c r="C1302" t="str">
        <f>IFERROR(_xlfn.XLOOKUP(B1302, Customer!A:A, Customer!B:B), "Unknown Customer")</f>
        <v>Mona Naderi</v>
      </c>
      <c r="D1302" s="1">
        <v>45931</v>
      </c>
      <c r="E1302" t="s">
        <v>16</v>
      </c>
      <c r="F1302" t="s">
        <v>17</v>
      </c>
      <c r="G1302">
        <v>2</v>
      </c>
      <c r="H1302" t="s">
        <v>11</v>
      </c>
      <c r="I1302" s="2">
        <v>70000</v>
      </c>
      <c r="J1302" t="s">
        <v>15</v>
      </c>
      <c r="K1302" s="3">
        <f t="shared" si="40"/>
        <v>140000</v>
      </c>
      <c r="L1302" t="str">
        <f t="shared" si="41"/>
        <v>2025-10</v>
      </c>
    </row>
    <row r="1303" spans="1:12" x14ac:dyDescent="0.25">
      <c r="A1303">
        <v>2306</v>
      </c>
      <c r="B1303">
        <v>24</v>
      </c>
      <c r="C1303" t="str">
        <f>IFERROR(_xlfn.XLOOKUP(B1303, Customer!A:A, Customer!B:B), "Unknown Customer")</f>
        <v>Farhad Sadeghi</v>
      </c>
      <c r="D1303" s="1">
        <v>45878</v>
      </c>
      <c r="E1303" t="s">
        <v>27</v>
      </c>
      <c r="F1303" t="s">
        <v>14</v>
      </c>
      <c r="G1303">
        <v>3</v>
      </c>
      <c r="H1303" t="s">
        <v>11</v>
      </c>
      <c r="I1303" s="2">
        <v>35000</v>
      </c>
      <c r="J1303" t="s">
        <v>19</v>
      </c>
      <c r="K1303" s="3">
        <f t="shared" si="40"/>
        <v>105000</v>
      </c>
      <c r="L1303" t="str">
        <f t="shared" si="41"/>
        <v>2025-08</v>
      </c>
    </row>
    <row r="1304" spans="1:12" x14ac:dyDescent="0.25">
      <c r="A1304">
        <v>2307</v>
      </c>
      <c r="B1304">
        <v>117</v>
      </c>
      <c r="C1304" t="str">
        <f>IFERROR(_xlfn.XLOOKUP(B1304, Customer!A:A, Customer!B:B), "Unknown Customer")</f>
        <v>Babak Naderi</v>
      </c>
      <c r="D1304" s="1">
        <v>45830</v>
      </c>
      <c r="E1304" t="s">
        <v>20</v>
      </c>
      <c r="F1304" t="s">
        <v>17</v>
      </c>
      <c r="G1304">
        <v>4</v>
      </c>
      <c r="H1304" t="s">
        <v>11</v>
      </c>
      <c r="I1304" s="2">
        <v>45000</v>
      </c>
      <c r="J1304" t="s">
        <v>15</v>
      </c>
      <c r="K1304" s="3">
        <f t="shared" si="40"/>
        <v>180000</v>
      </c>
      <c r="L1304" t="str">
        <f t="shared" si="41"/>
        <v>2025-06</v>
      </c>
    </row>
    <row r="1305" spans="1:12" x14ac:dyDescent="0.25">
      <c r="A1305">
        <v>2308</v>
      </c>
      <c r="B1305">
        <v>101</v>
      </c>
      <c r="C1305" t="str">
        <f>IFERROR(_xlfn.XLOOKUP(B1305, Customer!A:A, Customer!B:B), "Unknown Customer")</f>
        <v>Niloofar Ghasemi</v>
      </c>
      <c r="D1305" s="1">
        <v>45687</v>
      </c>
      <c r="E1305" t="s">
        <v>22</v>
      </c>
      <c r="F1305" t="s">
        <v>14</v>
      </c>
      <c r="G1305">
        <v>3</v>
      </c>
      <c r="H1305" t="s">
        <v>11</v>
      </c>
      <c r="I1305" s="2">
        <v>60000</v>
      </c>
      <c r="J1305" t="s">
        <v>15</v>
      </c>
      <c r="K1305" s="3">
        <f t="shared" si="40"/>
        <v>180000</v>
      </c>
      <c r="L1305" t="str">
        <f t="shared" si="41"/>
        <v>2025-01</v>
      </c>
    </row>
    <row r="1306" spans="1:12" x14ac:dyDescent="0.25">
      <c r="A1306">
        <v>2309</v>
      </c>
      <c r="B1306">
        <v>74</v>
      </c>
      <c r="C1306" t="str">
        <f>IFERROR(_xlfn.XLOOKUP(B1306, Customer!A:A, Customer!B:B), "Unknown Customer")</f>
        <v>Amir Vakili</v>
      </c>
      <c r="D1306" s="1">
        <v>45948</v>
      </c>
      <c r="E1306" t="s">
        <v>22</v>
      </c>
      <c r="F1306" t="s">
        <v>14</v>
      </c>
      <c r="G1306">
        <v>1</v>
      </c>
      <c r="H1306" t="s">
        <v>11</v>
      </c>
      <c r="I1306" s="2">
        <v>60000</v>
      </c>
      <c r="J1306" t="s">
        <v>24</v>
      </c>
      <c r="K1306" s="3">
        <f t="shared" si="40"/>
        <v>60000</v>
      </c>
      <c r="L1306" t="str">
        <f t="shared" si="41"/>
        <v>2025-10</v>
      </c>
    </row>
    <row r="1307" spans="1:12" x14ac:dyDescent="0.25">
      <c r="A1307">
        <v>2310</v>
      </c>
      <c r="B1307">
        <v>117</v>
      </c>
      <c r="C1307" t="str">
        <f>IFERROR(_xlfn.XLOOKUP(B1307, Customer!A:A, Customer!B:B), "Unknown Customer")</f>
        <v>Babak Naderi</v>
      </c>
      <c r="D1307" s="1">
        <v>45801</v>
      </c>
      <c r="E1307" t="s">
        <v>29</v>
      </c>
      <c r="F1307" t="s">
        <v>14</v>
      </c>
      <c r="G1307">
        <v>1</v>
      </c>
      <c r="H1307" t="s">
        <v>11</v>
      </c>
      <c r="I1307" s="2">
        <v>45000</v>
      </c>
      <c r="J1307" t="s">
        <v>21</v>
      </c>
      <c r="K1307" s="3">
        <f t="shared" si="40"/>
        <v>45000</v>
      </c>
      <c r="L1307" t="str">
        <f t="shared" si="41"/>
        <v>2025-05</v>
      </c>
    </row>
    <row r="1308" spans="1:12" x14ac:dyDescent="0.25">
      <c r="A1308">
        <v>2311</v>
      </c>
      <c r="B1308">
        <v>74</v>
      </c>
      <c r="C1308" t="str">
        <f>IFERROR(_xlfn.XLOOKUP(B1308, Customer!A:A, Customer!B:B), "Unknown Customer")</f>
        <v>Amir Vakili</v>
      </c>
      <c r="D1308" s="1">
        <v>45677</v>
      </c>
      <c r="E1308" t="s">
        <v>31</v>
      </c>
      <c r="F1308" t="s">
        <v>17</v>
      </c>
      <c r="G1308">
        <v>1</v>
      </c>
      <c r="H1308" t="s">
        <v>11</v>
      </c>
      <c r="I1308" s="2">
        <v>40000</v>
      </c>
      <c r="J1308" t="s">
        <v>12</v>
      </c>
      <c r="K1308" s="3">
        <f t="shared" si="40"/>
        <v>40000</v>
      </c>
      <c r="L1308" t="str">
        <f t="shared" si="41"/>
        <v>2025-01</v>
      </c>
    </row>
    <row r="1309" spans="1:12" x14ac:dyDescent="0.25">
      <c r="A1309">
        <v>2312</v>
      </c>
      <c r="B1309">
        <v>104</v>
      </c>
      <c r="C1309" t="str">
        <f>IFERROR(_xlfn.XLOOKUP(B1309, Customer!A:A, Customer!B:B), "Unknown Customer")</f>
        <v>Kian Zare</v>
      </c>
      <c r="D1309" s="1">
        <v>45839</v>
      </c>
      <c r="E1309" t="s">
        <v>20</v>
      </c>
      <c r="F1309" t="s">
        <v>17</v>
      </c>
      <c r="G1309">
        <v>2</v>
      </c>
      <c r="H1309" t="s">
        <v>11</v>
      </c>
      <c r="I1309" s="2">
        <v>50000</v>
      </c>
      <c r="J1309" t="s">
        <v>15</v>
      </c>
      <c r="K1309" s="3">
        <f t="shared" si="40"/>
        <v>100000</v>
      </c>
      <c r="L1309" t="str">
        <f t="shared" si="41"/>
        <v>2025-07</v>
      </c>
    </row>
    <row r="1310" spans="1:12" x14ac:dyDescent="0.25">
      <c r="A1310">
        <v>2313</v>
      </c>
      <c r="B1310">
        <v>60</v>
      </c>
      <c r="C1310" t="str">
        <f>IFERROR(_xlfn.XLOOKUP(B1310, Customer!A:A, Customer!B:B), "Unknown Customer")</f>
        <v>Sina Ghasemi</v>
      </c>
      <c r="D1310" s="1">
        <v>45883</v>
      </c>
      <c r="E1310" t="s">
        <v>29</v>
      </c>
      <c r="F1310" t="s">
        <v>14</v>
      </c>
      <c r="G1310">
        <v>1</v>
      </c>
      <c r="H1310" t="s">
        <v>11</v>
      </c>
      <c r="I1310" s="2">
        <v>45000</v>
      </c>
      <c r="J1310" t="s">
        <v>15</v>
      </c>
      <c r="K1310" s="3">
        <f t="shared" si="40"/>
        <v>45000</v>
      </c>
      <c r="L1310" t="str">
        <f t="shared" si="41"/>
        <v>2025-08</v>
      </c>
    </row>
    <row r="1311" spans="1:12" x14ac:dyDescent="0.25">
      <c r="A1311">
        <v>2314</v>
      </c>
      <c r="B1311">
        <v>8</v>
      </c>
      <c r="C1311" t="str">
        <f>IFERROR(_xlfn.XLOOKUP(B1311, Customer!A:A, Customer!B:B), "Unknown Customer")</f>
        <v>Milad Norouzi</v>
      </c>
      <c r="D1311" s="1">
        <v>45932</v>
      </c>
      <c r="E1311" t="s">
        <v>20</v>
      </c>
      <c r="F1311" t="s">
        <v>17</v>
      </c>
      <c r="G1311">
        <v>1</v>
      </c>
      <c r="H1311" t="s">
        <v>11</v>
      </c>
      <c r="I1311" s="2">
        <v>50000</v>
      </c>
      <c r="J1311" t="s">
        <v>21</v>
      </c>
      <c r="K1311" s="3">
        <f t="shared" si="40"/>
        <v>50000</v>
      </c>
      <c r="L1311" t="str">
        <f t="shared" si="41"/>
        <v>2025-10</v>
      </c>
    </row>
    <row r="1312" spans="1:12" x14ac:dyDescent="0.25">
      <c r="A1312">
        <v>2315</v>
      </c>
      <c r="B1312">
        <v>34</v>
      </c>
      <c r="C1312" t="str">
        <f>IFERROR(_xlfn.XLOOKUP(B1312, Customer!A:A, Customer!B:B), "Unknown Customer")</f>
        <v>Reza Rezaei</v>
      </c>
      <c r="D1312" s="1">
        <v>45723</v>
      </c>
      <c r="E1312" t="s">
        <v>16</v>
      </c>
      <c r="F1312" t="s">
        <v>17</v>
      </c>
      <c r="G1312">
        <v>1</v>
      </c>
      <c r="H1312" t="s">
        <v>11</v>
      </c>
      <c r="I1312" s="2">
        <v>80000</v>
      </c>
      <c r="J1312" t="s">
        <v>24</v>
      </c>
      <c r="K1312" s="3">
        <f t="shared" si="40"/>
        <v>80000</v>
      </c>
      <c r="L1312" t="str">
        <f t="shared" si="41"/>
        <v>2025-03</v>
      </c>
    </row>
    <row r="1313" spans="1:12" x14ac:dyDescent="0.25">
      <c r="A1313">
        <v>2316</v>
      </c>
      <c r="B1313">
        <v>15</v>
      </c>
      <c r="C1313" t="str">
        <f>IFERROR(_xlfn.XLOOKUP(B1313, Customer!A:A, Customer!B:B), "Unknown Customer")</f>
        <v>Milad Zare</v>
      </c>
      <c r="D1313" s="1">
        <v>45677</v>
      </c>
      <c r="E1313" t="s">
        <v>27</v>
      </c>
      <c r="F1313" t="s">
        <v>14</v>
      </c>
      <c r="G1313">
        <v>2</v>
      </c>
      <c r="H1313" t="s">
        <v>11</v>
      </c>
      <c r="I1313" s="2">
        <v>35000</v>
      </c>
      <c r="J1313" t="s">
        <v>32</v>
      </c>
      <c r="K1313" s="3">
        <f t="shared" si="40"/>
        <v>70000</v>
      </c>
      <c r="L1313" t="str">
        <f t="shared" si="41"/>
        <v>2025-01</v>
      </c>
    </row>
    <row r="1314" spans="1:12" x14ac:dyDescent="0.25">
      <c r="A1314">
        <v>2317</v>
      </c>
      <c r="B1314">
        <v>55</v>
      </c>
      <c r="C1314" t="str">
        <f>IFERROR(_xlfn.XLOOKUP(B1314, Customer!A:A, Customer!B:B), "Unknown Customer")</f>
        <v>Payam Jafari</v>
      </c>
      <c r="D1314" s="1">
        <v>45790</v>
      </c>
      <c r="E1314" t="s">
        <v>22</v>
      </c>
      <c r="F1314" t="s">
        <v>14</v>
      </c>
      <c r="G1314">
        <v>3</v>
      </c>
      <c r="H1314" t="s">
        <v>11</v>
      </c>
      <c r="I1314" s="2">
        <v>60000</v>
      </c>
      <c r="J1314" t="s">
        <v>28</v>
      </c>
      <c r="K1314" s="3">
        <f t="shared" si="40"/>
        <v>180000</v>
      </c>
      <c r="L1314" t="str">
        <f t="shared" si="41"/>
        <v>2025-05</v>
      </c>
    </row>
    <row r="1315" spans="1:12" x14ac:dyDescent="0.25">
      <c r="A1315">
        <v>2318</v>
      </c>
      <c r="B1315">
        <v>31</v>
      </c>
      <c r="C1315" t="str">
        <f>IFERROR(_xlfn.XLOOKUP(B1315, Customer!A:A, Customer!B:B), "Unknown Customer")</f>
        <v>Sara Karimi</v>
      </c>
      <c r="D1315" s="1">
        <v>45713</v>
      </c>
      <c r="E1315" t="s">
        <v>25</v>
      </c>
      <c r="F1315" t="s">
        <v>10</v>
      </c>
      <c r="G1315">
        <v>1</v>
      </c>
      <c r="H1315" t="s">
        <v>11</v>
      </c>
      <c r="I1315" s="2">
        <v>70000</v>
      </c>
      <c r="J1315" t="s">
        <v>24</v>
      </c>
      <c r="K1315" s="3">
        <f t="shared" si="40"/>
        <v>70000</v>
      </c>
      <c r="L1315" t="str">
        <f t="shared" si="41"/>
        <v>2025-02</v>
      </c>
    </row>
    <row r="1316" spans="1:12" x14ac:dyDescent="0.25">
      <c r="A1316">
        <v>2319</v>
      </c>
      <c r="B1316">
        <v>42</v>
      </c>
      <c r="C1316" t="str">
        <f>IFERROR(_xlfn.XLOOKUP(B1316, Customer!A:A, Customer!B:B), "Unknown Customer")</f>
        <v>Niloofar Ebrahimi</v>
      </c>
      <c r="D1316" s="1">
        <v>45937</v>
      </c>
      <c r="E1316" t="s">
        <v>20</v>
      </c>
      <c r="F1316" t="s">
        <v>17</v>
      </c>
      <c r="G1316">
        <v>1</v>
      </c>
      <c r="H1316" t="s">
        <v>11</v>
      </c>
      <c r="I1316" s="2">
        <v>50000</v>
      </c>
      <c r="J1316" t="s">
        <v>19</v>
      </c>
      <c r="K1316" s="3">
        <f t="shared" si="40"/>
        <v>50000</v>
      </c>
      <c r="L1316" t="str">
        <f t="shared" si="41"/>
        <v>2025-10</v>
      </c>
    </row>
    <row r="1317" spans="1:12" x14ac:dyDescent="0.25">
      <c r="A1317">
        <v>2320</v>
      </c>
      <c r="B1317">
        <v>42</v>
      </c>
      <c r="C1317" t="str">
        <f>IFERROR(_xlfn.XLOOKUP(B1317, Customer!A:A, Customer!B:B), "Unknown Customer")</f>
        <v>Niloofar Ebrahimi</v>
      </c>
      <c r="D1317" s="1">
        <v>45754</v>
      </c>
      <c r="E1317" t="s">
        <v>20</v>
      </c>
      <c r="F1317" t="s">
        <v>17</v>
      </c>
      <c r="G1317">
        <v>3</v>
      </c>
      <c r="H1317" t="s">
        <v>11</v>
      </c>
      <c r="I1317" s="2">
        <v>50000</v>
      </c>
      <c r="J1317" t="s">
        <v>28</v>
      </c>
      <c r="K1317" s="3">
        <f t="shared" si="40"/>
        <v>150000</v>
      </c>
      <c r="L1317" t="str">
        <f t="shared" si="41"/>
        <v>2025-04</v>
      </c>
    </row>
    <row r="1318" spans="1:12" x14ac:dyDescent="0.25">
      <c r="A1318">
        <v>2321</v>
      </c>
      <c r="B1318">
        <v>4</v>
      </c>
      <c r="C1318" t="str">
        <f>IFERROR(_xlfn.XLOOKUP(B1318, Customer!A:A, Customer!B:B), "Unknown Customer")</f>
        <v>Kaveh Salehi</v>
      </c>
      <c r="D1318" s="1">
        <v>45876</v>
      </c>
      <c r="E1318" t="s">
        <v>13</v>
      </c>
      <c r="F1318" t="s">
        <v>14</v>
      </c>
      <c r="G1318">
        <v>-1</v>
      </c>
      <c r="H1318" t="s">
        <v>26</v>
      </c>
      <c r="I1318" s="2">
        <v>63000</v>
      </c>
      <c r="J1318" t="s">
        <v>28</v>
      </c>
      <c r="K1318" s="3">
        <f t="shared" si="40"/>
        <v>-63000</v>
      </c>
      <c r="L1318" t="str">
        <f t="shared" si="41"/>
        <v>2025-08</v>
      </c>
    </row>
    <row r="1319" spans="1:12" x14ac:dyDescent="0.25">
      <c r="A1319">
        <v>2322</v>
      </c>
      <c r="B1319">
        <v>28</v>
      </c>
      <c r="C1319" t="str">
        <f>IFERROR(_xlfn.XLOOKUP(B1319, Customer!A:A, Customer!B:B), "Unknown Customer")</f>
        <v>Yasaman Naderi</v>
      </c>
      <c r="D1319" s="1">
        <v>45919</v>
      </c>
      <c r="E1319" t="s">
        <v>25</v>
      </c>
      <c r="F1319" t="s">
        <v>10</v>
      </c>
      <c r="G1319">
        <v>1</v>
      </c>
      <c r="H1319" t="s">
        <v>11</v>
      </c>
      <c r="I1319" s="2">
        <v>65000</v>
      </c>
      <c r="J1319" t="s">
        <v>12</v>
      </c>
      <c r="K1319" s="3">
        <f t="shared" si="40"/>
        <v>65000</v>
      </c>
      <c r="L1319" t="str">
        <f t="shared" si="41"/>
        <v>2025-09</v>
      </c>
    </row>
    <row r="1320" spans="1:12" x14ac:dyDescent="0.25">
      <c r="A1320">
        <v>2323</v>
      </c>
      <c r="B1320">
        <v>93</v>
      </c>
      <c r="C1320" t="str">
        <f>IFERROR(_xlfn.XLOOKUP(B1320, Customer!A:A, Customer!B:B), "Unknown Customer")</f>
        <v>Sepideh Norouzi</v>
      </c>
      <c r="D1320" s="1">
        <v>45853</v>
      </c>
      <c r="E1320" t="s">
        <v>13</v>
      </c>
      <c r="F1320" t="s">
        <v>14</v>
      </c>
      <c r="G1320">
        <v>1</v>
      </c>
      <c r="H1320" t="s">
        <v>11</v>
      </c>
      <c r="I1320" s="2">
        <v>58000</v>
      </c>
      <c r="J1320" t="s">
        <v>28</v>
      </c>
      <c r="K1320" s="3">
        <f t="shared" si="40"/>
        <v>58000</v>
      </c>
      <c r="L1320" t="str">
        <f t="shared" si="41"/>
        <v>2025-07</v>
      </c>
    </row>
    <row r="1321" spans="1:12" x14ac:dyDescent="0.25">
      <c r="A1321">
        <v>2324</v>
      </c>
      <c r="B1321">
        <v>94</v>
      </c>
      <c r="C1321" t="str">
        <f>IFERROR(_xlfn.XLOOKUP(B1321, Customer!A:A, Customer!B:B), "Unknown Customer")</f>
        <v>Hamed Fallahi</v>
      </c>
      <c r="D1321" s="1">
        <v>45928</v>
      </c>
      <c r="E1321" t="s">
        <v>18</v>
      </c>
      <c r="F1321" t="s">
        <v>14</v>
      </c>
      <c r="G1321">
        <v>3</v>
      </c>
      <c r="H1321" t="s">
        <v>11</v>
      </c>
      <c r="I1321" s="2">
        <v>60000</v>
      </c>
      <c r="J1321" t="s">
        <v>21</v>
      </c>
      <c r="K1321" s="3">
        <f t="shared" si="40"/>
        <v>180000</v>
      </c>
      <c r="L1321" t="str">
        <f t="shared" si="41"/>
        <v>2025-09</v>
      </c>
    </row>
    <row r="1322" spans="1:12" x14ac:dyDescent="0.25">
      <c r="A1322">
        <v>2325</v>
      </c>
      <c r="B1322">
        <v>35</v>
      </c>
      <c r="C1322" t="str">
        <f>IFERROR(_xlfn.XLOOKUP(B1322, Customer!A:A, Customer!B:B), "Unknown Customer")</f>
        <v>Babak Hosseini</v>
      </c>
      <c r="D1322" s="1">
        <v>45952</v>
      </c>
      <c r="E1322" t="s">
        <v>30</v>
      </c>
      <c r="F1322" t="s">
        <v>14</v>
      </c>
      <c r="G1322">
        <v>1</v>
      </c>
      <c r="H1322" t="s">
        <v>11</v>
      </c>
      <c r="I1322" s="2">
        <v>48000</v>
      </c>
      <c r="J1322" t="s">
        <v>15</v>
      </c>
      <c r="K1322" s="3">
        <f t="shared" si="40"/>
        <v>48000</v>
      </c>
      <c r="L1322" t="str">
        <f t="shared" si="41"/>
        <v>2025-10</v>
      </c>
    </row>
    <row r="1323" spans="1:12" x14ac:dyDescent="0.25">
      <c r="A1323">
        <v>2326</v>
      </c>
      <c r="B1323">
        <v>41</v>
      </c>
      <c r="C1323" t="str">
        <f>IFERROR(_xlfn.XLOOKUP(B1323, Customer!A:A, Customer!B:B), "Unknown Customer")</f>
        <v>Iman Yousefi</v>
      </c>
      <c r="D1323" s="1">
        <v>45717</v>
      </c>
      <c r="E1323" t="s">
        <v>22</v>
      </c>
      <c r="F1323" t="s">
        <v>14</v>
      </c>
      <c r="G1323">
        <v>2</v>
      </c>
      <c r="H1323" t="s">
        <v>11</v>
      </c>
      <c r="I1323" s="2">
        <v>60000</v>
      </c>
      <c r="J1323" t="s">
        <v>21</v>
      </c>
      <c r="K1323" s="3">
        <f t="shared" si="40"/>
        <v>120000</v>
      </c>
      <c r="L1323" t="str">
        <f t="shared" si="41"/>
        <v>2025-03</v>
      </c>
    </row>
    <row r="1324" spans="1:12" x14ac:dyDescent="0.25">
      <c r="A1324">
        <v>2327</v>
      </c>
      <c r="B1324">
        <v>72</v>
      </c>
      <c r="C1324" t="str">
        <f>IFERROR(_xlfn.XLOOKUP(B1324, Customer!A:A, Customer!B:B), "Unknown Customer")</f>
        <v>Roya Rostami</v>
      </c>
      <c r="D1324" s="1">
        <v>45902</v>
      </c>
      <c r="E1324" t="s">
        <v>23</v>
      </c>
      <c r="F1324" t="s">
        <v>17</v>
      </c>
      <c r="G1324">
        <v>2</v>
      </c>
      <c r="H1324" t="s">
        <v>11</v>
      </c>
      <c r="I1324" s="2">
        <v>85000</v>
      </c>
      <c r="J1324" t="s">
        <v>24</v>
      </c>
      <c r="K1324" s="3">
        <f t="shared" si="40"/>
        <v>170000</v>
      </c>
      <c r="L1324" t="str">
        <f t="shared" si="41"/>
        <v>2025-09</v>
      </c>
    </row>
    <row r="1325" spans="1:12" x14ac:dyDescent="0.25">
      <c r="A1325">
        <v>2328</v>
      </c>
      <c r="B1325">
        <v>73</v>
      </c>
      <c r="C1325" t="str">
        <f>IFERROR(_xlfn.XLOOKUP(B1325, Customer!A:A, Customer!B:B), "Unknown Customer")</f>
        <v>Niloofar Ebrahimi</v>
      </c>
      <c r="D1325" s="1">
        <v>45726</v>
      </c>
      <c r="E1325" t="s">
        <v>13</v>
      </c>
      <c r="F1325" t="s">
        <v>14</v>
      </c>
      <c r="G1325">
        <v>3</v>
      </c>
      <c r="H1325" t="s">
        <v>11</v>
      </c>
      <c r="I1325" s="2">
        <v>63000</v>
      </c>
      <c r="J1325" t="s">
        <v>28</v>
      </c>
      <c r="K1325" s="3">
        <f t="shared" si="40"/>
        <v>189000</v>
      </c>
      <c r="L1325" t="str">
        <f t="shared" si="41"/>
        <v>2025-03</v>
      </c>
    </row>
    <row r="1326" spans="1:12" x14ac:dyDescent="0.25">
      <c r="A1326">
        <v>2329</v>
      </c>
      <c r="B1326">
        <v>34</v>
      </c>
      <c r="C1326" t="str">
        <f>IFERROR(_xlfn.XLOOKUP(B1326, Customer!A:A, Customer!B:B), "Unknown Customer")</f>
        <v>Reza Rezaei</v>
      </c>
      <c r="D1326" s="1">
        <v>45832</v>
      </c>
      <c r="E1326" t="s">
        <v>9</v>
      </c>
      <c r="F1326" t="s">
        <v>10</v>
      </c>
      <c r="G1326">
        <v>1</v>
      </c>
      <c r="H1326" t="s">
        <v>11</v>
      </c>
      <c r="I1326" s="2">
        <v>62000</v>
      </c>
      <c r="J1326" t="s">
        <v>28</v>
      </c>
      <c r="K1326" s="3">
        <f t="shared" si="40"/>
        <v>62000</v>
      </c>
      <c r="L1326" t="str">
        <f t="shared" si="41"/>
        <v>2025-06</v>
      </c>
    </row>
    <row r="1327" spans="1:12" x14ac:dyDescent="0.25">
      <c r="A1327">
        <v>2330</v>
      </c>
      <c r="B1327">
        <v>64</v>
      </c>
      <c r="C1327" t="str">
        <f>IFERROR(_xlfn.XLOOKUP(B1327, Customer!A:A, Customer!B:B), "Unknown Customer")</f>
        <v>Milad Yousefi</v>
      </c>
      <c r="D1327" s="1">
        <v>45995</v>
      </c>
      <c r="E1327" t="s">
        <v>27</v>
      </c>
      <c r="F1327" t="s">
        <v>14</v>
      </c>
      <c r="G1327">
        <v>1</v>
      </c>
      <c r="H1327" t="s">
        <v>11</v>
      </c>
      <c r="I1327" s="2">
        <v>35000</v>
      </c>
      <c r="J1327" t="s">
        <v>21</v>
      </c>
      <c r="K1327" s="3">
        <f t="shared" si="40"/>
        <v>35000</v>
      </c>
      <c r="L1327" t="str">
        <f t="shared" si="41"/>
        <v>2025-12</v>
      </c>
    </row>
    <row r="1328" spans="1:12" x14ac:dyDescent="0.25">
      <c r="A1328">
        <v>2331</v>
      </c>
      <c r="B1328">
        <v>98</v>
      </c>
      <c r="C1328" t="str">
        <f>IFERROR(_xlfn.XLOOKUP(B1328, Customer!A:A, Customer!B:B), "Unknown Customer")</f>
        <v>Elham Mousavi</v>
      </c>
      <c r="D1328" s="1">
        <v>46022</v>
      </c>
      <c r="E1328" t="s">
        <v>23</v>
      </c>
      <c r="F1328" t="s">
        <v>17</v>
      </c>
      <c r="G1328">
        <v>1</v>
      </c>
      <c r="H1328" t="s">
        <v>11</v>
      </c>
      <c r="I1328" s="2">
        <v>80000</v>
      </c>
      <c r="J1328" t="s">
        <v>12</v>
      </c>
      <c r="K1328" s="3">
        <f t="shared" si="40"/>
        <v>80000</v>
      </c>
      <c r="L1328" t="str">
        <f t="shared" si="41"/>
        <v>2025-12</v>
      </c>
    </row>
    <row r="1329" spans="1:12" x14ac:dyDescent="0.25">
      <c r="A1329">
        <v>2332</v>
      </c>
      <c r="B1329">
        <v>22</v>
      </c>
      <c r="C1329" t="str">
        <f>IFERROR(_xlfn.XLOOKUP(B1329, Customer!A:A, Customer!B:B), "Unknown Customer")</f>
        <v>Amir Yousefi</v>
      </c>
      <c r="D1329" s="1">
        <v>45903</v>
      </c>
      <c r="E1329" t="s">
        <v>18</v>
      </c>
      <c r="F1329" t="s">
        <v>14</v>
      </c>
      <c r="G1329">
        <v>2</v>
      </c>
      <c r="H1329" t="s">
        <v>11</v>
      </c>
      <c r="I1329" s="2">
        <v>55000</v>
      </c>
      <c r="J1329" t="s">
        <v>12</v>
      </c>
      <c r="K1329" s="3">
        <f t="shared" si="40"/>
        <v>110000</v>
      </c>
      <c r="L1329" t="str">
        <f t="shared" si="41"/>
        <v>2025-09</v>
      </c>
    </row>
    <row r="1330" spans="1:12" x14ac:dyDescent="0.25">
      <c r="A1330">
        <v>2333</v>
      </c>
      <c r="B1330">
        <v>72</v>
      </c>
      <c r="C1330" t="str">
        <f>IFERROR(_xlfn.XLOOKUP(B1330, Customer!A:A, Customer!B:B), "Unknown Customer")</f>
        <v>Roya Rostami</v>
      </c>
      <c r="D1330" s="1">
        <v>46022</v>
      </c>
      <c r="E1330" t="s">
        <v>30</v>
      </c>
      <c r="F1330" t="s">
        <v>14</v>
      </c>
      <c r="G1330">
        <v>1</v>
      </c>
      <c r="H1330" t="s">
        <v>11</v>
      </c>
      <c r="I1330" s="2">
        <v>48000</v>
      </c>
      <c r="J1330" t="s">
        <v>12</v>
      </c>
      <c r="K1330" s="3">
        <f t="shared" si="40"/>
        <v>48000</v>
      </c>
      <c r="L1330" t="str">
        <f t="shared" si="41"/>
        <v>2025-12</v>
      </c>
    </row>
    <row r="1331" spans="1:12" x14ac:dyDescent="0.25">
      <c r="A1331">
        <v>2334</v>
      </c>
      <c r="B1331">
        <v>6</v>
      </c>
      <c r="C1331" t="str">
        <f>IFERROR(_xlfn.XLOOKUP(B1331, Customer!A:A, Customer!B:B), "Unknown Customer")</f>
        <v>Sepideh Mousavi</v>
      </c>
      <c r="D1331" s="1">
        <v>45664</v>
      </c>
      <c r="E1331" t="s">
        <v>18</v>
      </c>
      <c r="F1331" t="s">
        <v>14</v>
      </c>
      <c r="G1331">
        <v>3</v>
      </c>
      <c r="H1331" t="s">
        <v>11</v>
      </c>
      <c r="I1331" s="2">
        <v>55000</v>
      </c>
      <c r="J1331" t="s">
        <v>21</v>
      </c>
      <c r="K1331" s="3">
        <f t="shared" si="40"/>
        <v>165000</v>
      </c>
      <c r="L1331" t="str">
        <f t="shared" si="41"/>
        <v>2025-01</v>
      </c>
    </row>
    <row r="1332" spans="1:12" x14ac:dyDescent="0.25">
      <c r="A1332">
        <v>2335</v>
      </c>
      <c r="B1332">
        <v>97</v>
      </c>
      <c r="C1332" t="str">
        <f>IFERROR(_xlfn.XLOOKUP(B1332, Customer!A:A, Customer!B:B), "Unknown Customer")</f>
        <v>Setareh Sadeghi</v>
      </c>
      <c r="D1332" s="1">
        <v>46016</v>
      </c>
      <c r="E1332" t="s">
        <v>16</v>
      </c>
      <c r="F1332" t="s">
        <v>17</v>
      </c>
      <c r="G1332">
        <v>3</v>
      </c>
      <c r="H1332" t="s">
        <v>11</v>
      </c>
      <c r="I1332" s="2">
        <v>80000</v>
      </c>
      <c r="J1332" t="s">
        <v>24</v>
      </c>
      <c r="K1332" s="3">
        <f t="shared" si="40"/>
        <v>240000</v>
      </c>
      <c r="L1332" t="str">
        <f t="shared" si="41"/>
        <v>2025-12</v>
      </c>
    </row>
    <row r="1333" spans="1:12" x14ac:dyDescent="0.25">
      <c r="A1333">
        <v>2336</v>
      </c>
      <c r="B1333">
        <v>115</v>
      </c>
      <c r="C1333" t="str">
        <f>IFERROR(_xlfn.XLOOKUP(B1333, Customer!A:A, Customer!B:B), "Unknown Customer")</f>
        <v>Setareh Ahmadi</v>
      </c>
      <c r="D1333" s="1">
        <v>45961</v>
      </c>
      <c r="E1333" t="s">
        <v>29</v>
      </c>
      <c r="F1333" t="s">
        <v>14</v>
      </c>
      <c r="G1333">
        <v>3</v>
      </c>
      <c r="H1333" t="s">
        <v>11</v>
      </c>
      <c r="I1333" s="2">
        <v>45000</v>
      </c>
      <c r="J1333" t="s">
        <v>15</v>
      </c>
      <c r="K1333" s="3">
        <f t="shared" si="40"/>
        <v>135000</v>
      </c>
      <c r="L1333" t="str">
        <f t="shared" si="41"/>
        <v>2025-10</v>
      </c>
    </row>
    <row r="1334" spans="1:12" x14ac:dyDescent="0.25">
      <c r="A1334">
        <v>2337</v>
      </c>
      <c r="B1334">
        <v>23</v>
      </c>
      <c r="C1334" t="str">
        <f>IFERROR(_xlfn.XLOOKUP(B1334, Customer!A:A, Customer!B:B), "Unknown Customer")</f>
        <v>Milad Rezaei</v>
      </c>
      <c r="D1334" s="1">
        <v>45959</v>
      </c>
      <c r="E1334" t="s">
        <v>23</v>
      </c>
      <c r="F1334" t="s">
        <v>17</v>
      </c>
      <c r="G1334">
        <v>1</v>
      </c>
      <c r="H1334" t="s">
        <v>11</v>
      </c>
      <c r="I1334" s="2">
        <v>85000</v>
      </c>
      <c r="J1334" t="s">
        <v>19</v>
      </c>
      <c r="K1334" s="3">
        <f t="shared" si="40"/>
        <v>85000</v>
      </c>
      <c r="L1334" t="str">
        <f t="shared" si="41"/>
        <v>2025-10</v>
      </c>
    </row>
    <row r="1335" spans="1:12" x14ac:dyDescent="0.25">
      <c r="A1335">
        <v>2338</v>
      </c>
      <c r="B1335">
        <v>73</v>
      </c>
      <c r="C1335" t="str">
        <f>IFERROR(_xlfn.XLOOKUP(B1335, Customer!A:A, Customer!B:B), "Unknown Customer")</f>
        <v>Niloofar Ebrahimi</v>
      </c>
      <c r="D1335" s="1">
        <v>45926</v>
      </c>
      <c r="E1335" t="s">
        <v>23</v>
      </c>
      <c r="F1335" t="s">
        <v>17</v>
      </c>
      <c r="G1335">
        <v>1</v>
      </c>
      <c r="H1335" t="s">
        <v>11</v>
      </c>
      <c r="I1335" s="2">
        <v>85000</v>
      </c>
      <c r="J1335" t="s">
        <v>32</v>
      </c>
      <c r="K1335" s="3">
        <f t="shared" si="40"/>
        <v>85000</v>
      </c>
      <c r="L1335" t="str">
        <f t="shared" si="41"/>
        <v>2025-09</v>
      </c>
    </row>
    <row r="1336" spans="1:12" x14ac:dyDescent="0.25">
      <c r="A1336">
        <v>2339</v>
      </c>
      <c r="B1336">
        <v>60</v>
      </c>
      <c r="C1336" t="str">
        <f>IFERROR(_xlfn.XLOOKUP(B1336, Customer!A:A, Customer!B:B), "Unknown Customer")</f>
        <v>Sina Ghasemi</v>
      </c>
      <c r="D1336" s="1">
        <v>45679</v>
      </c>
      <c r="E1336" t="s">
        <v>13</v>
      </c>
      <c r="F1336" t="s">
        <v>14</v>
      </c>
      <c r="G1336">
        <v>2</v>
      </c>
      <c r="H1336" t="s">
        <v>11</v>
      </c>
      <c r="I1336" s="2">
        <v>63000</v>
      </c>
      <c r="J1336" t="s">
        <v>19</v>
      </c>
      <c r="K1336" s="3">
        <f t="shared" si="40"/>
        <v>126000</v>
      </c>
      <c r="L1336" t="str">
        <f t="shared" si="41"/>
        <v>2025-01</v>
      </c>
    </row>
    <row r="1337" spans="1:12" x14ac:dyDescent="0.25">
      <c r="A1337">
        <v>2340</v>
      </c>
      <c r="B1337">
        <v>45</v>
      </c>
      <c r="C1337" t="str">
        <f>IFERROR(_xlfn.XLOOKUP(B1337, Customer!A:A, Customer!B:B), "Unknown Customer")</f>
        <v>Mona Vakili</v>
      </c>
      <c r="D1337" s="1">
        <v>45742</v>
      </c>
      <c r="E1337" t="s">
        <v>9</v>
      </c>
      <c r="F1337" t="s">
        <v>10</v>
      </c>
      <c r="G1337">
        <v>1</v>
      </c>
      <c r="H1337" t="s">
        <v>11</v>
      </c>
      <c r="I1337" s="2">
        <v>62000</v>
      </c>
      <c r="J1337" t="s">
        <v>24</v>
      </c>
      <c r="K1337" s="3">
        <f t="shared" si="40"/>
        <v>62000</v>
      </c>
      <c r="L1337" t="str">
        <f t="shared" si="41"/>
        <v>2025-03</v>
      </c>
    </row>
    <row r="1338" spans="1:12" x14ac:dyDescent="0.25">
      <c r="A1338">
        <v>2341</v>
      </c>
      <c r="B1338">
        <v>37</v>
      </c>
      <c r="C1338" t="str">
        <f>IFERROR(_xlfn.XLOOKUP(B1338, Customer!A:A, Customer!B:B), "Unknown Customer")</f>
        <v>Omid Sadeghi</v>
      </c>
      <c r="D1338" s="1">
        <v>45968</v>
      </c>
      <c r="E1338" t="s">
        <v>9</v>
      </c>
      <c r="F1338" t="s">
        <v>10</v>
      </c>
      <c r="G1338">
        <v>3</v>
      </c>
      <c r="H1338" t="s">
        <v>11</v>
      </c>
      <c r="I1338" s="2">
        <v>62000</v>
      </c>
      <c r="J1338" t="s">
        <v>24</v>
      </c>
      <c r="K1338" s="3">
        <f t="shared" si="40"/>
        <v>186000</v>
      </c>
      <c r="L1338" t="str">
        <f t="shared" si="41"/>
        <v>2025-11</v>
      </c>
    </row>
    <row r="1339" spans="1:12" x14ac:dyDescent="0.25">
      <c r="A1339">
        <v>2342</v>
      </c>
      <c r="B1339">
        <v>71</v>
      </c>
      <c r="C1339" t="str">
        <f>IFERROR(_xlfn.XLOOKUP(B1339, Customer!A:A, Customer!B:B), "Unknown Customer")</f>
        <v>Milad Mousavi</v>
      </c>
      <c r="D1339" s="1">
        <v>45744</v>
      </c>
      <c r="E1339" t="s">
        <v>23</v>
      </c>
      <c r="F1339" t="s">
        <v>17</v>
      </c>
      <c r="G1339">
        <v>1</v>
      </c>
      <c r="H1339" t="s">
        <v>11</v>
      </c>
      <c r="I1339" s="2">
        <v>90000</v>
      </c>
      <c r="J1339" t="s">
        <v>15</v>
      </c>
      <c r="K1339" s="3">
        <f t="shared" si="40"/>
        <v>90000</v>
      </c>
      <c r="L1339" t="str">
        <f t="shared" si="41"/>
        <v>2025-03</v>
      </c>
    </row>
    <row r="1340" spans="1:12" x14ac:dyDescent="0.25">
      <c r="A1340">
        <v>2343</v>
      </c>
      <c r="B1340">
        <v>107</v>
      </c>
      <c r="C1340" t="str">
        <f>IFERROR(_xlfn.XLOOKUP(B1340, Customer!A:A, Customer!B:B), "Unknown Customer")</f>
        <v>Mona Abbasi</v>
      </c>
      <c r="D1340" s="1">
        <v>45907</v>
      </c>
      <c r="E1340" t="s">
        <v>29</v>
      </c>
      <c r="F1340" t="s">
        <v>14</v>
      </c>
      <c r="G1340">
        <v>2</v>
      </c>
      <c r="H1340" t="s">
        <v>11</v>
      </c>
      <c r="I1340" s="2">
        <v>45000</v>
      </c>
      <c r="J1340" t="s">
        <v>28</v>
      </c>
      <c r="K1340" s="3">
        <f t="shared" si="40"/>
        <v>90000</v>
      </c>
      <c r="L1340" t="str">
        <f t="shared" si="41"/>
        <v>2025-09</v>
      </c>
    </row>
    <row r="1341" spans="1:12" x14ac:dyDescent="0.25">
      <c r="A1341">
        <v>2344</v>
      </c>
      <c r="B1341">
        <v>17</v>
      </c>
      <c r="C1341" t="str">
        <f>IFERROR(_xlfn.XLOOKUP(B1341, Customer!A:A, Customer!B:B), "Unknown Customer")</f>
        <v>Kaveh Jafari</v>
      </c>
      <c r="D1341" s="1">
        <v>45809</v>
      </c>
      <c r="E1341" t="s">
        <v>16</v>
      </c>
      <c r="F1341" t="s">
        <v>17</v>
      </c>
      <c r="G1341">
        <v>2</v>
      </c>
      <c r="H1341" t="s">
        <v>11</v>
      </c>
      <c r="I1341" s="2">
        <v>75000</v>
      </c>
      <c r="J1341" t="s">
        <v>19</v>
      </c>
      <c r="K1341" s="3">
        <f t="shared" si="40"/>
        <v>150000</v>
      </c>
      <c r="L1341" t="str">
        <f t="shared" si="41"/>
        <v>2025-06</v>
      </c>
    </row>
    <row r="1342" spans="1:12" x14ac:dyDescent="0.25">
      <c r="A1342">
        <v>2345</v>
      </c>
      <c r="B1342">
        <v>111</v>
      </c>
      <c r="C1342" t="str">
        <f>IFERROR(_xlfn.XLOOKUP(B1342, Customer!A:A, Customer!B:B), "Unknown Customer")</f>
        <v>Sepideh Yousefi</v>
      </c>
      <c r="D1342" s="1">
        <v>45800</v>
      </c>
      <c r="E1342" t="s">
        <v>13</v>
      </c>
      <c r="F1342" t="s">
        <v>14</v>
      </c>
      <c r="G1342">
        <v>1</v>
      </c>
      <c r="H1342" t="s">
        <v>11</v>
      </c>
      <c r="I1342" s="2">
        <v>53000</v>
      </c>
      <c r="J1342" t="s">
        <v>12</v>
      </c>
      <c r="K1342" s="3">
        <f t="shared" si="40"/>
        <v>53000</v>
      </c>
      <c r="L1342" t="str">
        <f t="shared" si="41"/>
        <v>2025-05</v>
      </c>
    </row>
    <row r="1343" spans="1:12" x14ac:dyDescent="0.25">
      <c r="A1343">
        <v>2346</v>
      </c>
      <c r="B1343">
        <v>10</v>
      </c>
      <c r="C1343" t="str">
        <f>IFERROR(_xlfn.XLOOKUP(B1343, Customer!A:A, Customer!B:B), "Unknown Customer")</f>
        <v>Sepideh Rostami</v>
      </c>
      <c r="D1343" s="1">
        <v>45738</v>
      </c>
      <c r="E1343" t="s">
        <v>25</v>
      </c>
      <c r="F1343" t="s">
        <v>10</v>
      </c>
      <c r="G1343">
        <v>1</v>
      </c>
      <c r="H1343" t="s">
        <v>11</v>
      </c>
      <c r="I1343" s="2">
        <v>65000</v>
      </c>
      <c r="J1343" t="s">
        <v>12</v>
      </c>
      <c r="K1343" s="3">
        <f t="shared" si="40"/>
        <v>65000</v>
      </c>
      <c r="L1343" t="str">
        <f t="shared" si="41"/>
        <v>2025-03</v>
      </c>
    </row>
    <row r="1344" spans="1:12" x14ac:dyDescent="0.25">
      <c r="A1344">
        <v>2347</v>
      </c>
      <c r="B1344">
        <v>89</v>
      </c>
      <c r="C1344" t="str">
        <f>IFERROR(_xlfn.XLOOKUP(B1344, Customer!A:A, Customer!B:B), "Unknown Customer")</f>
        <v>Mona Moradi</v>
      </c>
      <c r="D1344" s="1">
        <v>45677</v>
      </c>
      <c r="E1344" t="s">
        <v>25</v>
      </c>
      <c r="F1344" t="s">
        <v>10</v>
      </c>
      <c r="G1344">
        <v>3</v>
      </c>
      <c r="H1344" t="s">
        <v>11</v>
      </c>
      <c r="I1344" s="2">
        <v>70000</v>
      </c>
      <c r="J1344" t="s">
        <v>28</v>
      </c>
      <c r="K1344" s="3">
        <f t="shared" si="40"/>
        <v>210000</v>
      </c>
      <c r="L1344" t="str">
        <f t="shared" si="41"/>
        <v>2025-01</v>
      </c>
    </row>
    <row r="1345" spans="1:12" x14ac:dyDescent="0.25">
      <c r="A1345">
        <v>2348</v>
      </c>
      <c r="B1345">
        <v>85</v>
      </c>
      <c r="C1345" t="str">
        <f>IFERROR(_xlfn.XLOOKUP(B1345, Customer!A:A, Customer!B:B), "Unknown Customer")</f>
        <v>Sepideh Yousefi</v>
      </c>
      <c r="D1345" s="1">
        <v>45676</v>
      </c>
      <c r="E1345" t="s">
        <v>27</v>
      </c>
      <c r="F1345" t="s">
        <v>14</v>
      </c>
      <c r="G1345">
        <v>1</v>
      </c>
      <c r="H1345" t="s">
        <v>11</v>
      </c>
      <c r="I1345" s="2">
        <v>35000</v>
      </c>
      <c r="J1345" t="s">
        <v>24</v>
      </c>
      <c r="K1345" s="3">
        <f t="shared" si="40"/>
        <v>35000</v>
      </c>
      <c r="L1345" t="str">
        <f t="shared" si="41"/>
        <v>2025-01</v>
      </c>
    </row>
    <row r="1346" spans="1:12" x14ac:dyDescent="0.25">
      <c r="A1346">
        <v>2350</v>
      </c>
      <c r="B1346">
        <v>17</v>
      </c>
      <c r="C1346" t="str">
        <f>IFERROR(_xlfn.XLOOKUP(B1346, Customer!A:A, Customer!B:B), "Unknown Customer")</f>
        <v>Kaveh Jafari</v>
      </c>
      <c r="D1346" s="1">
        <v>45983</v>
      </c>
      <c r="E1346" t="s">
        <v>30</v>
      </c>
      <c r="F1346" t="s">
        <v>14</v>
      </c>
      <c r="G1346">
        <v>1</v>
      </c>
      <c r="H1346" t="s">
        <v>11</v>
      </c>
      <c r="I1346" s="2">
        <v>48000</v>
      </c>
      <c r="J1346" t="s">
        <v>28</v>
      </c>
      <c r="K1346" s="3">
        <f t="shared" si="40"/>
        <v>48000</v>
      </c>
      <c r="L1346" t="str">
        <f t="shared" si="41"/>
        <v>2025-11</v>
      </c>
    </row>
    <row r="1347" spans="1:12" x14ac:dyDescent="0.25">
      <c r="A1347">
        <v>2351</v>
      </c>
      <c r="B1347">
        <v>79</v>
      </c>
      <c r="C1347" t="str">
        <f>IFERROR(_xlfn.XLOOKUP(B1347, Customer!A:A, Customer!B:B), "Unknown Customer")</f>
        <v>Niloofar Ahmadi</v>
      </c>
      <c r="D1347" s="1">
        <v>46021</v>
      </c>
      <c r="E1347" t="s">
        <v>30</v>
      </c>
      <c r="F1347" t="s">
        <v>14</v>
      </c>
      <c r="G1347">
        <v>2</v>
      </c>
      <c r="H1347" t="s">
        <v>11</v>
      </c>
      <c r="I1347" s="2">
        <v>48000</v>
      </c>
      <c r="J1347" t="s">
        <v>12</v>
      </c>
      <c r="K1347" s="3">
        <f t="shared" ref="K1347:K1395" si="42">G1347*I1347</f>
        <v>96000</v>
      </c>
      <c r="L1347" t="str">
        <f t="shared" ref="L1347:L1395" si="43">TEXT(D1347,"YYYY-MM")</f>
        <v>2025-12</v>
      </c>
    </row>
    <row r="1348" spans="1:12" x14ac:dyDescent="0.25">
      <c r="A1348">
        <v>2352</v>
      </c>
      <c r="B1348">
        <v>75</v>
      </c>
      <c r="C1348" t="str">
        <f>IFERROR(_xlfn.XLOOKUP(B1348, Customer!A:A, Customer!B:B), "Unknown Customer")</f>
        <v>Kian Ebrahimi</v>
      </c>
      <c r="D1348" s="1">
        <v>45984</v>
      </c>
      <c r="E1348" t="s">
        <v>30</v>
      </c>
      <c r="F1348" t="s">
        <v>14</v>
      </c>
      <c r="G1348">
        <v>2</v>
      </c>
      <c r="H1348" t="s">
        <v>11</v>
      </c>
      <c r="I1348" s="2">
        <v>48000</v>
      </c>
      <c r="J1348" t="s">
        <v>21</v>
      </c>
      <c r="K1348" s="3">
        <f t="shared" si="42"/>
        <v>96000</v>
      </c>
      <c r="L1348" t="str">
        <f t="shared" si="43"/>
        <v>2025-11</v>
      </c>
    </row>
    <row r="1349" spans="1:12" x14ac:dyDescent="0.25">
      <c r="A1349">
        <v>2353</v>
      </c>
      <c r="B1349">
        <v>86</v>
      </c>
      <c r="C1349" t="str">
        <f>IFERROR(_xlfn.XLOOKUP(B1349, Customer!A:A, Customer!B:B), "Unknown Customer")</f>
        <v>Payam Fallahi</v>
      </c>
      <c r="D1349" s="1">
        <v>45878</v>
      </c>
      <c r="E1349" t="s">
        <v>16</v>
      </c>
      <c r="F1349" t="s">
        <v>17</v>
      </c>
      <c r="G1349">
        <v>2</v>
      </c>
      <c r="H1349" t="s">
        <v>11</v>
      </c>
      <c r="I1349" s="2">
        <v>75000</v>
      </c>
      <c r="J1349" t="s">
        <v>21</v>
      </c>
      <c r="K1349" s="3">
        <f t="shared" si="42"/>
        <v>150000</v>
      </c>
      <c r="L1349" t="str">
        <f t="shared" si="43"/>
        <v>2025-08</v>
      </c>
    </row>
    <row r="1350" spans="1:12" x14ac:dyDescent="0.25">
      <c r="A1350">
        <v>2354</v>
      </c>
      <c r="B1350">
        <v>13</v>
      </c>
      <c r="C1350" t="str">
        <f>IFERROR(_xlfn.XLOOKUP(B1350, Customer!A:A, Customer!B:B), "Unknown Customer")</f>
        <v>Milad Naderi</v>
      </c>
      <c r="D1350" s="1">
        <v>45715</v>
      </c>
      <c r="E1350" t="s">
        <v>30</v>
      </c>
      <c r="F1350" t="s">
        <v>14</v>
      </c>
      <c r="G1350">
        <v>2</v>
      </c>
      <c r="H1350" t="s">
        <v>11</v>
      </c>
      <c r="I1350" s="2">
        <v>48000</v>
      </c>
      <c r="J1350" t="s">
        <v>19</v>
      </c>
      <c r="K1350" s="3">
        <f t="shared" si="42"/>
        <v>96000</v>
      </c>
      <c r="L1350" t="str">
        <f t="shared" si="43"/>
        <v>2025-02</v>
      </c>
    </row>
    <row r="1351" spans="1:12" x14ac:dyDescent="0.25">
      <c r="A1351">
        <v>2355</v>
      </c>
      <c r="B1351">
        <v>23</v>
      </c>
      <c r="C1351" t="str">
        <f>IFERROR(_xlfn.XLOOKUP(B1351, Customer!A:A, Customer!B:B), "Unknown Customer")</f>
        <v>Milad Rezaei</v>
      </c>
      <c r="D1351" s="1">
        <v>45821</v>
      </c>
      <c r="E1351" t="s">
        <v>16</v>
      </c>
      <c r="F1351" t="s">
        <v>17</v>
      </c>
      <c r="G1351">
        <v>1</v>
      </c>
      <c r="H1351" t="s">
        <v>11</v>
      </c>
      <c r="I1351" s="2">
        <v>75000</v>
      </c>
      <c r="J1351" t="s">
        <v>15</v>
      </c>
      <c r="K1351" s="3">
        <f t="shared" si="42"/>
        <v>75000</v>
      </c>
      <c r="L1351" t="str">
        <f t="shared" si="43"/>
        <v>2025-06</v>
      </c>
    </row>
    <row r="1352" spans="1:12" x14ac:dyDescent="0.25">
      <c r="A1352">
        <v>2356</v>
      </c>
      <c r="B1352">
        <v>108</v>
      </c>
      <c r="C1352" t="str">
        <f>IFERROR(_xlfn.XLOOKUP(B1352, Customer!A:A, Customer!B:B), "Unknown Customer")</f>
        <v>Omid Kazemi</v>
      </c>
      <c r="D1352" s="1">
        <v>45965</v>
      </c>
      <c r="E1352" t="s">
        <v>16</v>
      </c>
      <c r="F1352" t="s">
        <v>17</v>
      </c>
      <c r="G1352">
        <v>-1</v>
      </c>
      <c r="H1352" t="s">
        <v>26</v>
      </c>
      <c r="I1352" s="2">
        <v>75000</v>
      </c>
      <c r="J1352" t="s">
        <v>15</v>
      </c>
      <c r="K1352" s="3">
        <f t="shared" si="42"/>
        <v>-75000</v>
      </c>
      <c r="L1352" t="str">
        <f t="shared" si="43"/>
        <v>2025-11</v>
      </c>
    </row>
    <row r="1353" spans="1:12" x14ac:dyDescent="0.25">
      <c r="A1353">
        <v>2357</v>
      </c>
      <c r="B1353">
        <v>8</v>
      </c>
      <c r="C1353" t="str">
        <f>IFERROR(_xlfn.XLOOKUP(B1353, Customer!A:A, Customer!B:B), "Unknown Customer")</f>
        <v>Milad Norouzi</v>
      </c>
      <c r="D1353" s="1">
        <v>45823</v>
      </c>
      <c r="E1353" t="s">
        <v>23</v>
      </c>
      <c r="F1353" t="s">
        <v>17</v>
      </c>
      <c r="G1353">
        <v>1</v>
      </c>
      <c r="H1353" t="s">
        <v>11</v>
      </c>
      <c r="I1353" s="2">
        <v>85000</v>
      </c>
      <c r="J1353" t="s">
        <v>15</v>
      </c>
      <c r="K1353" s="3">
        <f t="shared" si="42"/>
        <v>85000</v>
      </c>
      <c r="L1353" t="str">
        <f t="shared" si="43"/>
        <v>2025-06</v>
      </c>
    </row>
    <row r="1354" spans="1:12" x14ac:dyDescent="0.25">
      <c r="A1354">
        <v>2358</v>
      </c>
      <c r="B1354">
        <v>34</v>
      </c>
      <c r="C1354" t="str">
        <f>IFERROR(_xlfn.XLOOKUP(B1354, Customer!A:A, Customer!B:B), "Unknown Customer")</f>
        <v>Reza Rezaei</v>
      </c>
      <c r="D1354" s="1">
        <v>45795</v>
      </c>
      <c r="E1354" t="s">
        <v>29</v>
      </c>
      <c r="F1354" t="s">
        <v>14</v>
      </c>
      <c r="G1354">
        <v>1</v>
      </c>
      <c r="H1354" t="s">
        <v>11</v>
      </c>
      <c r="I1354" s="2">
        <v>40000</v>
      </c>
      <c r="J1354" t="s">
        <v>15</v>
      </c>
      <c r="K1354" s="3">
        <f t="shared" si="42"/>
        <v>40000</v>
      </c>
      <c r="L1354" t="str">
        <f t="shared" si="43"/>
        <v>2025-05</v>
      </c>
    </row>
    <row r="1355" spans="1:12" x14ac:dyDescent="0.25">
      <c r="A1355">
        <v>2359</v>
      </c>
      <c r="B1355">
        <v>29</v>
      </c>
      <c r="C1355" t="str">
        <f>IFERROR(_xlfn.XLOOKUP(B1355, Customer!A:A, Customer!B:B), "Unknown Customer")</f>
        <v>Leila Kazemi</v>
      </c>
      <c r="D1355" s="1">
        <v>45743</v>
      </c>
      <c r="E1355" t="s">
        <v>20</v>
      </c>
      <c r="F1355" t="s">
        <v>17</v>
      </c>
      <c r="G1355">
        <v>4</v>
      </c>
      <c r="H1355" t="s">
        <v>11</v>
      </c>
      <c r="I1355" s="2">
        <v>45000</v>
      </c>
      <c r="J1355" t="s">
        <v>24</v>
      </c>
      <c r="K1355" s="3">
        <f t="shared" si="42"/>
        <v>180000</v>
      </c>
      <c r="L1355" t="str">
        <f t="shared" si="43"/>
        <v>2025-03</v>
      </c>
    </row>
    <row r="1356" spans="1:12" x14ac:dyDescent="0.25">
      <c r="A1356">
        <v>2360</v>
      </c>
      <c r="B1356">
        <v>78</v>
      </c>
      <c r="C1356" t="str">
        <f>IFERROR(_xlfn.XLOOKUP(B1356, Customer!A:A, Customer!B:B), "Unknown Customer")</f>
        <v>Elham Karimi</v>
      </c>
      <c r="D1356" s="1">
        <v>45668</v>
      </c>
      <c r="E1356" t="s">
        <v>23</v>
      </c>
      <c r="F1356" t="s">
        <v>17</v>
      </c>
      <c r="G1356">
        <v>4</v>
      </c>
      <c r="H1356" t="s">
        <v>11</v>
      </c>
      <c r="I1356" s="2">
        <v>85000</v>
      </c>
      <c r="J1356" t="s">
        <v>21</v>
      </c>
      <c r="K1356" s="3">
        <f t="shared" si="42"/>
        <v>340000</v>
      </c>
      <c r="L1356" t="str">
        <f t="shared" si="43"/>
        <v>2025-01</v>
      </c>
    </row>
    <row r="1357" spans="1:12" x14ac:dyDescent="0.25">
      <c r="A1357">
        <v>2361</v>
      </c>
      <c r="B1357">
        <v>99</v>
      </c>
      <c r="C1357" t="str">
        <f>IFERROR(_xlfn.XLOOKUP(B1357, Customer!A:A, Customer!B:B), "Unknown Customer")</f>
        <v>Behnam Ahmadi</v>
      </c>
      <c r="D1357" s="1">
        <v>45690</v>
      </c>
      <c r="E1357" t="s">
        <v>23</v>
      </c>
      <c r="F1357" t="s">
        <v>17</v>
      </c>
      <c r="G1357">
        <v>2</v>
      </c>
      <c r="H1357" t="s">
        <v>11</v>
      </c>
      <c r="I1357" s="2">
        <v>85000</v>
      </c>
      <c r="J1357" t="s">
        <v>24</v>
      </c>
      <c r="K1357" s="3">
        <f t="shared" si="42"/>
        <v>170000</v>
      </c>
      <c r="L1357" t="str">
        <f t="shared" si="43"/>
        <v>2025-02</v>
      </c>
    </row>
    <row r="1358" spans="1:12" x14ac:dyDescent="0.25">
      <c r="A1358">
        <v>2362</v>
      </c>
      <c r="B1358">
        <v>108</v>
      </c>
      <c r="C1358" t="str">
        <f>IFERROR(_xlfn.XLOOKUP(B1358, Customer!A:A, Customer!B:B), "Unknown Customer")</f>
        <v>Omid Kazemi</v>
      </c>
      <c r="D1358" s="1">
        <v>45860</v>
      </c>
      <c r="E1358" t="s">
        <v>23</v>
      </c>
      <c r="F1358" t="s">
        <v>17</v>
      </c>
      <c r="G1358">
        <v>1</v>
      </c>
      <c r="H1358" t="s">
        <v>11</v>
      </c>
      <c r="I1358" s="2">
        <v>85000</v>
      </c>
      <c r="J1358" t="s">
        <v>32</v>
      </c>
      <c r="K1358" s="3">
        <f t="shared" si="42"/>
        <v>85000</v>
      </c>
      <c r="L1358" t="str">
        <f t="shared" si="43"/>
        <v>2025-07</v>
      </c>
    </row>
    <row r="1359" spans="1:12" x14ac:dyDescent="0.25">
      <c r="A1359">
        <v>2363</v>
      </c>
      <c r="B1359">
        <v>28</v>
      </c>
      <c r="C1359" t="str">
        <f>IFERROR(_xlfn.XLOOKUP(B1359, Customer!A:A, Customer!B:B), "Unknown Customer")</f>
        <v>Yasaman Naderi</v>
      </c>
      <c r="D1359" s="1">
        <v>45785</v>
      </c>
      <c r="E1359" t="s">
        <v>23</v>
      </c>
      <c r="F1359" t="s">
        <v>17</v>
      </c>
      <c r="G1359">
        <v>4</v>
      </c>
      <c r="H1359" t="s">
        <v>11</v>
      </c>
      <c r="I1359" s="2">
        <v>80000</v>
      </c>
      <c r="J1359" t="s">
        <v>28</v>
      </c>
      <c r="K1359" s="3">
        <f t="shared" si="42"/>
        <v>320000</v>
      </c>
      <c r="L1359" t="str">
        <f t="shared" si="43"/>
        <v>2025-05</v>
      </c>
    </row>
    <row r="1360" spans="1:12" x14ac:dyDescent="0.25">
      <c r="A1360">
        <v>2364</v>
      </c>
      <c r="B1360">
        <v>51</v>
      </c>
      <c r="C1360" t="str">
        <f>IFERROR(_xlfn.XLOOKUP(B1360, Customer!A:A, Customer!B:B), "Unknown Customer")</f>
        <v>Azadeh Karimi</v>
      </c>
      <c r="D1360" s="1">
        <v>45679</v>
      </c>
      <c r="E1360" t="s">
        <v>16</v>
      </c>
      <c r="F1360" t="s">
        <v>17</v>
      </c>
      <c r="G1360">
        <v>1</v>
      </c>
      <c r="H1360" t="s">
        <v>11</v>
      </c>
      <c r="I1360" s="2">
        <v>70000</v>
      </c>
      <c r="J1360" t="s">
        <v>19</v>
      </c>
      <c r="K1360" s="3">
        <f t="shared" si="42"/>
        <v>70000</v>
      </c>
      <c r="L1360" t="str">
        <f t="shared" si="43"/>
        <v>2025-01</v>
      </c>
    </row>
    <row r="1361" spans="1:12" x14ac:dyDescent="0.25">
      <c r="A1361">
        <v>2365</v>
      </c>
      <c r="B1361">
        <v>35</v>
      </c>
      <c r="C1361" t="str">
        <f>IFERROR(_xlfn.XLOOKUP(B1361, Customer!A:A, Customer!B:B), "Unknown Customer")</f>
        <v>Babak Hosseini</v>
      </c>
      <c r="D1361" s="1">
        <v>45780</v>
      </c>
      <c r="E1361" t="s">
        <v>22</v>
      </c>
      <c r="F1361" t="s">
        <v>14</v>
      </c>
      <c r="G1361">
        <v>1</v>
      </c>
      <c r="H1361" t="s">
        <v>11</v>
      </c>
      <c r="I1361" s="2">
        <v>60000</v>
      </c>
      <c r="J1361" t="s">
        <v>19</v>
      </c>
      <c r="K1361" s="3">
        <f t="shared" si="42"/>
        <v>60000</v>
      </c>
      <c r="L1361" t="str">
        <f t="shared" si="43"/>
        <v>2025-05</v>
      </c>
    </row>
    <row r="1362" spans="1:12" x14ac:dyDescent="0.25">
      <c r="A1362">
        <v>2366</v>
      </c>
      <c r="B1362">
        <v>65</v>
      </c>
      <c r="C1362" t="str">
        <f>IFERROR(_xlfn.XLOOKUP(B1362, Customer!A:A, Customer!B:B), "Unknown Customer")</f>
        <v>Yasaman Norouzi</v>
      </c>
      <c r="D1362" s="1">
        <v>46018</v>
      </c>
      <c r="E1362" t="s">
        <v>22</v>
      </c>
      <c r="F1362" t="s">
        <v>14</v>
      </c>
      <c r="G1362">
        <v>1</v>
      </c>
      <c r="H1362" t="s">
        <v>11</v>
      </c>
      <c r="I1362" s="2">
        <v>55000</v>
      </c>
      <c r="J1362" t="s">
        <v>19</v>
      </c>
      <c r="K1362" s="3">
        <f t="shared" si="42"/>
        <v>55000</v>
      </c>
      <c r="L1362" t="str">
        <f t="shared" si="43"/>
        <v>2025-12</v>
      </c>
    </row>
    <row r="1363" spans="1:12" x14ac:dyDescent="0.25">
      <c r="A1363">
        <v>2367</v>
      </c>
      <c r="B1363">
        <v>95</v>
      </c>
      <c r="C1363" t="str">
        <f>IFERROR(_xlfn.XLOOKUP(B1363, Customer!A:A, Customer!B:B), "Unknown Customer")</f>
        <v>Elham Norouzi</v>
      </c>
      <c r="D1363" s="1">
        <v>45858</v>
      </c>
      <c r="E1363" t="s">
        <v>20</v>
      </c>
      <c r="F1363" t="s">
        <v>17</v>
      </c>
      <c r="G1363">
        <v>4</v>
      </c>
      <c r="H1363" t="s">
        <v>11</v>
      </c>
      <c r="I1363" s="2">
        <v>50000</v>
      </c>
      <c r="J1363" t="s">
        <v>21</v>
      </c>
      <c r="K1363" s="3">
        <f t="shared" si="42"/>
        <v>200000</v>
      </c>
      <c r="L1363" t="str">
        <f t="shared" si="43"/>
        <v>2025-07</v>
      </c>
    </row>
    <row r="1364" spans="1:12" x14ac:dyDescent="0.25">
      <c r="A1364">
        <v>2368</v>
      </c>
      <c r="B1364">
        <v>36</v>
      </c>
      <c r="C1364" t="str">
        <f>IFERROR(_xlfn.XLOOKUP(B1364, Customer!A:A, Customer!B:B), "Unknown Customer")</f>
        <v>Payam Rezaei</v>
      </c>
      <c r="D1364" s="1">
        <v>45761</v>
      </c>
      <c r="E1364" t="s">
        <v>16</v>
      </c>
      <c r="F1364" t="s">
        <v>17</v>
      </c>
      <c r="G1364">
        <v>3</v>
      </c>
      <c r="H1364" t="s">
        <v>11</v>
      </c>
      <c r="I1364" s="2">
        <v>80000</v>
      </c>
      <c r="J1364" t="s">
        <v>21</v>
      </c>
      <c r="K1364" s="3">
        <f t="shared" si="42"/>
        <v>240000</v>
      </c>
      <c r="L1364" t="str">
        <f t="shared" si="43"/>
        <v>2025-04</v>
      </c>
    </row>
    <row r="1365" spans="1:12" x14ac:dyDescent="0.25">
      <c r="A1365">
        <v>2369</v>
      </c>
      <c r="B1365">
        <v>55</v>
      </c>
      <c r="C1365" t="str">
        <f>IFERROR(_xlfn.XLOOKUP(B1365, Customer!A:A, Customer!B:B), "Unknown Customer")</f>
        <v>Payam Jafari</v>
      </c>
      <c r="D1365" s="1">
        <v>45771</v>
      </c>
      <c r="E1365" t="s">
        <v>18</v>
      </c>
      <c r="F1365" t="s">
        <v>14</v>
      </c>
      <c r="G1365">
        <v>2</v>
      </c>
      <c r="H1365" t="s">
        <v>11</v>
      </c>
      <c r="I1365" s="2">
        <v>55320</v>
      </c>
      <c r="J1365" t="s">
        <v>15</v>
      </c>
      <c r="K1365" s="3">
        <f t="shared" si="42"/>
        <v>110640</v>
      </c>
      <c r="L1365" t="str">
        <f t="shared" si="43"/>
        <v>2025-04</v>
      </c>
    </row>
    <row r="1366" spans="1:12" x14ac:dyDescent="0.25">
      <c r="A1366">
        <v>2370</v>
      </c>
      <c r="B1366">
        <v>3</v>
      </c>
      <c r="C1366" t="str">
        <f>IFERROR(_xlfn.XLOOKUP(B1366, Customer!A:A, Customer!B:B), "Unknown Customer")</f>
        <v>Hamed Abbasi</v>
      </c>
      <c r="D1366" s="1">
        <v>45859</v>
      </c>
      <c r="E1366" t="s">
        <v>16</v>
      </c>
      <c r="F1366" t="s">
        <v>17</v>
      </c>
      <c r="G1366">
        <v>2</v>
      </c>
      <c r="H1366" t="s">
        <v>11</v>
      </c>
      <c r="I1366" s="2">
        <v>75000</v>
      </c>
      <c r="J1366" t="s">
        <v>15</v>
      </c>
      <c r="K1366" s="3">
        <f t="shared" si="42"/>
        <v>150000</v>
      </c>
      <c r="L1366" t="str">
        <f t="shared" si="43"/>
        <v>2025-07</v>
      </c>
    </row>
    <row r="1367" spans="1:12" x14ac:dyDescent="0.25">
      <c r="A1367">
        <v>2371</v>
      </c>
      <c r="B1367">
        <v>99</v>
      </c>
      <c r="C1367" t="str">
        <f>IFERROR(_xlfn.XLOOKUP(B1367, Customer!A:A, Customer!B:B), "Unknown Customer")</f>
        <v>Behnam Ahmadi</v>
      </c>
      <c r="D1367" s="1">
        <v>45886</v>
      </c>
      <c r="E1367" t="s">
        <v>30</v>
      </c>
      <c r="F1367" t="s">
        <v>14</v>
      </c>
      <c r="G1367">
        <v>2</v>
      </c>
      <c r="H1367" t="s">
        <v>11</v>
      </c>
      <c r="I1367" s="2">
        <v>43000</v>
      </c>
      <c r="J1367" t="s">
        <v>21</v>
      </c>
      <c r="K1367" s="3">
        <f t="shared" si="42"/>
        <v>86000</v>
      </c>
      <c r="L1367" t="str">
        <f t="shared" si="43"/>
        <v>2025-08</v>
      </c>
    </row>
    <row r="1368" spans="1:12" x14ac:dyDescent="0.25">
      <c r="A1368">
        <v>2372</v>
      </c>
      <c r="B1368">
        <v>19</v>
      </c>
      <c r="C1368" t="str">
        <f>IFERROR(_xlfn.XLOOKUP(B1368, Customer!A:A, Customer!B:B), "Unknown Customer")</f>
        <v>Leila Sadeghi</v>
      </c>
      <c r="D1368" s="1">
        <v>45700</v>
      </c>
      <c r="E1368" t="s">
        <v>27</v>
      </c>
      <c r="F1368" t="s">
        <v>14</v>
      </c>
      <c r="G1368">
        <v>1</v>
      </c>
      <c r="H1368" t="s">
        <v>11</v>
      </c>
      <c r="I1368" s="2">
        <v>35000</v>
      </c>
      <c r="J1368" t="s">
        <v>19</v>
      </c>
      <c r="K1368" s="3">
        <f t="shared" si="42"/>
        <v>35000</v>
      </c>
      <c r="L1368" t="str">
        <f t="shared" si="43"/>
        <v>2025-02</v>
      </c>
    </row>
    <row r="1369" spans="1:12" x14ac:dyDescent="0.25">
      <c r="A1369">
        <v>2373</v>
      </c>
      <c r="B1369">
        <v>19</v>
      </c>
      <c r="C1369" t="str">
        <f>IFERROR(_xlfn.XLOOKUP(B1369, Customer!A:A, Customer!B:B), "Unknown Customer")</f>
        <v>Leila Sadeghi</v>
      </c>
      <c r="D1369" s="1">
        <v>45973</v>
      </c>
      <c r="E1369" t="s">
        <v>31</v>
      </c>
      <c r="F1369" t="s">
        <v>17</v>
      </c>
      <c r="G1369">
        <v>1</v>
      </c>
      <c r="H1369" t="s">
        <v>11</v>
      </c>
      <c r="I1369" s="2">
        <v>40000</v>
      </c>
      <c r="J1369" t="s">
        <v>21</v>
      </c>
      <c r="K1369" s="3">
        <f t="shared" si="42"/>
        <v>40000</v>
      </c>
      <c r="L1369" t="str">
        <f t="shared" si="43"/>
        <v>2025-11</v>
      </c>
    </row>
    <row r="1370" spans="1:12" x14ac:dyDescent="0.25">
      <c r="A1370">
        <v>2374</v>
      </c>
      <c r="B1370">
        <v>95</v>
      </c>
      <c r="C1370" t="str">
        <f>IFERROR(_xlfn.XLOOKUP(B1370, Customer!A:A, Customer!B:B), "Unknown Customer")</f>
        <v>Elham Norouzi</v>
      </c>
      <c r="D1370" s="1">
        <v>45735</v>
      </c>
      <c r="E1370" t="s">
        <v>25</v>
      </c>
      <c r="F1370" t="s">
        <v>10</v>
      </c>
      <c r="G1370">
        <v>3</v>
      </c>
      <c r="H1370" t="s">
        <v>11</v>
      </c>
      <c r="I1370" s="2">
        <v>70000</v>
      </c>
      <c r="J1370" t="s">
        <v>19</v>
      </c>
      <c r="K1370" s="3">
        <f t="shared" si="42"/>
        <v>210000</v>
      </c>
      <c r="L1370" t="str">
        <f t="shared" si="43"/>
        <v>2025-03</v>
      </c>
    </row>
    <row r="1371" spans="1:12" x14ac:dyDescent="0.25">
      <c r="A1371">
        <v>2375</v>
      </c>
      <c r="B1371">
        <v>35</v>
      </c>
      <c r="C1371" t="str">
        <f>IFERROR(_xlfn.XLOOKUP(B1371, Customer!A:A, Customer!B:B), "Unknown Customer")</f>
        <v>Babak Hosseini</v>
      </c>
      <c r="D1371" s="1">
        <v>45765</v>
      </c>
      <c r="E1371" t="s">
        <v>22</v>
      </c>
      <c r="F1371" t="s">
        <v>14</v>
      </c>
      <c r="G1371">
        <v>2</v>
      </c>
      <c r="H1371" t="s">
        <v>11</v>
      </c>
      <c r="I1371" s="2">
        <v>60000</v>
      </c>
      <c r="J1371" t="s">
        <v>21</v>
      </c>
      <c r="K1371" s="3">
        <f t="shared" si="42"/>
        <v>120000</v>
      </c>
      <c r="L1371" t="str">
        <f t="shared" si="43"/>
        <v>2025-04</v>
      </c>
    </row>
    <row r="1372" spans="1:12" x14ac:dyDescent="0.25">
      <c r="A1372">
        <v>2376</v>
      </c>
      <c r="B1372">
        <v>60</v>
      </c>
      <c r="C1372" t="str">
        <f>IFERROR(_xlfn.XLOOKUP(B1372, Customer!A:A, Customer!B:B), "Unknown Customer")</f>
        <v>Sina Ghasemi</v>
      </c>
      <c r="D1372" s="1">
        <v>45905</v>
      </c>
      <c r="E1372" t="s">
        <v>22</v>
      </c>
      <c r="F1372" t="s">
        <v>14</v>
      </c>
      <c r="G1372">
        <v>1</v>
      </c>
      <c r="H1372" t="s">
        <v>11</v>
      </c>
      <c r="I1372" s="2">
        <v>60000</v>
      </c>
      <c r="J1372" t="s">
        <v>15</v>
      </c>
      <c r="K1372" s="3">
        <f t="shared" si="42"/>
        <v>60000</v>
      </c>
      <c r="L1372" t="str">
        <f t="shared" si="43"/>
        <v>2025-09</v>
      </c>
    </row>
    <row r="1373" spans="1:12" x14ac:dyDescent="0.25">
      <c r="A1373">
        <v>2377</v>
      </c>
      <c r="B1373">
        <v>17</v>
      </c>
      <c r="C1373" t="str">
        <f>IFERROR(_xlfn.XLOOKUP(B1373, Customer!A:A, Customer!B:B), "Unknown Customer")</f>
        <v>Kaveh Jafari</v>
      </c>
      <c r="D1373" s="1">
        <v>45740</v>
      </c>
      <c r="E1373" t="s">
        <v>29</v>
      </c>
      <c r="F1373" t="s">
        <v>14</v>
      </c>
      <c r="G1373">
        <v>1</v>
      </c>
      <c r="H1373" t="s">
        <v>11</v>
      </c>
      <c r="I1373" s="2">
        <v>45000</v>
      </c>
      <c r="J1373" t="s">
        <v>19</v>
      </c>
      <c r="K1373" s="3">
        <f t="shared" si="42"/>
        <v>45000</v>
      </c>
      <c r="L1373" t="str">
        <f t="shared" si="43"/>
        <v>2025-03</v>
      </c>
    </row>
    <row r="1374" spans="1:12" x14ac:dyDescent="0.25">
      <c r="A1374">
        <v>2378</v>
      </c>
      <c r="B1374">
        <v>114</v>
      </c>
      <c r="C1374" t="str">
        <f>IFERROR(_xlfn.XLOOKUP(B1374, Customer!A:A, Customer!B:B), "Unknown Customer")</f>
        <v>Omid Fallahi</v>
      </c>
      <c r="D1374" s="1">
        <v>45970</v>
      </c>
      <c r="E1374" t="s">
        <v>31</v>
      </c>
      <c r="F1374" t="s">
        <v>17</v>
      </c>
      <c r="G1374">
        <v>1</v>
      </c>
      <c r="H1374" t="s">
        <v>11</v>
      </c>
      <c r="I1374" s="2">
        <v>45000</v>
      </c>
      <c r="J1374" t="s">
        <v>19</v>
      </c>
      <c r="K1374" s="3">
        <f t="shared" si="42"/>
        <v>45000</v>
      </c>
      <c r="L1374" t="str">
        <f t="shared" si="43"/>
        <v>2025-11</v>
      </c>
    </row>
    <row r="1375" spans="1:12" x14ac:dyDescent="0.25">
      <c r="A1375">
        <v>2379</v>
      </c>
      <c r="B1375">
        <v>38</v>
      </c>
      <c r="C1375" t="str">
        <f>IFERROR(_xlfn.XLOOKUP(B1375, Customer!A:A, Customer!B:B), "Unknown Customer")</f>
        <v>Setareh Naderi</v>
      </c>
      <c r="D1375" s="1">
        <v>45969</v>
      </c>
      <c r="E1375" t="s">
        <v>18</v>
      </c>
      <c r="F1375" t="s">
        <v>14</v>
      </c>
      <c r="G1375">
        <v>1</v>
      </c>
      <c r="H1375" t="s">
        <v>11</v>
      </c>
      <c r="I1375" s="2">
        <v>55000</v>
      </c>
      <c r="J1375" t="s">
        <v>28</v>
      </c>
      <c r="K1375" s="3">
        <f t="shared" si="42"/>
        <v>55000</v>
      </c>
      <c r="L1375" t="str">
        <f t="shared" si="43"/>
        <v>2025-11</v>
      </c>
    </row>
    <row r="1376" spans="1:12" x14ac:dyDescent="0.25">
      <c r="A1376">
        <v>2380</v>
      </c>
      <c r="B1376">
        <v>84</v>
      </c>
      <c r="C1376" t="str">
        <f>IFERROR(_xlfn.XLOOKUP(B1376, Customer!A:A, Customer!B:B), "Unknown Customer")</f>
        <v>Setareh Moradi</v>
      </c>
      <c r="D1376" s="1">
        <v>45730</v>
      </c>
      <c r="E1376" t="s">
        <v>13</v>
      </c>
      <c r="F1376" t="s">
        <v>14</v>
      </c>
      <c r="G1376">
        <v>4</v>
      </c>
      <c r="H1376" t="s">
        <v>11</v>
      </c>
      <c r="I1376" s="2">
        <v>63000</v>
      </c>
      <c r="J1376" t="s">
        <v>32</v>
      </c>
      <c r="K1376" s="3">
        <f t="shared" si="42"/>
        <v>252000</v>
      </c>
      <c r="L1376" t="str">
        <f t="shared" si="43"/>
        <v>2025-03</v>
      </c>
    </row>
    <row r="1377" spans="1:12" x14ac:dyDescent="0.25">
      <c r="A1377">
        <v>2381</v>
      </c>
      <c r="B1377">
        <v>78</v>
      </c>
      <c r="C1377" t="str">
        <f>IFERROR(_xlfn.XLOOKUP(B1377, Customer!A:A, Customer!B:B), "Unknown Customer")</f>
        <v>Elham Karimi</v>
      </c>
      <c r="D1377" s="1">
        <v>45899</v>
      </c>
      <c r="E1377" t="s">
        <v>9</v>
      </c>
      <c r="F1377" t="s">
        <v>10</v>
      </c>
      <c r="G1377">
        <v>1</v>
      </c>
      <c r="H1377" t="s">
        <v>11</v>
      </c>
      <c r="I1377" s="2">
        <v>62000</v>
      </c>
      <c r="J1377" t="s">
        <v>19</v>
      </c>
      <c r="K1377" s="3">
        <f t="shared" si="42"/>
        <v>62000</v>
      </c>
      <c r="L1377" t="str">
        <f t="shared" si="43"/>
        <v>2025-08</v>
      </c>
    </row>
    <row r="1378" spans="1:12" x14ac:dyDescent="0.25">
      <c r="A1378">
        <v>2382</v>
      </c>
      <c r="B1378">
        <v>41</v>
      </c>
      <c r="C1378" t="str">
        <f>IFERROR(_xlfn.XLOOKUP(B1378, Customer!A:A, Customer!B:B), "Unknown Customer")</f>
        <v>Iman Yousefi</v>
      </c>
      <c r="D1378" s="1">
        <v>45692</v>
      </c>
      <c r="E1378" t="s">
        <v>31</v>
      </c>
      <c r="F1378" t="s">
        <v>17</v>
      </c>
      <c r="G1378">
        <v>1</v>
      </c>
      <c r="H1378" t="s">
        <v>11</v>
      </c>
      <c r="I1378" s="2">
        <v>35000</v>
      </c>
      <c r="J1378" t="s">
        <v>24</v>
      </c>
      <c r="K1378" s="3">
        <f t="shared" si="42"/>
        <v>35000</v>
      </c>
      <c r="L1378" t="str">
        <f t="shared" si="43"/>
        <v>2025-02</v>
      </c>
    </row>
    <row r="1379" spans="1:12" x14ac:dyDescent="0.25">
      <c r="A1379">
        <v>2383</v>
      </c>
      <c r="B1379">
        <v>89</v>
      </c>
      <c r="C1379" t="str">
        <f>IFERROR(_xlfn.XLOOKUP(B1379, Customer!A:A, Customer!B:B), "Unknown Customer")</f>
        <v>Mona Moradi</v>
      </c>
      <c r="D1379" s="1">
        <v>45726</v>
      </c>
      <c r="E1379" t="s">
        <v>18</v>
      </c>
      <c r="F1379" t="s">
        <v>14</v>
      </c>
      <c r="G1379">
        <v>1</v>
      </c>
      <c r="H1379" t="s">
        <v>11</v>
      </c>
      <c r="I1379" s="2">
        <v>50000</v>
      </c>
      <c r="J1379" t="s">
        <v>28</v>
      </c>
      <c r="K1379" s="3">
        <f t="shared" si="42"/>
        <v>50000</v>
      </c>
      <c r="L1379" t="str">
        <f t="shared" si="43"/>
        <v>2025-03</v>
      </c>
    </row>
    <row r="1380" spans="1:12" x14ac:dyDescent="0.25">
      <c r="A1380">
        <v>2384</v>
      </c>
      <c r="B1380">
        <v>21</v>
      </c>
      <c r="C1380" t="str">
        <f>IFERROR(_xlfn.XLOOKUP(B1380, Customer!A:A, Customer!B:B), "Unknown Customer")</f>
        <v>Sina Naderi</v>
      </c>
      <c r="D1380" s="1">
        <v>45837</v>
      </c>
      <c r="E1380" t="s">
        <v>18</v>
      </c>
      <c r="F1380" t="s">
        <v>14</v>
      </c>
      <c r="G1380">
        <v>1</v>
      </c>
      <c r="H1380" t="s">
        <v>11</v>
      </c>
      <c r="I1380" s="2">
        <v>55320</v>
      </c>
      <c r="J1380" t="s">
        <v>21</v>
      </c>
      <c r="K1380" s="3">
        <f t="shared" si="42"/>
        <v>55320</v>
      </c>
      <c r="L1380" t="str">
        <f t="shared" si="43"/>
        <v>2025-06</v>
      </c>
    </row>
    <row r="1381" spans="1:12" x14ac:dyDescent="0.25">
      <c r="A1381">
        <v>2385</v>
      </c>
      <c r="B1381">
        <v>106</v>
      </c>
      <c r="C1381" t="str">
        <f>IFERROR(_xlfn.XLOOKUP(B1381, Customer!A:A, Customer!B:B), "Unknown Customer")</f>
        <v>Iman Zare</v>
      </c>
      <c r="D1381" s="1">
        <v>45957</v>
      </c>
      <c r="E1381" t="s">
        <v>31</v>
      </c>
      <c r="F1381" t="s">
        <v>17</v>
      </c>
      <c r="G1381">
        <v>1</v>
      </c>
      <c r="H1381" t="s">
        <v>11</v>
      </c>
      <c r="I1381" s="2">
        <v>45000</v>
      </c>
      <c r="J1381" t="s">
        <v>28</v>
      </c>
      <c r="K1381" s="3">
        <f t="shared" si="42"/>
        <v>45000</v>
      </c>
      <c r="L1381" t="str">
        <f t="shared" si="43"/>
        <v>2025-10</v>
      </c>
    </row>
    <row r="1382" spans="1:12" x14ac:dyDescent="0.25">
      <c r="A1382">
        <v>2386</v>
      </c>
      <c r="B1382">
        <v>70</v>
      </c>
      <c r="C1382" t="str">
        <f>IFERROR(_xlfn.XLOOKUP(B1382, Customer!A:A, Customer!B:B), "Unknown Customer")</f>
        <v>Iman Naderi</v>
      </c>
      <c r="D1382" s="1">
        <v>45995</v>
      </c>
      <c r="E1382" t="s">
        <v>27</v>
      </c>
      <c r="F1382" t="s">
        <v>14</v>
      </c>
      <c r="G1382">
        <v>2</v>
      </c>
      <c r="H1382" t="s">
        <v>11</v>
      </c>
      <c r="I1382" s="2">
        <v>35000</v>
      </c>
      <c r="J1382" t="s">
        <v>21</v>
      </c>
      <c r="K1382" s="3">
        <f t="shared" si="42"/>
        <v>70000</v>
      </c>
      <c r="L1382" t="str">
        <f t="shared" si="43"/>
        <v>2025-12</v>
      </c>
    </row>
    <row r="1383" spans="1:12" x14ac:dyDescent="0.25">
      <c r="A1383">
        <v>2387</v>
      </c>
      <c r="B1383">
        <v>23</v>
      </c>
      <c r="C1383" t="str">
        <f>IFERROR(_xlfn.XLOOKUP(B1383, Customer!A:A, Customer!B:B), "Unknown Customer")</f>
        <v>Milad Rezaei</v>
      </c>
      <c r="D1383" s="1">
        <v>45946</v>
      </c>
      <c r="E1383" t="s">
        <v>9</v>
      </c>
      <c r="F1383" t="s">
        <v>10</v>
      </c>
      <c r="G1383">
        <v>4</v>
      </c>
      <c r="H1383" t="s">
        <v>11</v>
      </c>
      <c r="I1383" s="2">
        <v>67000</v>
      </c>
      <c r="J1383" t="s">
        <v>21</v>
      </c>
      <c r="K1383" s="3">
        <f t="shared" si="42"/>
        <v>268000</v>
      </c>
      <c r="L1383" t="str">
        <f t="shared" si="43"/>
        <v>2025-10</v>
      </c>
    </row>
    <row r="1384" spans="1:12" x14ac:dyDescent="0.25">
      <c r="A1384">
        <v>2388</v>
      </c>
      <c r="B1384">
        <v>74</v>
      </c>
      <c r="C1384" t="str">
        <f>IFERROR(_xlfn.XLOOKUP(B1384, Customer!A:A, Customer!B:B), "Unknown Customer")</f>
        <v>Amir Vakili</v>
      </c>
      <c r="D1384" s="1">
        <v>45819</v>
      </c>
      <c r="E1384" t="s">
        <v>20</v>
      </c>
      <c r="F1384" t="s">
        <v>17</v>
      </c>
      <c r="G1384">
        <v>1</v>
      </c>
      <c r="H1384" t="s">
        <v>11</v>
      </c>
      <c r="I1384" s="2">
        <v>50000</v>
      </c>
      <c r="J1384" t="s">
        <v>24</v>
      </c>
      <c r="K1384" s="3">
        <f t="shared" si="42"/>
        <v>50000</v>
      </c>
      <c r="L1384" t="str">
        <f t="shared" si="43"/>
        <v>2025-06</v>
      </c>
    </row>
    <row r="1385" spans="1:12" x14ac:dyDescent="0.25">
      <c r="A1385">
        <v>2389</v>
      </c>
      <c r="B1385">
        <v>12</v>
      </c>
      <c r="C1385" t="str">
        <f>IFERROR(_xlfn.XLOOKUP(B1385, Customer!A:A, Customer!B:B), "Unknown Customer")</f>
        <v>Golnaz Karimi</v>
      </c>
      <c r="D1385" s="1">
        <v>45733</v>
      </c>
      <c r="E1385" t="s">
        <v>20</v>
      </c>
      <c r="F1385" t="s">
        <v>17</v>
      </c>
      <c r="G1385">
        <v>2</v>
      </c>
      <c r="H1385" t="s">
        <v>11</v>
      </c>
      <c r="I1385" s="2">
        <v>45000</v>
      </c>
      <c r="J1385" t="s">
        <v>19</v>
      </c>
      <c r="K1385" s="3">
        <f t="shared" si="42"/>
        <v>90000</v>
      </c>
      <c r="L1385" t="str">
        <f t="shared" si="43"/>
        <v>2025-03</v>
      </c>
    </row>
    <row r="1386" spans="1:12" x14ac:dyDescent="0.25">
      <c r="A1386">
        <v>2390</v>
      </c>
      <c r="B1386">
        <v>18</v>
      </c>
      <c r="C1386" t="str">
        <f>IFERROR(_xlfn.XLOOKUP(B1386, Customer!A:A, Customer!B:B), "Unknown Customer")</f>
        <v>Niloofar Abbasi</v>
      </c>
      <c r="D1386" s="1">
        <v>45883</v>
      </c>
      <c r="E1386" t="s">
        <v>23</v>
      </c>
      <c r="F1386" t="s">
        <v>17</v>
      </c>
      <c r="G1386">
        <v>1</v>
      </c>
      <c r="H1386" t="s">
        <v>11</v>
      </c>
      <c r="I1386" s="2">
        <v>85000</v>
      </c>
      <c r="J1386" t="s">
        <v>24</v>
      </c>
      <c r="K1386" s="3">
        <f t="shared" si="42"/>
        <v>85000</v>
      </c>
      <c r="L1386" t="str">
        <f t="shared" si="43"/>
        <v>2025-08</v>
      </c>
    </row>
    <row r="1387" spans="1:12" x14ac:dyDescent="0.25">
      <c r="A1387">
        <v>2391</v>
      </c>
      <c r="B1387">
        <v>72</v>
      </c>
      <c r="C1387" t="str">
        <f>IFERROR(_xlfn.XLOOKUP(B1387, Customer!A:A, Customer!B:B), "Unknown Customer")</f>
        <v>Roya Rostami</v>
      </c>
      <c r="D1387" s="1">
        <v>45851</v>
      </c>
      <c r="E1387" t="s">
        <v>31</v>
      </c>
      <c r="F1387" t="s">
        <v>17</v>
      </c>
      <c r="G1387">
        <v>1</v>
      </c>
      <c r="H1387" t="s">
        <v>11</v>
      </c>
      <c r="I1387" s="2">
        <v>40428.571428571428</v>
      </c>
      <c r="J1387" t="s">
        <v>28</v>
      </c>
      <c r="K1387" s="3">
        <f t="shared" si="42"/>
        <v>40428.571428571428</v>
      </c>
      <c r="L1387" t="str">
        <f t="shared" si="43"/>
        <v>2025-07</v>
      </c>
    </row>
    <row r="1388" spans="1:12" x14ac:dyDescent="0.25">
      <c r="A1388">
        <v>2392</v>
      </c>
      <c r="B1388">
        <v>11</v>
      </c>
      <c r="C1388" t="str">
        <f>IFERROR(_xlfn.XLOOKUP(B1388, Customer!A:A, Customer!B:B), "Unknown Customer")</f>
        <v>Leila Kazemi</v>
      </c>
      <c r="D1388" s="1">
        <v>45767</v>
      </c>
      <c r="E1388" t="s">
        <v>20</v>
      </c>
      <c r="F1388" t="s">
        <v>17</v>
      </c>
      <c r="G1388">
        <v>3</v>
      </c>
      <c r="H1388" t="s">
        <v>11</v>
      </c>
      <c r="I1388" s="2">
        <v>50000</v>
      </c>
      <c r="J1388" t="s">
        <v>15</v>
      </c>
      <c r="K1388" s="3">
        <f t="shared" si="42"/>
        <v>150000</v>
      </c>
      <c r="L1388" t="str">
        <f t="shared" si="43"/>
        <v>2025-04</v>
      </c>
    </row>
    <row r="1389" spans="1:12" x14ac:dyDescent="0.25">
      <c r="A1389">
        <v>2393</v>
      </c>
      <c r="B1389">
        <v>89</v>
      </c>
      <c r="C1389" t="str">
        <f>IFERROR(_xlfn.XLOOKUP(B1389, Customer!A:A, Customer!B:B), "Unknown Customer")</f>
        <v>Mona Moradi</v>
      </c>
      <c r="D1389" s="1">
        <v>46008</v>
      </c>
      <c r="E1389" t="s">
        <v>9</v>
      </c>
      <c r="F1389" t="s">
        <v>10</v>
      </c>
      <c r="G1389">
        <v>3</v>
      </c>
      <c r="H1389" t="s">
        <v>11</v>
      </c>
      <c r="I1389" s="2">
        <v>62000</v>
      </c>
      <c r="J1389" t="s">
        <v>21</v>
      </c>
      <c r="K1389" s="3">
        <f t="shared" si="42"/>
        <v>186000</v>
      </c>
      <c r="L1389" t="str">
        <f t="shared" si="43"/>
        <v>2025-12</v>
      </c>
    </row>
    <row r="1390" spans="1:12" x14ac:dyDescent="0.25">
      <c r="A1390">
        <v>2394</v>
      </c>
      <c r="B1390">
        <v>110</v>
      </c>
      <c r="C1390" t="str">
        <f>IFERROR(_xlfn.XLOOKUP(B1390, Customer!A:A, Customer!B:B), "Unknown Customer")</f>
        <v>Parisa Mousavi</v>
      </c>
      <c r="D1390" s="1">
        <v>45942</v>
      </c>
      <c r="E1390" t="s">
        <v>16</v>
      </c>
      <c r="F1390" t="s">
        <v>17</v>
      </c>
      <c r="G1390">
        <v>1</v>
      </c>
      <c r="H1390" t="s">
        <v>11</v>
      </c>
      <c r="I1390" s="2">
        <v>80000</v>
      </c>
      <c r="J1390" t="s">
        <v>15</v>
      </c>
      <c r="K1390" s="3">
        <f t="shared" si="42"/>
        <v>80000</v>
      </c>
      <c r="L1390" t="str">
        <f t="shared" si="43"/>
        <v>2025-10</v>
      </c>
    </row>
    <row r="1391" spans="1:12" x14ac:dyDescent="0.25">
      <c r="A1391">
        <v>2395</v>
      </c>
      <c r="B1391">
        <v>48</v>
      </c>
      <c r="C1391" t="str">
        <f>IFERROR(_xlfn.XLOOKUP(B1391, Customer!A:A, Customer!B:B), "Unknown Customer")</f>
        <v>Hamed Jafari</v>
      </c>
      <c r="D1391" s="1">
        <v>45809</v>
      </c>
      <c r="E1391" t="s">
        <v>13</v>
      </c>
      <c r="F1391" t="s">
        <v>14</v>
      </c>
      <c r="G1391">
        <v>1</v>
      </c>
      <c r="H1391" t="s">
        <v>11</v>
      </c>
      <c r="I1391" s="2">
        <v>63000</v>
      </c>
      <c r="J1391" t="s">
        <v>28</v>
      </c>
      <c r="K1391" s="3">
        <f t="shared" si="42"/>
        <v>63000</v>
      </c>
      <c r="L1391" t="str">
        <f t="shared" si="43"/>
        <v>2025-06</v>
      </c>
    </row>
    <row r="1392" spans="1:12" x14ac:dyDescent="0.25">
      <c r="A1392">
        <v>2396</v>
      </c>
      <c r="B1392">
        <v>40</v>
      </c>
      <c r="C1392" t="str">
        <f>IFERROR(_xlfn.XLOOKUP(B1392, Customer!A:A, Customer!B:B), "Unknown Customer")</f>
        <v>Nazanin Hosseini</v>
      </c>
      <c r="D1392" s="1">
        <v>45706</v>
      </c>
      <c r="E1392" t="s">
        <v>25</v>
      </c>
      <c r="F1392" t="s">
        <v>10</v>
      </c>
      <c r="G1392">
        <v>2</v>
      </c>
      <c r="H1392" t="s">
        <v>11</v>
      </c>
      <c r="I1392" s="2">
        <v>60000</v>
      </c>
      <c r="J1392" t="s">
        <v>19</v>
      </c>
      <c r="K1392" s="3">
        <f t="shared" si="42"/>
        <v>120000</v>
      </c>
      <c r="L1392" t="str">
        <f t="shared" si="43"/>
        <v>2025-02</v>
      </c>
    </row>
    <row r="1393" spans="1:12" x14ac:dyDescent="0.25">
      <c r="A1393">
        <v>2397</v>
      </c>
      <c r="B1393">
        <v>83</v>
      </c>
      <c r="C1393" t="str">
        <f>IFERROR(_xlfn.XLOOKUP(B1393, Customer!A:A, Customer!B:B), "Unknown Customer")</f>
        <v>Roya Yousefi</v>
      </c>
      <c r="D1393" s="1">
        <v>45986</v>
      </c>
      <c r="E1393" t="s">
        <v>9</v>
      </c>
      <c r="F1393" t="s">
        <v>10</v>
      </c>
      <c r="G1393">
        <v>-1</v>
      </c>
      <c r="H1393" t="s">
        <v>26</v>
      </c>
      <c r="I1393" s="2">
        <v>62000</v>
      </c>
      <c r="J1393" t="s">
        <v>32</v>
      </c>
      <c r="K1393" s="3">
        <f t="shared" si="42"/>
        <v>-62000</v>
      </c>
      <c r="L1393" t="str">
        <f t="shared" si="43"/>
        <v>2025-11</v>
      </c>
    </row>
    <row r="1394" spans="1:12" x14ac:dyDescent="0.25">
      <c r="A1394">
        <v>2398</v>
      </c>
      <c r="B1394">
        <v>106</v>
      </c>
      <c r="C1394" t="str">
        <f>IFERROR(_xlfn.XLOOKUP(B1394, Customer!A:A, Customer!B:B), "Unknown Customer")</f>
        <v>Iman Zare</v>
      </c>
      <c r="D1394" s="1">
        <v>45899</v>
      </c>
      <c r="E1394" t="s">
        <v>29</v>
      </c>
      <c r="F1394" t="s">
        <v>14</v>
      </c>
      <c r="G1394">
        <v>2</v>
      </c>
      <c r="H1394" t="s">
        <v>11</v>
      </c>
      <c r="I1394" s="2">
        <v>45000</v>
      </c>
      <c r="J1394" t="s">
        <v>19</v>
      </c>
      <c r="K1394" s="3">
        <f t="shared" si="42"/>
        <v>90000</v>
      </c>
      <c r="L1394" t="str">
        <f t="shared" si="43"/>
        <v>2025-08</v>
      </c>
    </row>
    <row r="1395" spans="1:12" x14ac:dyDescent="0.25">
      <c r="A1395">
        <v>2399</v>
      </c>
      <c r="B1395">
        <v>48</v>
      </c>
      <c r="C1395" t="str">
        <f>IFERROR(_xlfn.XLOOKUP(B1395, Customer!A:A, Customer!B:B), "Unknown Customer")</f>
        <v>Hamed Jafari</v>
      </c>
      <c r="D1395" s="1">
        <v>45971</v>
      </c>
      <c r="E1395" t="s">
        <v>29</v>
      </c>
      <c r="F1395" t="s">
        <v>14</v>
      </c>
      <c r="G1395">
        <v>3</v>
      </c>
      <c r="H1395" t="s">
        <v>11</v>
      </c>
      <c r="I1395" s="2">
        <v>45000</v>
      </c>
      <c r="J1395" t="s">
        <v>15</v>
      </c>
      <c r="K1395" s="3">
        <f t="shared" si="42"/>
        <v>135000</v>
      </c>
      <c r="L1395" t="str">
        <f t="shared" si="43"/>
        <v>2025-11</v>
      </c>
    </row>
  </sheetData>
  <autoFilter ref="A1:J1395" xr:uid="{CADDF34E-6A35-4F98-A64C-EBEA27CA32F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ACC9-B4D6-46FF-A84B-8674966D9285}">
  <dimension ref="A1:E121"/>
  <sheetViews>
    <sheetView workbookViewId="0">
      <selection activeCell="E1" sqref="E1:E1048576"/>
    </sheetView>
  </sheetViews>
  <sheetFormatPr defaultRowHeight="15" x14ac:dyDescent="0.25"/>
  <cols>
    <col min="1" max="1" width="11.85546875" bestFit="1" customWidth="1"/>
    <col min="2" max="2" width="16.85546875" bestFit="1" customWidth="1"/>
    <col min="3" max="3" width="31.42578125" bestFit="1" customWidth="1"/>
    <col min="4" max="4" width="9.28515625" bestFit="1" customWidth="1"/>
    <col min="5" max="5" width="11.7109375" style="1" bestFit="1" customWidth="1"/>
  </cols>
  <sheetData>
    <row r="1" spans="1:5" x14ac:dyDescent="0.25">
      <c r="A1" t="s">
        <v>1</v>
      </c>
      <c r="B1" t="s">
        <v>51</v>
      </c>
      <c r="C1" t="s">
        <v>52</v>
      </c>
      <c r="D1" t="s">
        <v>53</v>
      </c>
      <c r="E1" s="1" t="s">
        <v>54</v>
      </c>
    </row>
    <row r="2" spans="1:5" x14ac:dyDescent="0.25">
      <c r="A2">
        <v>1</v>
      </c>
      <c r="B2" t="s">
        <v>55</v>
      </c>
      <c r="C2" t="s">
        <v>56</v>
      </c>
      <c r="D2" t="s">
        <v>57</v>
      </c>
      <c r="E2" s="1">
        <v>45542</v>
      </c>
    </row>
    <row r="3" spans="1:5" x14ac:dyDescent="0.25">
      <c r="A3">
        <v>2</v>
      </c>
      <c r="B3" t="s">
        <v>58</v>
      </c>
      <c r="C3" t="s">
        <v>59</v>
      </c>
      <c r="D3" t="s">
        <v>60</v>
      </c>
      <c r="E3" s="1">
        <v>45324</v>
      </c>
    </row>
    <row r="4" spans="1:5" x14ac:dyDescent="0.25">
      <c r="A4">
        <v>3</v>
      </c>
      <c r="B4" t="s">
        <v>61</v>
      </c>
      <c r="C4" t="s">
        <v>62</v>
      </c>
      <c r="D4" t="s">
        <v>57</v>
      </c>
      <c r="E4" s="1">
        <v>45495</v>
      </c>
    </row>
    <row r="5" spans="1:5" x14ac:dyDescent="0.25">
      <c r="A5">
        <v>4</v>
      </c>
      <c r="B5" t="s">
        <v>63</v>
      </c>
      <c r="C5" t="s">
        <v>64</v>
      </c>
      <c r="D5" t="s">
        <v>65</v>
      </c>
      <c r="E5" s="1">
        <v>45895</v>
      </c>
    </row>
    <row r="6" spans="1:5" x14ac:dyDescent="0.25">
      <c r="A6">
        <v>5</v>
      </c>
      <c r="B6" t="s">
        <v>66</v>
      </c>
      <c r="C6" t="s">
        <v>67</v>
      </c>
      <c r="D6" t="s">
        <v>68</v>
      </c>
      <c r="E6" s="1">
        <v>45576</v>
      </c>
    </row>
    <row r="7" spans="1:5" x14ac:dyDescent="0.25">
      <c r="A7">
        <v>6</v>
      </c>
      <c r="B7" t="s">
        <v>69</v>
      </c>
      <c r="C7" t="s">
        <v>70</v>
      </c>
      <c r="D7" t="s">
        <v>60</v>
      </c>
      <c r="E7" s="1">
        <v>45681</v>
      </c>
    </row>
    <row r="8" spans="1:5" x14ac:dyDescent="0.25">
      <c r="A8">
        <v>7</v>
      </c>
      <c r="B8" t="s">
        <v>71</v>
      </c>
      <c r="C8" t="s">
        <v>72</v>
      </c>
      <c r="D8" t="s">
        <v>73</v>
      </c>
      <c r="E8" s="1">
        <v>45762</v>
      </c>
    </row>
    <row r="9" spans="1:5" x14ac:dyDescent="0.25">
      <c r="A9">
        <v>8</v>
      </c>
      <c r="B9" t="s">
        <v>74</v>
      </c>
      <c r="C9" t="s">
        <v>75</v>
      </c>
      <c r="D9" t="s">
        <v>60</v>
      </c>
      <c r="E9" s="1">
        <v>45935</v>
      </c>
    </row>
    <row r="10" spans="1:5" x14ac:dyDescent="0.25">
      <c r="A10">
        <v>9</v>
      </c>
      <c r="B10" t="s">
        <v>76</v>
      </c>
      <c r="C10" t="s">
        <v>77</v>
      </c>
      <c r="D10" t="s">
        <v>65</v>
      </c>
      <c r="E10" s="1">
        <v>45363</v>
      </c>
    </row>
    <row r="11" spans="1:5" x14ac:dyDescent="0.25">
      <c r="A11">
        <v>10</v>
      </c>
      <c r="B11" t="s">
        <v>78</v>
      </c>
      <c r="C11" t="s">
        <v>79</v>
      </c>
      <c r="D11" t="s">
        <v>60</v>
      </c>
      <c r="E11" s="1">
        <v>45395</v>
      </c>
    </row>
    <row r="12" spans="1:5" x14ac:dyDescent="0.25">
      <c r="A12">
        <v>11</v>
      </c>
      <c r="B12" t="s">
        <v>80</v>
      </c>
      <c r="C12" t="s">
        <v>81</v>
      </c>
      <c r="D12" t="s">
        <v>82</v>
      </c>
      <c r="E12" s="1">
        <v>45655</v>
      </c>
    </row>
    <row r="13" spans="1:5" x14ac:dyDescent="0.25">
      <c r="A13">
        <v>12</v>
      </c>
      <c r="B13" t="s">
        <v>83</v>
      </c>
      <c r="C13" t="s">
        <v>84</v>
      </c>
      <c r="D13" t="s">
        <v>82</v>
      </c>
      <c r="E13" s="1">
        <v>45459</v>
      </c>
    </row>
    <row r="14" spans="1:5" x14ac:dyDescent="0.25">
      <c r="A14">
        <v>13</v>
      </c>
      <c r="B14" t="s">
        <v>85</v>
      </c>
      <c r="C14" t="s">
        <v>86</v>
      </c>
      <c r="D14" t="s">
        <v>65</v>
      </c>
      <c r="E14" s="1">
        <v>45624</v>
      </c>
    </row>
    <row r="15" spans="1:5" x14ac:dyDescent="0.25">
      <c r="A15">
        <v>14</v>
      </c>
      <c r="B15" t="s">
        <v>87</v>
      </c>
      <c r="C15" t="s">
        <v>88</v>
      </c>
      <c r="D15" t="s">
        <v>57</v>
      </c>
      <c r="E15" s="1">
        <v>45702</v>
      </c>
    </row>
    <row r="16" spans="1:5" x14ac:dyDescent="0.25">
      <c r="A16">
        <v>15</v>
      </c>
      <c r="B16" t="s">
        <v>89</v>
      </c>
      <c r="C16" t="s">
        <v>90</v>
      </c>
      <c r="D16" t="s">
        <v>91</v>
      </c>
      <c r="E16" s="1">
        <v>45963</v>
      </c>
    </row>
    <row r="17" spans="1:5" x14ac:dyDescent="0.25">
      <c r="A17">
        <v>16</v>
      </c>
      <c r="B17" t="s">
        <v>92</v>
      </c>
      <c r="C17" t="s">
        <v>93</v>
      </c>
      <c r="D17" t="s">
        <v>82</v>
      </c>
      <c r="E17" s="1">
        <v>45434</v>
      </c>
    </row>
    <row r="18" spans="1:5" x14ac:dyDescent="0.25">
      <c r="A18">
        <v>17</v>
      </c>
      <c r="B18" t="s">
        <v>94</v>
      </c>
      <c r="C18" t="s">
        <v>95</v>
      </c>
      <c r="D18" t="s">
        <v>68</v>
      </c>
      <c r="E18" s="1">
        <v>45700</v>
      </c>
    </row>
    <row r="19" spans="1:5" x14ac:dyDescent="0.25">
      <c r="A19">
        <v>18</v>
      </c>
      <c r="B19" t="s">
        <v>96</v>
      </c>
      <c r="C19" t="s">
        <v>97</v>
      </c>
      <c r="D19" t="s">
        <v>98</v>
      </c>
      <c r="E19" s="1">
        <v>45340</v>
      </c>
    </row>
    <row r="20" spans="1:5" x14ac:dyDescent="0.25">
      <c r="A20">
        <v>19</v>
      </c>
      <c r="B20" t="s">
        <v>99</v>
      </c>
      <c r="C20" t="s">
        <v>100</v>
      </c>
      <c r="D20" t="s">
        <v>68</v>
      </c>
      <c r="E20" s="1">
        <v>45357</v>
      </c>
    </row>
    <row r="21" spans="1:5" x14ac:dyDescent="0.25">
      <c r="A21">
        <v>20</v>
      </c>
      <c r="B21" t="s">
        <v>101</v>
      </c>
      <c r="C21" t="s">
        <v>102</v>
      </c>
      <c r="D21" t="s">
        <v>73</v>
      </c>
      <c r="E21" s="1">
        <v>45303</v>
      </c>
    </row>
    <row r="22" spans="1:5" x14ac:dyDescent="0.25">
      <c r="A22">
        <v>21</v>
      </c>
      <c r="B22" t="s">
        <v>103</v>
      </c>
      <c r="C22" t="s">
        <v>104</v>
      </c>
      <c r="D22" t="s">
        <v>73</v>
      </c>
      <c r="E22" s="1">
        <v>45640</v>
      </c>
    </row>
    <row r="23" spans="1:5" x14ac:dyDescent="0.25">
      <c r="A23">
        <v>22</v>
      </c>
      <c r="B23" t="s">
        <v>105</v>
      </c>
      <c r="C23" t="s">
        <v>106</v>
      </c>
      <c r="D23" t="s">
        <v>57</v>
      </c>
      <c r="E23" s="1">
        <v>45804</v>
      </c>
    </row>
    <row r="24" spans="1:5" x14ac:dyDescent="0.25">
      <c r="A24">
        <v>23</v>
      </c>
      <c r="B24" t="s">
        <v>107</v>
      </c>
      <c r="C24" t="s">
        <v>108</v>
      </c>
      <c r="D24" t="s">
        <v>73</v>
      </c>
      <c r="E24" s="1">
        <v>45811</v>
      </c>
    </row>
    <row r="25" spans="1:5" x14ac:dyDescent="0.25">
      <c r="A25">
        <v>24</v>
      </c>
      <c r="B25" t="s">
        <v>109</v>
      </c>
      <c r="C25" t="s">
        <v>88</v>
      </c>
      <c r="D25" t="s">
        <v>57</v>
      </c>
      <c r="E25" s="1">
        <v>45623</v>
      </c>
    </row>
    <row r="26" spans="1:5" x14ac:dyDescent="0.25">
      <c r="A26">
        <v>25</v>
      </c>
      <c r="B26" t="s">
        <v>110</v>
      </c>
      <c r="C26" t="s">
        <v>111</v>
      </c>
      <c r="D26" t="s">
        <v>73</v>
      </c>
      <c r="E26" s="1">
        <v>45351</v>
      </c>
    </row>
    <row r="27" spans="1:5" x14ac:dyDescent="0.25">
      <c r="A27">
        <v>26</v>
      </c>
      <c r="B27" t="s">
        <v>112</v>
      </c>
      <c r="C27" t="s">
        <v>113</v>
      </c>
      <c r="D27" t="s">
        <v>98</v>
      </c>
      <c r="E27" s="1">
        <v>45837</v>
      </c>
    </row>
    <row r="28" spans="1:5" x14ac:dyDescent="0.25">
      <c r="A28">
        <v>27</v>
      </c>
      <c r="B28" t="s">
        <v>114</v>
      </c>
      <c r="C28" t="s">
        <v>115</v>
      </c>
      <c r="D28" t="s">
        <v>82</v>
      </c>
      <c r="E28" s="1">
        <v>45832</v>
      </c>
    </row>
    <row r="29" spans="1:5" x14ac:dyDescent="0.25">
      <c r="A29">
        <v>28</v>
      </c>
      <c r="B29" t="s">
        <v>116</v>
      </c>
      <c r="C29" t="s">
        <v>117</v>
      </c>
      <c r="D29" t="s">
        <v>65</v>
      </c>
      <c r="E29" s="1">
        <v>45611</v>
      </c>
    </row>
    <row r="30" spans="1:5" x14ac:dyDescent="0.25">
      <c r="A30">
        <v>29</v>
      </c>
      <c r="B30" t="s">
        <v>80</v>
      </c>
      <c r="C30" t="s">
        <v>118</v>
      </c>
      <c r="D30" t="s">
        <v>98</v>
      </c>
      <c r="E30" s="1">
        <v>45754</v>
      </c>
    </row>
    <row r="31" spans="1:5" x14ac:dyDescent="0.25">
      <c r="A31">
        <v>30</v>
      </c>
      <c r="B31" t="s">
        <v>119</v>
      </c>
      <c r="C31" t="s">
        <v>120</v>
      </c>
      <c r="D31" t="s">
        <v>57</v>
      </c>
      <c r="E31" s="1">
        <v>45859</v>
      </c>
    </row>
    <row r="32" spans="1:5" x14ac:dyDescent="0.25">
      <c r="A32">
        <v>31</v>
      </c>
      <c r="B32" t="s">
        <v>121</v>
      </c>
      <c r="C32" t="s">
        <v>88</v>
      </c>
      <c r="D32" t="s">
        <v>57</v>
      </c>
      <c r="E32" s="1">
        <v>45361</v>
      </c>
    </row>
    <row r="33" spans="1:5" x14ac:dyDescent="0.25">
      <c r="A33">
        <v>32</v>
      </c>
      <c r="B33" t="s">
        <v>122</v>
      </c>
      <c r="C33" t="s">
        <v>123</v>
      </c>
      <c r="D33" t="s">
        <v>65</v>
      </c>
      <c r="E33" s="1">
        <v>45977</v>
      </c>
    </row>
    <row r="34" spans="1:5" x14ac:dyDescent="0.25">
      <c r="A34">
        <v>33</v>
      </c>
      <c r="B34" t="s">
        <v>124</v>
      </c>
      <c r="C34" t="s">
        <v>125</v>
      </c>
      <c r="D34" t="s">
        <v>98</v>
      </c>
      <c r="E34" s="1">
        <v>45776</v>
      </c>
    </row>
    <row r="35" spans="1:5" x14ac:dyDescent="0.25">
      <c r="A35">
        <v>34</v>
      </c>
      <c r="B35" t="s">
        <v>126</v>
      </c>
      <c r="C35" t="s">
        <v>127</v>
      </c>
      <c r="D35" t="s">
        <v>68</v>
      </c>
      <c r="E35" s="1">
        <v>45725</v>
      </c>
    </row>
    <row r="36" spans="1:5" x14ac:dyDescent="0.25">
      <c r="A36">
        <v>35</v>
      </c>
      <c r="B36" t="s">
        <v>128</v>
      </c>
      <c r="C36" t="s">
        <v>129</v>
      </c>
      <c r="D36" t="s">
        <v>60</v>
      </c>
      <c r="E36" s="1">
        <v>45704</v>
      </c>
    </row>
    <row r="37" spans="1:5" x14ac:dyDescent="0.25">
      <c r="A37">
        <v>36</v>
      </c>
      <c r="B37" t="s">
        <v>130</v>
      </c>
      <c r="C37" t="s">
        <v>131</v>
      </c>
      <c r="D37" t="s">
        <v>65</v>
      </c>
      <c r="E37" s="1">
        <v>45486</v>
      </c>
    </row>
    <row r="38" spans="1:5" x14ac:dyDescent="0.25">
      <c r="A38">
        <v>37</v>
      </c>
      <c r="B38" t="s">
        <v>132</v>
      </c>
      <c r="C38" t="s">
        <v>133</v>
      </c>
      <c r="D38" t="s">
        <v>73</v>
      </c>
      <c r="E38" s="1">
        <v>45547</v>
      </c>
    </row>
    <row r="39" spans="1:5" x14ac:dyDescent="0.25">
      <c r="A39">
        <v>38</v>
      </c>
      <c r="B39" t="s">
        <v>134</v>
      </c>
      <c r="C39" t="s">
        <v>135</v>
      </c>
      <c r="D39" t="s">
        <v>60</v>
      </c>
      <c r="E39" s="1">
        <v>45959</v>
      </c>
    </row>
    <row r="40" spans="1:5" x14ac:dyDescent="0.25">
      <c r="A40">
        <v>39</v>
      </c>
      <c r="B40" t="s">
        <v>136</v>
      </c>
      <c r="C40" t="s">
        <v>137</v>
      </c>
      <c r="D40" t="s">
        <v>82</v>
      </c>
      <c r="E40" s="1">
        <v>45789</v>
      </c>
    </row>
    <row r="41" spans="1:5" x14ac:dyDescent="0.25">
      <c r="A41">
        <v>40</v>
      </c>
      <c r="B41" t="s">
        <v>138</v>
      </c>
      <c r="C41" t="s">
        <v>139</v>
      </c>
      <c r="D41" t="s">
        <v>82</v>
      </c>
      <c r="E41" s="1">
        <v>45294</v>
      </c>
    </row>
    <row r="42" spans="1:5" x14ac:dyDescent="0.25">
      <c r="A42">
        <v>41</v>
      </c>
      <c r="B42" t="s">
        <v>140</v>
      </c>
      <c r="C42" t="s">
        <v>141</v>
      </c>
      <c r="D42" t="s">
        <v>73</v>
      </c>
      <c r="E42" s="1">
        <v>45861</v>
      </c>
    </row>
    <row r="43" spans="1:5" x14ac:dyDescent="0.25">
      <c r="A43">
        <v>42</v>
      </c>
      <c r="B43" t="s">
        <v>142</v>
      </c>
      <c r="C43" t="s">
        <v>143</v>
      </c>
      <c r="D43" t="s">
        <v>73</v>
      </c>
      <c r="E43" s="1">
        <v>45351</v>
      </c>
    </row>
    <row r="44" spans="1:5" x14ac:dyDescent="0.25">
      <c r="A44">
        <v>43</v>
      </c>
      <c r="B44" t="s">
        <v>144</v>
      </c>
      <c r="C44" t="s">
        <v>145</v>
      </c>
      <c r="D44" t="s">
        <v>57</v>
      </c>
      <c r="E44" s="1">
        <v>45890</v>
      </c>
    </row>
    <row r="45" spans="1:5" x14ac:dyDescent="0.25">
      <c r="A45">
        <v>44</v>
      </c>
      <c r="B45" t="s">
        <v>146</v>
      </c>
      <c r="C45" t="s">
        <v>147</v>
      </c>
      <c r="D45" t="s">
        <v>82</v>
      </c>
      <c r="E45" s="1">
        <v>45812</v>
      </c>
    </row>
    <row r="46" spans="1:5" x14ac:dyDescent="0.25">
      <c r="A46">
        <v>45</v>
      </c>
      <c r="B46" t="s">
        <v>148</v>
      </c>
      <c r="C46" t="s">
        <v>149</v>
      </c>
      <c r="D46" t="s">
        <v>60</v>
      </c>
      <c r="E46" s="1">
        <v>45705</v>
      </c>
    </row>
    <row r="47" spans="1:5" x14ac:dyDescent="0.25">
      <c r="A47">
        <v>46</v>
      </c>
      <c r="B47" t="s">
        <v>150</v>
      </c>
      <c r="C47" t="s">
        <v>151</v>
      </c>
      <c r="D47" t="s">
        <v>57</v>
      </c>
      <c r="E47" s="1">
        <v>45375</v>
      </c>
    </row>
    <row r="48" spans="1:5" x14ac:dyDescent="0.25">
      <c r="A48">
        <v>47</v>
      </c>
      <c r="B48" t="s">
        <v>152</v>
      </c>
      <c r="C48" t="s">
        <v>153</v>
      </c>
      <c r="D48" t="s">
        <v>91</v>
      </c>
      <c r="E48" s="1">
        <v>45501</v>
      </c>
    </row>
    <row r="49" spans="1:5" x14ac:dyDescent="0.25">
      <c r="A49">
        <v>48</v>
      </c>
      <c r="B49" t="s">
        <v>154</v>
      </c>
      <c r="C49" t="s">
        <v>155</v>
      </c>
      <c r="D49" t="s">
        <v>68</v>
      </c>
      <c r="E49" s="1">
        <v>45979</v>
      </c>
    </row>
    <row r="50" spans="1:5" x14ac:dyDescent="0.25">
      <c r="A50">
        <v>49</v>
      </c>
      <c r="B50" t="s">
        <v>122</v>
      </c>
      <c r="C50" t="s">
        <v>156</v>
      </c>
      <c r="D50" t="s">
        <v>57</v>
      </c>
      <c r="E50" s="1">
        <v>45928</v>
      </c>
    </row>
    <row r="51" spans="1:5" x14ac:dyDescent="0.25">
      <c r="A51">
        <v>50</v>
      </c>
      <c r="B51" t="s">
        <v>157</v>
      </c>
      <c r="C51" t="s">
        <v>158</v>
      </c>
      <c r="D51" t="s">
        <v>65</v>
      </c>
      <c r="E51" s="1">
        <v>45563</v>
      </c>
    </row>
    <row r="52" spans="1:5" x14ac:dyDescent="0.25">
      <c r="A52">
        <v>51</v>
      </c>
      <c r="B52" t="s">
        <v>159</v>
      </c>
      <c r="C52" t="s">
        <v>160</v>
      </c>
      <c r="D52" t="s">
        <v>65</v>
      </c>
      <c r="E52" s="1">
        <v>45583</v>
      </c>
    </row>
    <row r="53" spans="1:5" x14ac:dyDescent="0.25">
      <c r="A53">
        <v>52</v>
      </c>
      <c r="B53" t="s">
        <v>161</v>
      </c>
      <c r="C53" t="s">
        <v>162</v>
      </c>
      <c r="D53" t="s">
        <v>57</v>
      </c>
      <c r="E53" s="1">
        <v>45598</v>
      </c>
    </row>
    <row r="54" spans="1:5" x14ac:dyDescent="0.25">
      <c r="A54">
        <v>53</v>
      </c>
      <c r="B54" t="s">
        <v>163</v>
      </c>
      <c r="C54" t="s">
        <v>164</v>
      </c>
      <c r="D54" t="s">
        <v>73</v>
      </c>
      <c r="E54" s="1">
        <v>45401</v>
      </c>
    </row>
    <row r="55" spans="1:5" x14ac:dyDescent="0.25">
      <c r="A55">
        <v>54</v>
      </c>
      <c r="B55" t="s">
        <v>165</v>
      </c>
      <c r="C55" t="s">
        <v>166</v>
      </c>
      <c r="D55" t="s">
        <v>65</v>
      </c>
      <c r="E55" s="1">
        <v>45643</v>
      </c>
    </row>
    <row r="56" spans="1:5" x14ac:dyDescent="0.25">
      <c r="A56">
        <v>55</v>
      </c>
      <c r="B56" t="s">
        <v>167</v>
      </c>
      <c r="C56" t="s">
        <v>168</v>
      </c>
      <c r="D56" t="s">
        <v>98</v>
      </c>
      <c r="E56" s="1">
        <v>45344</v>
      </c>
    </row>
    <row r="57" spans="1:5" x14ac:dyDescent="0.25">
      <c r="A57">
        <v>56</v>
      </c>
      <c r="B57" t="s">
        <v>169</v>
      </c>
      <c r="C57" t="s">
        <v>170</v>
      </c>
      <c r="D57" t="s">
        <v>57</v>
      </c>
      <c r="E57" s="1">
        <v>45633</v>
      </c>
    </row>
    <row r="58" spans="1:5" x14ac:dyDescent="0.25">
      <c r="A58">
        <v>57</v>
      </c>
      <c r="B58" t="s">
        <v>171</v>
      </c>
      <c r="C58" t="s">
        <v>88</v>
      </c>
      <c r="D58" t="s">
        <v>98</v>
      </c>
      <c r="E58" s="1">
        <v>45729</v>
      </c>
    </row>
    <row r="59" spans="1:5" x14ac:dyDescent="0.25">
      <c r="A59">
        <v>58</v>
      </c>
      <c r="B59" t="s">
        <v>172</v>
      </c>
      <c r="C59" t="s">
        <v>173</v>
      </c>
      <c r="D59" t="s">
        <v>57</v>
      </c>
      <c r="E59" s="1">
        <v>45888</v>
      </c>
    </row>
    <row r="60" spans="1:5" x14ac:dyDescent="0.25">
      <c r="A60">
        <v>59</v>
      </c>
      <c r="B60" t="s">
        <v>174</v>
      </c>
      <c r="C60" t="s">
        <v>175</v>
      </c>
      <c r="D60" t="s">
        <v>73</v>
      </c>
      <c r="E60" s="1">
        <v>45332</v>
      </c>
    </row>
    <row r="61" spans="1:5" x14ac:dyDescent="0.25">
      <c r="A61">
        <v>60</v>
      </c>
      <c r="B61" t="s">
        <v>176</v>
      </c>
      <c r="C61" t="s">
        <v>177</v>
      </c>
      <c r="D61" t="s">
        <v>60</v>
      </c>
      <c r="E61" s="1">
        <v>45865</v>
      </c>
    </row>
    <row r="62" spans="1:5" x14ac:dyDescent="0.25">
      <c r="A62">
        <v>61</v>
      </c>
      <c r="B62" t="s">
        <v>178</v>
      </c>
      <c r="C62" t="s">
        <v>179</v>
      </c>
      <c r="D62" t="s">
        <v>65</v>
      </c>
      <c r="E62" s="1">
        <v>45473</v>
      </c>
    </row>
    <row r="63" spans="1:5" x14ac:dyDescent="0.25">
      <c r="A63">
        <v>62</v>
      </c>
      <c r="B63" t="s">
        <v>180</v>
      </c>
      <c r="C63" t="s">
        <v>181</v>
      </c>
      <c r="D63" t="s">
        <v>68</v>
      </c>
      <c r="E63" s="1">
        <v>45546</v>
      </c>
    </row>
    <row r="64" spans="1:5" x14ac:dyDescent="0.25">
      <c r="A64">
        <v>63</v>
      </c>
      <c r="B64" t="s">
        <v>182</v>
      </c>
      <c r="C64" t="s">
        <v>183</v>
      </c>
      <c r="D64" t="s">
        <v>68</v>
      </c>
      <c r="E64" s="1">
        <v>45773</v>
      </c>
    </row>
    <row r="65" spans="1:5" x14ac:dyDescent="0.25">
      <c r="A65">
        <v>64</v>
      </c>
      <c r="B65" t="s">
        <v>92</v>
      </c>
      <c r="C65" t="s">
        <v>88</v>
      </c>
      <c r="D65" t="s">
        <v>91</v>
      </c>
      <c r="E65" s="1">
        <v>45525</v>
      </c>
    </row>
    <row r="66" spans="1:5" x14ac:dyDescent="0.25">
      <c r="A66">
        <v>65</v>
      </c>
      <c r="B66" t="s">
        <v>184</v>
      </c>
      <c r="C66" t="s">
        <v>185</v>
      </c>
      <c r="D66" t="s">
        <v>91</v>
      </c>
      <c r="E66" s="1">
        <v>45363</v>
      </c>
    </row>
    <row r="67" spans="1:5" x14ac:dyDescent="0.25">
      <c r="A67">
        <v>66</v>
      </c>
      <c r="B67" t="s">
        <v>186</v>
      </c>
      <c r="C67" t="s">
        <v>187</v>
      </c>
      <c r="D67" t="s">
        <v>68</v>
      </c>
      <c r="E67" s="1">
        <v>45841</v>
      </c>
    </row>
    <row r="68" spans="1:5" x14ac:dyDescent="0.25">
      <c r="A68">
        <v>67</v>
      </c>
      <c r="B68" t="s">
        <v>188</v>
      </c>
      <c r="C68" t="s">
        <v>189</v>
      </c>
      <c r="D68" t="s">
        <v>82</v>
      </c>
      <c r="E68" s="1">
        <v>45331</v>
      </c>
    </row>
    <row r="69" spans="1:5" x14ac:dyDescent="0.25">
      <c r="A69">
        <v>68</v>
      </c>
      <c r="B69" t="s">
        <v>190</v>
      </c>
      <c r="C69" t="s">
        <v>191</v>
      </c>
      <c r="D69" t="s">
        <v>68</v>
      </c>
      <c r="E69" s="1">
        <v>45815</v>
      </c>
    </row>
    <row r="70" spans="1:5" x14ac:dyDescent="0.25">
      <c r="A70">
        <v>69</v>
      </c>
      <c r="B70" t="s">
        <v>192</v>
      </c>
      <c r="C70" t="s">
        <v>193</v>
      </c>
      <c r="D70" t="s">
        <v>73</v>
      </c>
      <c r="E70" s="1">
        <v>45738</v>
      </c>
    </row>
    <row r="71" spans="1:5" x14ac:dyDescent="0.25">
      <c r="A71">
        <v>70</v>
      </c>
      <c r="B71" t="s">
        <v>194</v>
      </c>
      <c r="C71" t="s">
        <v>195</v>
      </c>
      <c r="D71" t="s">
        <v>65</v>
      </c>
      <c r="E71" s="1">
        <v>45733</v>
      </c>
    </row>
    <row r="72" spans="1:5" x14ac:dyDescent="0.25">
      <c r="A72">
        <v>71</v>
      </c>
      <c r="B72" t="s">
        <v>196</v>
      </c>
      <c r="C72" t="s">
        <v>197</v>
      </c>
      <c r="D72" t="s">
        <v>91</v>
      </c>
      <c r="E72" s="1">
        <v>45419</v>
      </c>
    </row>
    <row r="73" spans="1:5" x14ac:dyDescent="0.25">
      <c r="A73">
        <v>72</v>
      </c>
      <c r="B73" t="s">
        <v>198</v>
      </c>
      <c r="C73" t="s">
        <v>199</v>
      </c>
      <c r="D73" t="s">
        <v>68</v>
      </c>
      <c r="E73" s="1">
        <v>45704</v>
      </c>
    </row>
    <row r="74" spans="1:5" x14ac:dyDescent="0.25">
      <c r="A74">
        <v>73</v>
      </c>
      <c r="B74" t="s">
        <v>142</v>
      </c>
      <c r="C74" t="s">
        <v>200</v>
      </c>
      <c r="D74" t="s">
        <v>68</v>
      </c>
      <c r="E74" s="1">
        <v>45680</v>
      </c>
    </row>
    <row r="75" spans="1:5" x14ac:dyDescent="0.25">
      <c r="A75">
        <v>74</v>
      </c>
      <c r="B75" t="s">
        <v>201</v>
      </c>
      <c r="C75" t="s">
        <v>88</v>
      </c>
      <c r="D75" t="s">
        <v>73</v>
      </c>
      <c r="E75" s="1">
        <v>45853</v>
      </c>
    </row>
    <row r="76" spans="1:5" x14ac:dyDescent="0.25">
      <c r="A76">
        <v>75</v>
      </c>
      <c r="B76" t="s">
        <v>202</v>
      </c>
      <c r="C76" t="s">
        <v>203</v>
      </c>
      <c r="D76" t="s">
        <v>68</v>
      </c>
      <c r="E76" s="1">
        <v>45913</v>
      </c>
    </row>
    <row r="77" spans="1:5" x14ac:dyDescent="0.25">
      <c r="A77">
        <v>76</v>
      </c>
      <c r="B77" t="s">
        <v>204</v>
      </c>
      <c r="C77" t="s">
        <v>205</v>
      </c>
      <c r="D77" t="s">
        <v>65</v>
      </c>
      <c r="E77" s="1">
        <v>45776</v>
      </c>
    </row>
    <row r="78" spans="1:5" x14ac:dyDescent="0.25">
      <c r="A78">
        <v>77</v>
      </c>
      <c r="B78" t="s">
        <v>206</v>
      </c>
      <c r="C78" t="s">
        <v>207</v>
      </c>
      <c r="D78" t="s">
        <v>60</v>
      </c>
      <c r="E78" s="1">
        <v>45819</v>
      </c>
    </row>
    <row r="79" spans="1:5" x14ac:dyDescent="0.25">
      <c r="A79">
        <v>78</v>
      </c>
      <c r="B79" t="s">
        <v>122</v>
      </c>
      <c r="C79" t="s">
        <v>208</v>
      </c>
      <c r="D79" t="s">
        <v>65</v>
      </c>
      <c r="E79" s="1">
        <v>45609</v>
      </c>
    </row>
    <row r="80" spans="1:5" x14ac:dyDescent="0.25">
      <c r="A80">
        <v>79</v>
      </c>
      <c r="B80" t="s">
        <v>209</v>
      </c>
      <c r="C80" t="s">
        <v>210</v>
      </c>
      <c r="D80" t="s">
        <v>57</v>
      </c>
      <c r="E80" s="1">
        <v>45778</v>
      </c>
    </row>
    <row r="81" spans="1:5" x14ac:dyDescent="0.25">
      <c r="A81">
        <v>80</v>
      </c>
      <c r="B81" t="s">
        <v>211</v>
      </c>
      <c r="C81" t="s">
        <v>212</v>
      </c>
      <c r="D81" t="s">
        <v>68</v>
      </c>
      <c r="E81" s="1">
        <v>45881</v>
      </c>
    </row>
    <row r="82" spans="1:5" x14ac:dyDescent="0.25">
      <c r="A82">
        <v>81</v>
      </c>
      <c r="B82" t="s">
        <v>213</v>
      </c>
      <c r="C82" t="s">
        <v>214</v>
      </c>
      <c r="D82" t="s">
        <v>68</v>
      </c>
      <c r="E82" s="1">
        <v>45443</v>
      </c>
    </row>
    <row r="83" spans="1:5" x14ac:dyDescent="0.25">
      <c r="A83">
        <v>82</v>
      </c>
      <c r="B83" t="s">
        <v>215</v>
      </c>
      <c r="C83" t="s">
        <v>216</v>
      </c>
      <c r="D83" t="s">
        <v>68</v>
      </c>
      <c r="E83" s="1">
        <v>45472</v>
      </c>
    </row>
    <row r="84" spans="1:5" x14ac:dyDescent="0.25">
      <c r="A84">
        <v>83</v>
      </c>
      <c r="B84" t="s">
        <v>217</v>
      </c>
      <c r="C84" t="s">
        <v>218</v>
      </c>
      <c r="D84" t="s">
        <v>57</v>
      </c>
      <c r="E84" s="1">
        <v>45547</v>
      </c>
    </row>
    <row r="85" spans="1:5" x14ac:dyDescent="0.25">
      <c r="A85">
        <v>84</v>
      </c>
      <c r="B85" t="s">
        <v>219</v>
      </c>
      <c r="C85" t="s">
        <v>220</v>
      </c>
      <c r="D85" t="s">
        <v>98</v>
      </c>
      <c r="E85" s="1">
        <v>45835</v>
      </c>
    </row>
    <row r="86" spans="1:5" x14ac:dyDescent="0.25">
      <c r="A86">
        <v>85</v>
      </c>
      <c r="B86" t="s">
        <v>221</v>
      </c>
      <c r="C86" t="s">
        <v>222</v>
      </c>
      <c r="D86" t="s">
        <v>68</v>
      </c>
      <c r="E86" s="1">
        <v>45748</v>
      </c>
    </row>
    <row r="87" spans="1:5" x14ac:dyDescent="0.25">
      <c r="A87">
        <v>86</v>
      </c>
      <c r="B87" t="s">
        <v>223</v>
      </c>
      <c r="C87" t="s">
        <v>224</v>
      </c>
      <c r="D87" t="s">
        <v>98</v>
      </c>
      <c r="E87" s="1">
        <v>45545</v>
      </c>
    </row>
    <row r="88" spans="1:5" x14ac:dyDescent="0.25">
      <c r="A88">
        <v>87</v>
      </c>
      <c r="B88" t="s">
        <v>225</v>
      </c>
      <c r="C88" t="s">
        <v>226</v>
      </c>
      <c r="D88" t="s">
        <v>98</v>
      </c>
      <c r="E88" s="1">
        <v>45536</v>
      </c>
    </row>
    <row r="89" spans="1:5" x14ac:dyDescent="0.25">
      <c r="A89">
        <v>88</v>
      </c>
      <c r="B89" t="s">
        <v>227</v>
      </c>
      <c r="C89" t="s">
        <v>228</v>
      </c>
      <c r="D89" t="s">
        <v>65</v>
      </c>
      <c r="E89" s="1">
        <v>45635</v>
      </c>
    </row>
    <row r="90" spans="1:5" x14ac:dyDescent="0.25">
      <c r="A90">
        <v>89</v>
      </c>
      <c r="B90" t="s">
        <v>172</v>
      </c>
      <c r="C90" t="s">
        <v>229</v>
      </c>
      <c r="D90" t="s">
        <v>82</v>
      </c>
      <c r="E90" s="1">
        <v>45684</v>
      </c>
    </row>
    <row r="91" spans="1:5" x14ac:dyDescent="0.25">
      <c r="A91">
        <v>90</v>
      </c>
      <c r="B91" t="s">
        <v>230</v>
      </c>
      <c r="C91" t="s">
        <v>231</v>
      </c>
      <c r="D91" t="s">
        <v>68</v>
      </c>
      <c r="E91" s="1">
        <v>45630</v>
      </c>
    </row>
    <row r="92" spans="1:5" x14ac:dyDescent="0.25">
      <c r="A92">
        <v>91</v>
      </c>
      <c r="B92" t="s">
        <v>232</v>
      </c>
      <c r="C92" t="s">
        <v>233</v>
      </c>
      <c r="D92" t="s">
        <v>68</v>
      </c>
      <c r="E92" s="1">
        <v>45890</v>
      </c>
    </row>
    <row r="93" spans="1:5" x14ac:dyDescent="0.25">
      <c r="A93">
        <v>92</v>
      </c>
      <c r="B93" t="s">
        <v>234</v>
      </c>
      <c r="C93" t="s">
        <v>235</v>
      </c>
      <c r="D93" t="s">
        <v>68</v>
      </c>
      <c r="E93" s="1">
        <v>45298</v>
      </c>
    </row>
    <row r="94" spans="1:5" x14ac:dyDescent="0.25">
      <c r="A94">
        <v>93</v>
      </c>
      <c r="B94" t="s">
        <v>236</v>
      </c>
      <c r="C94" t="s">
        <v>237</v>
      </c>
      <c r="D94" t="s">
        <v>68</v>
      </c>
      <c r="E94" s="1">
        <v>45851</v>
      </c>
    </row>
    <row r="95" spans="1:5" x14ac:dyDescent="0.25">
      <c r="A95">
        <v>94</v>
      </c>
      <c r="B95" t="s">
        <v>238</v>
      </c>
      <c r="C95" t="s">
        <v>88</v>
      </c>
      <c r="D95" t="s">
        <v>65</v>
      </c>
      <c r="E95" s="1">
        <v>45738</v>
      </c>
    </row>
    <row r="96" spans="1:5" x14ac:dyDescent="0.25">
      <c r="A96">
        <v>95</v>
      </c>
      <c r="B96" t="s">
        <v>239</v>
      </c>
      <c r="C96" t="s">
        <v>240</v>
      </c>
      <c r="D96" t="s">
        <v>82</v>
      </c>
      <c r="E96" s="1">
        <v>45422</v>
      </c>
    </row>
    <row r="97" spans="1:5" x14ac:dyDescent="0.25">
      <c r="A97">
        <v>96</v>
      </c>
      <c r="B97" t="s">
        <v>74</v>
      </c>
      <c r="C97" t="s">
        <v>241</v>
      </c>
      <c r="D97" t="s">
        <v>57</v>
      </c>
      <c r="E97" s="1">
        <v>45950</v>
      </c>
    </row>
    <row r="98" spans="1:5" x14ac:dyDescent="0.25">
      <c r="A98">
        <v>97</v>
      </c>
      <c r="B98" t="s">
        <v>242</v>
      </c>
      <c r="C98" t="s">
        <v>243</v>
      </c>
      <c r="D98" t="s">
        <v>57</v>
      </c>
      <c r="E98" s="1">
        <v>45680</v>
      </c>
    </row>
    <row r="99" spans="1:5" x14ac:dyDescent="0.25">
      <c r="A99">
        <v>98</v>
      </c>
      <c r="B99" t="s">
        <v>244</v>
      </c>
      <c r="C99" t="s">
        <v>245</v>
      </c>
      <c r="D99" t="s">
        <v>68</v>
      </c>
      <c r="E99" s="1">
        <v>45723</v>
      </c>
    </row>
    <row r="100" spans="1:5" x14ac:dyDescent="0.25">
      <c r="A100">
        <v>99</v>
      </c>
      <c r="B100" t="s">
        <v>246</v>
      </c>
      <c r="C100" t="s">
        <v>88</v>
      </c>
      <c r="D100" t="s">
        <v>57</v>
      </c>
      <c r="E100" s="1">
        <v>45521</v>
      </c>
    </row>
    <row r="101" spans="1:5" x14ac:dyDescent="0.25">
      <c r="A101">
        <v>100</v>
      </c>
      <c r="B101" t="s">
        <v>247</v>
      </c>
      <c r="C101" t="s">
        <v>88</v>
      </c>
      <c r="D101" t="s">
        <v>57</v>
      </c>
      <c r="E101" s="1">
        <v>45496</v>
      </c>
    </row>
    <row r="102" spans="1:5" x14ac:dyDescent="0.25">
      <c r="A102">
        <v>101</v>
      </c>
      <c r="B102" t="s">
        <v>248</v>
      </c>
      <c r="C102" t="s">
        <v>249</v>
      </c>
      <c r="D102" t="s">
        <v>82</v>
      </c>
      <c r="E102" s="1">
        <v>45977</v>
      </c>
    </row>
    <row r="103" spans="1:5" x14ac:dyDescent="0.25">
      <c r="A103">
        <v>102</v>
      </c>
      <c r="B103" t="s">
        <v>250</v>
      </c>
      <c r="C103" t="s">
        <v>251</v>
      </c>
      <c r="D103" t="s">
        <v>73</v>
      </c>
      <c r="E103" s="1">
        <v>45463</v>
      </c>
    </row>
    <row r="104" spans="1:5" x14ac:dyDescent="0.25">
      <c r="A104">
        <v>103</v>
      </c>
      <c r="B104" t="s">
        <v>252</v>
      </c>
      <c r="C104" t="s">
        <v>88</v>
      </c>
      <c r="D104" t="s">
        <v>82</v>
      </c>
      <c r="E104" s="1">
        <v>45402</v>
      </c>
    </row>
    <row r="105" spans="1:5" x14ac:dyDescent="0.25">
      <c r="A105">
        <v>104</v>
      </c>
      <c r="B105" t="s">
        <v>253</v>
      </c>
      <c r="C105" t="s">
        <v>254</v>
      </c>
      <c r="D105" t="s">
        <v>68</v>
      </c>
      <c r="E105" s="1">
        <v>45495</v>
      </c>
    </row>
    <row r="106" spans="1:5" x14ac:dyDescent="0.25">
      <c r="A106">
        <v>105</v>
      </c>
      <c r="B106" t="s">
        <v>255</v>
      </c>
      <c r="C106" t="s">
        <v>256</v>
      </c>
      <c r="D106" t="s">
        <v>60</v>
      </c>
      <c r="E106" s="1">
        <v>45992</v>
      </c>
    </row>
    <row r="107" spans="1:5" x14ac:dyDescent="0.25">
      <c r="A107">
        <v>106</v>
      </c>
      <c r="B107" t="s">
        <v>257</v>
      </c>
      <c r="C107" t="s">
        <v>258</v>
      </c>
      <c r="D107" t="s">
        <v>57</v>
      </c>
      <c r="E107" s="1">
        <v>45837</v>
      </c>
    </row>
    <row r="108" spans="1:5" x14ac:dyDescent="0.25">
      <c r="A108">
        <v>107</v>
      </c>
      <c r="B108" t="s">
        <v>259</v>
      </c>
      <c r="C108" t="s">
        <v>260</v>
      </c>
      <c r="D108" t="s">
        <v>91</v>
      </c>
      <c r="E108" s="1">
        <v>45722</v>
      </c>
    </row>
    <row r="109" spans="1:5" x14ac:dyDescent="0.25">
      <c r="A109">
        <v>108</v>
      </c>
      <c r="B109" t="s">
        <v>261</v>
      </c>
      <c r="C109" t="s">
        <v>262</v>
      </c>
      <c r="D109" t="s">
        <v>98</v>
      </c>
      <c r="E109" s="1">
        <v>45448</v>
      </c>
    </row>
    <row r="110" spans="1:5" x14ac:dyDescent="0.25">
      <c r="A110">
        <v>109</v>
      </c>
      <c r="B110" t="s">
        <v>263</v>
      </c>
      <c r="C110" t="s">
        <v>264</v>
      </c>
      <c r="D110" t="s">
        <v>98</v>
      </c>
      <c r="E110" s="1">
        <v>45738</v>
      </c>
    </row>
    <row r="111" spans="1:5" x14ac:dyDescent="0.25">
      <c r="A111">
        <v>110</v>
      </c>
      <c r="B111" t="s">
        <v>265</v>
      </c>
      <c r="C111" t="s">
        <v>266</v>
      </c>
      <c r="D111" t="s">
        <v>65</v>
      </c>
      <c r="E111" s="1">
        <v>45577</v>
      </c>
    </row>
    <row r="112" spans="1:5" x14ac:dyDescent="0.25">
      <c r="A112">
        <v>111</v>
      </c>
      <c r="B112" t="s">
        <v>221</v>
      </c>
      <c r="C112" t="s">
        <v>267</v>
      </c>
      <c r="D112" t="s">
        <v>68</v>
      </c>
      <c r="E112" s="1">
        <v>45321</v>
      </c>
    </row>
    <row r="113" spans="1:5" x14ac:dyDescent="0.25">
      <c r="A113">
        <v>112</v>
      </c>
      <c r="B113" t="s">
        <v>268</v>
      </c>
      <c r="C113" t="s">
        <v>269</v>
      </c>
      <c r="D113" t="s">
        <v>65</v>
      </c>
      <c r="E113" s="1">
        <v>45556</v>
      </c>
    </row>
    <row r="114" spans="1:5" x14ac:dyDescent="0.25">
      <c r="A114">
        <v>113</v>
      </c>
      <c r="B114" t="s">
        <v>270</v>
      </c>
      <c r="C114" t="s">
        <v>271</v>
      </c>
      <c r="D114" t="s">
        <v>57</v>
      </c>
      <c r="E114" s="1">
        <v>45487</v>
      </c>
    </row>
    <row r="115" spans="1:5" x14ac:dyDescent="0.25">
      <c r="A115">
        <v>114</v>
      </c>
      <c r="B115" t="s">
        <v>272</v>
      </c>
      <c r="C115" t="s">
        <v>273</v>
      </c>
      <c r="D115" t="s">
        <v>65</v>
      </c>
      <c r="E115" s="1">
        <v>45779</v>
      </c>
    </row>
    <row r="116" spans="1:5" x14ac:dyDescent="0.25">
      <c r="A116">
        <v>115</v>
      </c>
      <c r="B116" t="s">
        <v>274</v>
      </c>
      <c r="C116" t="s">
        <v>275</v>
      </c>
      <c r="D116" t="s">
        <v>60</v>
      </c>
      <c r="E116" s="1">
        <v>45518</v>
      </c>
    </row>
    <row r="117" spans="1:5" x14ac:dyDescent="0.25">
      <c r="A117">
        <v>116</v>
      </c>
      <c r="B117" t="s">
        <v>253</v>
      </c>
      <c r="C117" t="s">
        <v>276</v>
      </c>
      <c r="D117" t="s">
        <v>91</v>
      </c>
      <c r="E117" s="1">
        <v>45858</v>
      </c>
    </row>
    <row r="118" spans="1:5" x14ac:dyDescent="0.25">
      <c r="A118">
        <v>117</v>
      </c>
      <c r="B118" t="s">
        <v>277</v>
      </c>
      <c r="C118" t="s">
        <v>278</v>
      </c>
      <c r="D118" t="s">
        <v>91</v>
      </c>
      <c r="E118" s="1">
        <v>45756</v>
      </c>
    </row>
    <row r="119" spans="1:5" x14ac:dyDescent="0.25">
      <c r="A119">
        <v>118</v>
      </c>
      <c r="B119" t="s">
        <v>279</v>
      </c>
      <c r="C119" t="s">
        <v>280</v>
      </c>
      <c r="D119" t="s">
        <v>65</v>
      </c>
      <c r="E119" s="1">
        <v>45414</v>
      </c>
    </row>
    <row r="120" spans="1:5" x14ac:dyDescent="0.25">
      <c r="A120">
        <v>119</v>
      </c>
      <c r="B120" t="s">
        <v>281</v>
      </c>
      <c r="C120" t="s">
        <v>282</v>
      </c>
      <c r="D120" t="s">
        <v>65</v>
      </c>
      <c r="E120" s="1">
        <v>45787</v>
      </c>
    </row>
    <row r="121" spans="1:5" x14ac:dyDescent="0.25">
      <c r="A121">
        <v>120</v>
      </c>
      <c r="B121" t="s">
        <v>225</v>
      </c>
      <c r="C121" t="s">
        <v>283</v>
      </c>
      <c r="D121" t="s">
        <v>73</v>
      </c>
      <c r="E121" s="1">
        <v>45490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144E-1EA5-4DE0-9615-B8E7642F4439}">
  <dimension ref="A1:E73"/>
  <sheetViews>
    <sheetView tabSelected="1" workbookViewId="0">
      <selection activeCell="J21" sqref="J21"/>
    </sheetView>
  </sheetViews>
  <sheetFormatPr defaultRowHeight="15" x14ac:dyDescent="0.25"/>
  <cols>
    <col min="1" max="1" width="15.42578125" bestFit="1" customWidth="1"/>
    <col min="2" max="2" width="16.85546875" bestFit="1" customWidth="1"/>
    <col min="3" max="3" width="11.28515625" bestFit="1" customWidth="1"/>
    <col min="4" max="5" width="12" bestFit="1" customWidth="1"/>
  </cols>
  <sheetData>
    <row r="1" spans="1:5" x14ac:dyDescent="0.25">
      <c r="A1" s="4" t="s">
        <v>50</v>
      </c>
      <c r="B1" s="4" t="s">
        <v>49</v>
      </c>
    </row>
    <row r="2" spans="1:5" x14ac:dyDescent="0.25">
      <c r="A2" s="4" t="s">
        <v>35</v>
      </c>
      <c r="B2" t="s">
        <v>17</v>
      </c>
      <c r="C2" t="s">
        <v>10</v>
      </c>
      <c r="D2" t="s">
        <v>14</v>
      </c>
      <c r="E2" t="s">
        <v>48</v>
      </c>
    </row>
    <row r="3" spans="1:5" x14ac:dyDescent="0.25">
      <c r="A3" s="5" t="s">
        <v>36</v>
      </c>
      <c r="B3" s="6">
        <v>5127142.8571428563</v>
      </c>
      <c r="C3" s="6">
        <v>2361265.4867256638</v>
      </c>
      <c r="D3" s="6">
        <v>6133320</v>
      </c>
      <c r="E3" s="6">
        <v>13621728.34386852</v>
      </c>
    </row>
    <row r="4" spans="1:5" x14ac:dyDescent="0.25">
      <c r="A4" s="5" t="s">
        <v>37</v>
      </c>
      <c r="B4" s="6">
        <v>5366369.9633699637</v>
      </c>
      <c r="C4" s="6">
        <v>2206000</v>
      </c>
      <c r="D4" s="6">
        <v>7018935.3275878048</v>
      </c>
      <c r="E4" s="6">
        <v>14591305.290957768</v>
      </c>
    </row>
    <row r="5" spans="1:5" x14ac:dyDescent="0.25">
      <c r="A5" s="5" t="s">
        <v>38</v>
      </c>
      <c r="B5" s="6">
        <v>4025000</v>
      </c>
      <c r="C5" s="6">
        <v>2354376.1467889911</v>
      </c>
      <c r="D5" s="6">
        <v>5330960</v>
      </c>
      <c r="E5" s="6">
        <v>11710336.146788992</v>
      </c>
    </row>
    <row r="6" spans="1:5" x14ac:dyDescent="0.25">
      <c r="A6" s="5" t="s">
        <v>39</v>
      </c>
      <c r="B6" s="6">
        <v>4376714.2857142854</v>
      </c>
      <c r="C6" s="6">
        <v>2486182.9179183245</v>
      </c>
      <c r="D6" s="6">
        <v>3651782.8571428573</v>
      </c>
      <c r="E6" s="6">
        <v>10514680.060775466</v>
      </c>
    </row>
    <row r="7" spans="1:5" x14ac:dyDescent="0.25">
      <c r="A7" s="5" t="s">
        <v>40</v>
      </c>
      <c r="B7" s="6">
        <v>2796399.2673992673</v>
      </c>
      <c r="C7" s="6">
        <v>1882458.7155963304</v>
      </c>
      <c r="D7" s="6">
        <v>5413936.1820974723</v>
      </c>
      <c r="E7" s="6">
        <v>10092794.16509307</v>
      </c>
    </row>
    <row r="8" spans="1:5" x14ac:dyDescent="0.25">
      <c r="A8" s="5" t="s">
        <v>41</v>
      </c>
      <c r="B8" s="6">
        <v>4500000</v>
      </c>
      <c r="C8" s="6">
        <v>2169000</v>
      </c>
      <c r="D8" s="6">
        <v>4883707.5268817209</v>
      </c>
      <c r="E8" s="6">
        <v>11552707.526881721</v>
      </c>
    </row>
    <row r="9" spans="1:5" x14ac:dyDescent="0.25">
      <c r="A9" s="5" t="s">
        <v>42</v>
      </c>
      <c r="B9" s="6">
        <v>5521428.5714285718</v>
      </c>
      <c r="C9" s="6">
        <v>1924917.4311926607</v>
      </c>
      <c r="D9" s="6">
        <v>5393000</v>
      </c>
      <c r="E9" s="6">
        <v>12839346.002621233</v>
      </c>
    </row>
    <row r="10" spans="1:5" x14ac:dyDescent="0.25">
      <c r="A10" s="5" t="s">
        <v>43</v>
      </c>
      <c r="B10" s="6">
        <v>4959841.1172161177</v>
      </c>
      <c r="C10" s="6">
        <v>1750530.9734513275</v>
      </c>
      <c r="D10" s="6">
        <v>4410032.4344361033</v>
      </c>
      <c r="E10" s="6">
        <v>11120404.525103549</v>
      </c>
    </row>
    <row r="11" spans="1:5" x14ac:dyDescent="0.25">
      <c r="A11" s="5" t="s">
        <v>44</v>
      </c>
      <c r="B11" s="6">
        <v>3804739.5833333335</v>
      </c>
      <c r="C11" s="6">
        <v>2141000</v>
      </c>
      <c r="D11" s="6">
        <v>5328992.417319946</v>
      </c>
      <c r="E11" s="6">
        <v>11274732.00065328</v>
      </c>
    </row>
    <row r="12" spans="1:5" x14ac:dyDescent="0.25">
      <c r="A12" s="5" t="s">
        <v>45</v>
      </c>
      <c r="B12" s="6">
        <v>3195256.41025641</v>
      </c>
      <c r="C12" s="6">
        <v>2680530.9734513275</v>
      </c>
      <c r="D12" s="6">
        <v>5969482.3348694313</v>
      </c>
      <c r="E12" s="6">
        <v>11845269.718577169</v>
      </c>
    </row>
    <row r="13" spans="1:5" x14ac:dyDescent="0.25">
      <c r="A13" s="5" t="s">
        <v>46</v>
      </c>
      <c r="B13" s="6">
        <v>3804958.333333333</v>
      </c>
      <c r="C13" s="6">
        <v>3746000</v>
      </c>
      <c r="D13" s="6">
        <v>5580918.7418086501</v>
      </c>
      <c r="E13" s="6">
        <v>13131877.075141983</v>
      </c>
    </row>
    <row r="14" spans="1:5" x14ac:dyDescent="0.25">
      <c r="A14" s="5" t="s">
        <v>47</v>
      </c>
      <c r="B14" s="6">
        <v>4180000</v>
      </c>
      <c r="C14" s="6">
        <v>2206000</v>
      </c>
      <c r="D14" s="6">
        <v>6513419.3838780997</v>
      </c>
      <c r="E14" s="6">
        <v>12899419.383878101</v>
      </c>
    </row>
    <row r="15" spans="1:5" x14ac:dyDescent="0.25">
      <c r="A15" s="5" t="s">
        <v>48</v>
      </c>
      <c r="B15" s="6">
        <v>51657850.389194138</v>
      </c>
      <c r="C15" s="6">
        <v>27908262.645124625</v>
      </c>
      <c r="D15" s="6">
        <v>65628487.206022084</v>
      </c>
      <c r="E15" s="6">
        <v>145194600.24034086</v>
      </c>
    </row>
    <row r="22" spans="1:2" x14ac:dyDescent="0.25">
      <c r="A22" s="4" t="s">
        <v>35</v>
      </c>
      <c r="B22" t="s">
        <v>50</v>
      </c>
    </row>
    <row r="23" spans="1:2" x14ac:dyDescent="0.25">
      <c r="A23" s="5" t="s">
        <v>122</v>
      </c>
      <c r="B23" s="6">
        <v>6385285.7142857146</v>
      </c>
    </row>
    <row r="24" spans="1:2" x14ac:dyDescent="0.25">
      <c r="A24" s="5" t="s">
        <v>74</v>
      </c>
      <c r="B24" s="6">
        <v>4142000</v>
      </c>
    </row>
    <row r="25" spans="1:2" x14ac:dyDescent="0.25">
      <c r="A25" s="5" t="s">
        <v>167</v>
      </c>
      <c r="B25" s="6">
        <v>3382098.7155963304</v>
      </c>
    </row>
    <row r="26" spans="1:2" x14ac:dyDescent="0.25">
      <c r="A26" s="5" t="s">
        <v>221</v>
      </c>
      <c r="B26" s="6">
        <v>3239000</v>
      </c>
    </row>
    <row r="27" spans="1:2" x14ac:dyDescent="0.25">
      <c r="A27" s="5" t="s">
        <v>80</v>
      </c>
      <c r="B27" s="6">
        <v>3115000</v>
      </c>
    </row>
    <row r="28" spans="1:2" x14ac:dyDescent="0.25">
      <c r="A28" s="5" t="s">
        <v>176</v>
      </c>
      <c r="B28" s="6">
        <v>3017113.5531135527</v>
      </c>
    </row>
    <row r="29" spans="1:2" x14ac:dyDescent="0.25">
      <c r="A29" s="5" t="s">
        <v>172</v>
      </c>
      <c r="B29" s="6">
        <v>2745173.7436063979</v>
      </c>
    </row>
    <row r="30" spans="1:2" x14ac:dyDescent="0.25">
      <c r="A30" s="5" t="s">
        <v>142</v>
      </c>
      <c r="B30" s="6">
        <v>2661000</v>
      </c>
    </row>
    <row r="31" spans="1:2" x14ac:dyDescent="0.25">
      <c r="A31" s="5" t="s">
        <v>92</v>
      </c>
      <c r="B31" s="6">
        <v>2036857.142857143</v>
      </c>
    </row>
    <row r="32" spans="1:2" x14ac:dyDescent="0.25">
      <c r="A32" s="5" t="s">
        <v>239</v>
      </c>
      <c r="B32" s="6">
        <v>1993000</v>
      </c>
    </row>
    <row r="33" spans="1:2" x14ac:dyDescent="0.25">
      <c r="A33" s="5" t="s">
        <v>48</v>
      </c>
      <c r="B33" s="6">
        <v>32716528.869459137</v>
      </c>
    </row>
    <row r="42" spans="1:2" x14ac:dyDescent="0.25">
      <c r="A42" s="4" t="s">
        <v>35</v>
      </c>
      <c r="B42" t="s">
        <v>50</v>
      </c>
    </row>
    <row r="43" spans="1:2" x14ac:dyDescent="0.25">
      <c r="A43" s="5" t="s">
        <v>36</v>
      </c>
      <c r="B43" s="6">
        <v>13621728.34386852</v>
      </c>
    </row>
    <row r="44" spans="1:2" x14ac:dyDescent="0.25">
      <c r="A44" s="5" t="s">
        <v>37</v>
      </c>
      <c r="B44" s="6">
        <v>14591305.290957769</v>
      </c>
    </row>
    <row r="45" spans="1:2" x14ac:dyDescent="0.25">
      <c r="A45" s="5" t="s">
        <v>38</v>
      </c>
      <c r="B45" s="6">
        <v>11710336.146788992</v>
      </c>
    </row>
    <row r="46" spans="1:2" x14ac:dyDescent="0.25">
      <c r="A46" s="5" t="s">
        <v>39</v>
      </c>
      <c r="B46" s="6">
        <v>10514680.060775468</v>
      </c>
    </row>
    <row r="47" spans="1:2" x14ac:dyDescent="0.25">
      <c r="A47" s="5" t="s">
        <v>40</v>
      </c>
      <c r="B47" s="6">
        <v>10092794.165093072</v>
      </c>
    </row>
    <row r="48" spans="1:2" x14ac:dyDescent="0.25">
      <c r="A48" s="5" t="s">
        <v>41</v>
      </c>
      <c r="B48" s="6">
        <v>11552707.526881721</v>
      </c>
    </row>
    <row r="49" spans="1:2" x14ac:dyDescent="0.25">
      <c r="A49" s="5" t="s">
        <v>42</v>
      </c>
      <c r="B49" s="6">
        <v>12839346.002621232</v>
      </c>
    </row>
    <row r="50" spans="1:2" x14ac:dyDescent="0.25">
      <c r="A50" s="5" t="s">
        <v>43</v>
      </c>
      <c r="B50" s="6">
        <v>11120404.52510355</v>
      </c>
    </row>
    <row r="51" spans="1:2" x14ac:dyDescent="0.25">
      <c r="A51" s="5" t="s">
        <v>44</v>
      </c>
      <c r="B51" s="6">
        <v>11274732.00065328</v>
      </c>
    </row>
    <row r="52" spans="1:2" x14ac:dyDescent="0.25">
      <c r="A52" s="5" t="s">
        <v>45</v>
      </c>
      <c r="B52" s="6">
        <v>11845269.718577171</v>
      </c>
    </row>
    <row r="53" spans="1:2" x14ac:dyDescent="0.25">
      <c r="A53" s="5" t="s">
        <v>46</v>
      </c>
      <c r="B53" s="6">
        <v>13131877.075141985</v>
      </c>
    </row>
    <row r="54" spans="1:2" x14ac:dyDescent="0.25">
      <c r="A54" s="5" t="s">
        <v>47</v>
      </c>
      <c r="B54" s="6">
        <v>12899419.383878101</v>
      </c>
    </row>
    <row r="55" spans="1:2" x14ac:dyDescent="0.25">
      <c r="A55" s="5" t="s">
        <v>48</v>
      </c>
      <c r="B55" s="6">
        <v>145194600.24034086</v>
      </c>
    </row>
    <row r="60" spans="1:2" x14ac:dyDescent="0.25">
      <c r="A60" s="4" t="s">
        <v>287</v>
      </c>
      <c r="B60" s="4" t="s">
        <v>49</v>
      </c>
    </row>
    <row r="61" spans="1:2" x14ac:dyDescent="0.25">
      <c r="A61" s="4" t="s">
        <v>35</v>
      </c>
      <c r="B61" t="s">
        <v>26</v>
      </c>
    </row>
    <row r="62" spans="1:2" x14ac:dyDescent="0.25">
      <c r="A62" s="5" t="s">
        <v>13</v>
      </c>
      <c r="B62" s="6">
        <v>-14</v>
      </c>
    </row>
    <row r="63" spans="1:2" x14ac:dyDescent="0.25">
      <c r="A63" s="5" t="s">
        <v>27</v>
      </c>
      <c r="B63" s="6">
        <v>-13</v>
      </c>
    </row>
    <row r="64" spans="1:2" x14ac:dyDescent="0.25">
      <c r="A64" s="5" t="s">
        <v>31</v>
      </c>
      <c r="B64" s="6">
        <v>-10</v>
      </c>
    </row>
    <row r="65" spans="1:2" x14ac:dyDescent="0.25">
      <c r="A65" s="5" t="s">
        <v>9</v>
      </c>
      <c r="B65" s="6">
        <v>-9</v>
      </c>
    </row>
    <row r="66" spans="1:2" x14ac:dyDescent="0.25">
      <c r="A66" s="5" t="s">
        <v>25</v>
      </c>
      <c r="B66" s="6">
        <v>-7</v>
      </c>
    </row>
    <row r="67" spans="1:2" x14ac:dyDescent="0.25">
      <c r="A67" s="5" t="s">
        <v>16</v>
      </c>
      <c r="B67" s="6">
        <v>-6</v>
      </c>
    </row>
    <row r="68" spans="1:2" x14ac:dyDescent="0.25">
      <c r="A68" s="5" t="s">
        <v>23</v>
      </c>
      <c r="B68" s="6">
        <v>-5</v>
      </c>
    </row>
    <row r="69" spans="1:2" x14ac:dyDescent="0.25">
      <c r="A69" s="5" t="s">
        <v>29</v>
      </c>
      <c r="B69" s="6">
        <v>-4</v>
      </c>
    </row>
    <row r="70" spans="1:2" x14ac:dyDescent="0.25">
      <c r="A70" s="5" t="s">
        <v>30</v>
      </c>
      <c r="B70" s="6">
        <v>-2</v>
      </c>
    </row>
    <row r="71" spans="1:2" x14ac:dyDescent="0.25">
      <c r="A71" s="5" t="s">
        <v>22</v>
      </c>
      <c r="B71" s="6">
        <v>-1</v>
      </c>
    </row>
    <row r="72" spans="1:2" x14ac:dyDescent="0.25">
      <c r="A72" s="5" t="s">
        <v>20</v>
      </c>
      <c r="B72" s="6">
        <v>-1</v>
      </c>
    </row>
    <row r="73" spans="1:2" x14ac:dyDescent="0.25">
      <c r="A73" s="5" t="s">
        <v>48</v>
      </c>
      <c r="B73" s="6">
        <v>-72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6936-6FDE-4189-9D12-63E762C02A1D}">
  <dimension ref="A1:C2"/>
  <sheetViews>
    <sheetView workbookViewId="0">
      <selection activeCell="C2" sqref="C2"/>
    </sheetView>
  </sheetViews>
  <sheetFormatPr defaultRowHeight="15" x14ac:dyDescent="0.25"/>
  <cols>
    <col min="1" max="1" width="18.85546875" bestFit="1" customWidth="1"/>
    <col min="2" max="2" width="27" bestFit="1" customWidth="1"/>
    <col min="3" max="3" width="16.5703125" bestFit="1" customWidth="1"/>
  </cols>
  <sheetData>
    <row r="1" spans="1:3" x14ac:dyDescent="0.25">
      <c r="A1" t="s">
        <v>284</v>
      </c>
      <c r="B1" t="s">
        <v>285</v>
      </c>
      <c r="C1" t="s">
        <v>286</v>
      </c>
    </row>
    <row r="2" spans="1:3" x14ac:dyDescent="0.25">
      <c r="A2">
        <f>COUNTA(orders_raw!G:G)</f>
        <v>1395</v>
      </c>
      <c r="B2">
        <f>COUNTIF(orders_raw!H:H,"Return")</f>
        <v>41</v>
      </c>
      <c r="C2" s="7">
        <f>COUNTIF(orders_raw!H:H,"Return") / COUNTA(orders_raw!G:G)</f>
        <v>2.9390681003584228E-2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orders_raw</vt:lpstr>
      <vt:lpstr>Customer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Hadi Nasirzafe</cp:lastModifiedBy>
  <dcterms:modified xsi:type="dcterms:W3CDTF">2026-09-12T12:59:41Z</dcterms:modified>
</cp:coreProperties>
</file>