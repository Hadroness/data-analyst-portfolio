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2\"/>
    </mc:Choice>
  </mc:AlternateContent>
  <xr:revisionPtr revIDLastSave="0" documentId="13_ncr:1_{6F098543-742A-4EA3-A25D-E1FC61EC27E9}" xr6:coauthVersionLast="47" xr6:coauthVersionMax="47" xr10:uidLastSave="{00000000-0000-0000-0000-000000000000}"/>
  <bookViews>
    <workbookView xWindow="-120" yWindow="-120" windowWidth="20730" windowHeight="11160" activeTab="2" xr2:uid="{78EF86D7-D8D6-4762-BAC9-9269249B2AD9}"/>
  </bookViews>
  <sheets>
    <sheet name="Orders_raw" sheetId="1" r:id="rId1"/>
    <sheet name="Customers_raw" sheetId="2" r:id="rId2"/>
    <sheet name="Pivot_Table" sheetId="3" r:id="rId3"/>
  </sheets>
  <definedNames>
    <definedName name="_xlnm._FilterDatabase" localSheetId="0" hidden="1">Orders_raw!$A$1:$L$1301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4" i="3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2" i="1"/>
</calcChain>
</file>

<file path=xl/sharedStrings.xml><?xml version="1.0" encoding="utf-8"?>
<sst xmlns="http://schemas.openxmlformats.org/spreadsheetml/2006/main" count="4304" uniqueCount="265">
  <si>
    <t>order_id</t>
  </si>
  <si>
    <t>customer_id</t>
  </si>
  <si>
    <t>order_date</t>
  </si>
  <si>
    <t>quantity</t>
  </si>
  <si>
    <t>unit_price</t>
  </si>
  <si>
    <t>Debit Card</t>
  </si>
  <si>
    <t>Lighting</t>
  </si>
  <si>
    <t>Bedding</t>
  </si>
  <si>
    <t>Credit Card</t>
  </si>
  <si>
    <t>Table Lamp</t>
  </si>
  <si>
    <t>Home Decor</t>
  </si>
  <si>
    <t>String Lights</t>
  </si>
  <si>
    <t>Throw Pillow</t>
  </si>
  <si>
    <t>Memory Foam Pillow</t>
  </si>
  <si>
    <t>Cotton Bedsheet Set</t>
  </si>
  <si>
    <t>Wool Blanket</t>
  </si>
  <si>
    <t>Ceramic Vase</t>
  </si>
  <si>
    <t>Kitchen</t>
  </si>
  <si>
    <t>Floor Lamp</t>
  </si>
  <si>
    <t>Cutting Board</t>
  </si>
  <si>
    <t>Wall Mirror</t>
  </si>
  <si>
    <t>Non-Stick Pan Set</t>
  </si>
  <si>
    <t>Ceramic Mug Set</t>
  </si>
  <si>
    <t>Unknown</t>
  </si>
  <si>
    <t>Product_Name</t>
  </si>
  <si>
    <t>Category</t>
  </si>
  <si>
    <t>Payment_Method</t>
  </si>
  <si>
    <t>Paypal</t>
  </si>
  <si>
    <t>Total_Price</t>
  </si>
  <si>
    <t>Customer_id</t>
  </si>
  <si>
    <t>Customer_Name</t>
  </si>
  <si>
    <t>Email</t>
  </si>
  <si>
    <t>City</t>
  </si>
  <si>
    <t>Signup_Date</t>
  </si>
  <si>
    <t>Christopher Jones</t>
  </si>
  <si>
    <t>Christopher.Jones75@Gmail.Com</t>
  </si>
  <si>
    <t>Seattle</t>
  </si>
  <si>
    <t>Michael Lopez</t>
  </si>
  <si>
    <t>Michael.Lopez39@Gmail.Com</t>
  </si>
  <si>
    <t>Austin</t>
  </si>
  <si>
    <t>Anthony Williams</t>
  </si>
  <si>
    <t>Chicago</t>
  </si>
  <si>
    <t>Joshua Brown</t>
  </si>
  <si>
    <t>Joshua.Brown597@Gmail.Com</t>
  </si>
  <si>
    <t>Joshua Martin</t>
  </si>
  <si>
    <t>Joshua.Martin48@Gmail.Com</t>
  </si>
  <si>
    <t>David Martinez</t>
  </si>
  <si>
    <t>David.Martinez121@Gmail.Com</t>
  </si>
  <si>
    <t>Emily Ramirez</t>
  </si>
  <si>
    <t>Emily.Ramirez585@Gmail.Com</t>
  </si>
  <si>
    <t>Portland</t>
  </si>
  <si>
    <t>Lisa Brown</t>
  </si>
  <si>
    <t>Lisa.Brown634@Gmail.Com</t>
  </si>
  <si>
    <t>Denver</t>
  </si>
  <si>
    <t>Andrew Anderson</t>
  </si>
  <si>
    <t>Andrew.Anderson946@Gmail.Com</t>
  </si>
  <si>
    <t>Atlanta</t>
  </si>
  <si>
    <t>Karen Davis</t>
  </si>
  <si>
    <t>Karen.Davis589@Gmail.Com</t>
  </si>
  <si>
    <t>Ashley Robinson</t>
  </si>
  <si>
    <t>Ashley.Robinson624@Gmail.Com</t>
  </si>
  <si>
    <t>Linda Moore</t>
  </si>
  <si>
    <t>Linda.Moore156@Gmail.Com</t>
  </si>
  <si>
    <t>Anthony Johnson</t>
  </si>
  <si>
    <t>Anthony.Johnson809@Gmail.Com</t>
  </si>
  <si>
    <t>Christopher Hernandez</t>
  </si>
  <si>
    <t>Christopher.Hernandez817@Gmail.Com</t>
  </si>
  <si>
    <t>Jennifer Rodriguez</t>
  </si>
  <si>
    <t>Nashville</t>
  </si>
  <si>
    <t>Karen Perez</t>
  </si>
  <si>
    <t>Karen.Perez909@Gmail.Com</t>
  </si>
  <si>
    <t>Mary Thomas</t>
  </si>
  <si>
    <t>Mary.Thomas120@Gmail.Com</t>
  </si>
  <si>
    <t>Susan Sanchez</t>
  </si>
  <si>
    <t>Susan.Sanchez408@Gmail.Com</t>
  </si>
  <si>
    <t>Phoenix</t>
  </si>
  <si>
    <t>Ashley Williams</t>
  </si>
  <si>
    <t>Ashley.Williams563@Gmail.Com</t>
  </si>
  <si>
    <t>David Ramirez</t>
  </si>
  <si>
    <t>David.Ramirez724@Gmail.Com</t>
  </si>
  <si>
    <t>Daniel Thompson</t>
  </si>
  <si>
    <t>Daniel.Thompson85@Gmail.Com</t>
  </si>
  <si>
    <t>Joseph Thompson</t>
  </si>
  <si>
    <t>Joseph.Thompson852@Gmail.Com</t>
  </si>
  <si>
    <t>Thomas Martinez</t>
  </si>
  <si>
    <t>Thomas.Martinez548@Gmail.Com</t>
  </si>
  <si>
    <t>Joshua Hernandez</t>
  </si>
  <si>
    <t>Joshua.Hernandez922@Gmail.Com</t>
  </si>
  <si>
    <t>Emily Wilson</t>
  </si>
  <si>
    <t>Emily.Wilson107@Gmail.Com</t>
  </si>
  <si>
    <t>Betty Johnson</t>
  </si>
  <si>
    <t>Betty.Johnson452@Gmail.Com</t>
  </si>
  <si>
    <t>Nancy Lee</t>
  </si>
  <si>
    <t>Nancy.Lee581@Gmail.Com</t>
  </si>
  <si>
    <t>Michael.Lopez629@Gmail.Com</t>
  </si>
  <si>
    <t>Thomas Lopez</t>
  </si>
  <si>
    <t>Thomas.Lopez119@Gmail.Com</t>
  </si>
  <si>
    <t>Sandra Taylor</t>
  </si>
  <si>
    <t>Sandra.Taylor148@Gmail.Com</t>
  </si>
  <si>
    <t>Nancy Harris</t>
  </si>
  <si>
    <t>Kimberly Lopez</t>
  </si>
  <si>
    <t>Kimberly.Lopez306@Gmail.Com</t>
  </si>
  <si>
    <t>Jennifer White</t>
  </si>
  <si>
    <t>Jennifer.White931@Gmail.Com</t>
  </si>
  <si>
    <t>Joseph Jackson</t>
  </si>
  <si>
    <t>Joseph.Jackson831@Gmail.Com</t>
  </si>
  <si>
    <t>Richard Clark</t>
  </si>
  <si>
    <t>Richard.Clark205@Gmail.Com</t>
  </si>
  <si>
    <t>Daniel Harris</t>
  </si>
  <si>
    <t>Daniel.Harris484@Gmail.Com</t>
  </si>
  <si>
    <t>Kenneth Lopez</t>
  </si>
  <si>
    <t>Kenneth.Lopez978@Gmail.Com</t>
  </si>
  <si>
    <t>Jennifer Davis</t>
  </si>
  <si>
    <t>Jennifer.Davis202@Gmail.Com</t>
  </si>
  <si>
    <t>Donald Lee</t>
  </si>
  <si>
    <t>Donald.Lee353@Gmail.Com</t>
  </si>
  <si>
    <t>Jennifer Ramirez</t>
  </si>
  <si>
    <t>Jennifer.Ramirez490@Gmail.Com</t>
  </si>
  <si>
    <t>Margaret Clark</t>
  </si>
  <si>
    <t>Margaret.Clark475@Gmail.Com</t>
  </si>
  <si>
    <t>Jennifer Harris</t>
  </si>
  <si>
    <t>Jennifer.Harris29@Gmail.Com</t>
  </si>
  <si>
    <t>Sandra Clark</t>
  </si>
  <si>
    <t>Sandra.Clark960@Gmail.Com</t>
  </si>
  <si>
    <t>Emily Jackson</t>
  </si>
  <si>
    <t>Emily.Jackson819@Gmail.Com</t>
  </si>
  <si>
    <t>Michael Moore</t>
  </si>
  <si>
    <t>Michael.Moore846@Gmail.Com</t>
  </si>
  <si>
    <t>Mary Rodriguez</t>
  </si>
  <si>
    <t>Mary.Rodriguez247@Gmail.Com</t>
  </si>
  <si>
    <t>Christopher Rodriguez</t>
  </si>
  <si>
    <t>Christopher.Rodriguez932@Gmail.Com</t>
  </si>
  <si>
    <t>Sandra Thompson</t>
  </si>
  <si>
    <t>Sandra.Thompson545@Gmail.Com</t>
  </si>
  <si>
    <t>Steven Smith</t>
  </si>
  <si>
    <t>Steven.Smith5@Gmail.Com</t>
  </si>
  <si>
    <t>Elizabeth Garcia</t>
  </si>
  <si>
    <t>Elizabeth.Garcia743@Gmail.Com</t>
  </si>
  <si>
    <t>Patricia Hernandez</t>
  </si>
  <si>
    <t>Patricia.Hernandez59@Gmail.Com</t>
  </si>
  <si>
    <t>Sarah Johnson</t>
  </si>
  <si>
    <t>John Thomas</t>
  </si>
  <si>
    <t>John.Thomas464@Gmail.Com</t>
  </si>
  <si>
    <t>Donald Moore</t>
  </si>
  <si>
    <t>Donald.Moore898@Gmail.Com</t>
  </si>
  <si>
    <t>Thomas Walker</t>
  </si>
  <si>
    <t>Thomas.Walker427@Gmail.Com</t>
  </si>
  <si>
    <t>Mark Hernandez</t>
  </si>
  <si>
    <t>Karen Clark</t>
  </si>
  <si>
    <t>Karen.Clark677@Gmail.Com</t>
  </si>
  <si>
    <t>Thomas Robinson</t>
  </si>
  <si>
    <t>Thomas.Robinson765@Gmail.Com</t>
  </si>
  <si>
    <t>Betty Robinson</t>
  </si>
  <si>
    <t>Betty.Robinson853@Gmail.Com</t>
  </si>
  <si>
    <t>Margaret Moore</t>
  </si>
  <si>
    <t>Margaret.Moore201@Gmail.Com</t>
  </si>
  <si>
    <t>Jennifer.Harris568@Gmail.Com</t>
  </si>
  <si>
    <t>Mary Wilson</t>
  </si>
  <si>
    <t>Joseph Robinson</t>
  </si>
  <si>
    <t>Barbara Rodriguez</t>
  </si>
  <si>
    <t>Barbara.Rodriguez839@Gmail.Com</t>
  </si>
  <si>
    <t>Betty Jones</t>
  </si>
  <si>
    <t>Betty.Jones92@Gmail.Com</t>
  </si>
  <si>
    <t>Barbara Anderson</t>
  </si>
  <si>
    <t>Barbara.Anderson650@Gmail.Com</t>
  </si>
  <si>
    <t>Thomas Williams</t>
  </si>
  <si>
    <t>Thomas.Williams884@Gmail.Com</t>
  </si>
  <si>
    <t>James Hernandez</t>
  </si>
  <si>
    <t>Jessica Brown</t>
  </si>
  <si>
    <t>Jessica.Brown186@Gmail.Com</t>
  </si>
  <si>
    <t>Karen.Perez297@Gmail.Com</t>
  </si>
  <si>
    <t>Steven Jackson</t>
  </si>
  <si>
    <t>Steven.Jackson252@Gmail.Com</t>
  </si>
  <si>
    <t>Michael Thompson</t>
  </si>
  <si>
    <t>Michael.Thompson560@Gmail.Com</t>
  </si>
  <si>
    <t>Betty Moore</t>
  </si>
  <si>
    <t>Betty.Moore236@Gmail.Com</t>
  </si>
  <si>
    <t>David Wilson</t>
  </si>
  <si>
    <t>Thomas Anderson</t>
  </si>
  <si>
    <t>Thomas.Anderson682@Gmail.Com</t>
  </si>
  <si>
    <t>Steven Thompson</t>
  </si>
  <si>
    <t>Steven.Thompson710@Gmail.Com</t>
  </si>
  <si>
    <t>Sandra Garcia</t>
  </si>
  <si>
    <t>Sandra.Garcia4@Gmail.Com</t>
  </si>
  <si>
    <t>Nancy Jackson</t>
  </si>
  <si>
    <t>Nancy.Jackson989@Gmail.Com</t>
  </si>
  <si>
    <t>Susan Lopez</t>
  </si>
  <si>
    <t>Susan.Lopez391@Gmail.Com</t>
  </si>
  <si>
    <t>Sarah Moore</t>
  </si>
  <si>
    <t>Thomas Ramirez</t>
  </si>
  <si>
    <t>Mary Martinez</t>
  </si>
  <si>
    <t>Mary.Martinez87@Gmail.Com</t>
  </si>
  <si>
    <t>Kimberly Lewis</t>
  </si>
  <si>
    <t>Kimberly.Lewis738@Gmail.Com</t>
  </si>
  <si>
    <t>Elizabeth Martinez</t>
  </si>
  <si>
    <t>Elizabeth.Martinez643@Gmail.Com</t>
  </si>
  <si>
    <t>Steven Jones</t>
  </si>
  <si>
    <t>Steven.Jones980@Gmail.Com</t>
  </si>
  <si>
    <t>Joseph Williams</t>
  </si>
  <si>
    <t>Joseph.Williams653@Gmail.Com</t>
  </si>
  <si>
    <t>Michael Wilson</t>
  </si>
  <si>
    <t>Andrew Thompson</t>
  </si>
  <si>
    <t>Andrew.Thompson4@Gmail.Com</t>
  </si>
  <si>
    <t>John Harris</t>
  </si>
  <si>
    <t>John.Harris68@Gmail.Com</t>
  </si>
  <si>
    <t>Donald Rodriguez</t>
  </si>
  <si>
    <t>Donald.Rodriguez747@Gmail.Com</t>
  </si>
  <si>
    <t>Joseph Harris</t>
  </si>
  <si>
    <t>Joseph.Harris79@Gmail.Com</t>
  </si>
  <si>
    <t>Charles Sanchez</t>
  </si>
  <si>
    <t>Charles.Sanchez659@Gmail.Com</t>
  </si>
  <si>
    <t>Kenneth Jones</t>
  </si>
  <si>
    <t>Kenneth.Jones762@Gmail.Com</t>
  </si>
  <si>
    <t>Michelle Martin</t>
  </si>
  <si>
    <t>Michelle.Martin63@Gmail.Com</t>
  </si>
  <si>
    <t>Michael White</t>
  </si>
  <si>
    <t>Michael.White298@Gmail.Com</t>
  </si>
  <si>
    <t>Charles Thomas</t>
  </si>
  <si>
    <t>Charles.Thomas916@Gmail.Com</t>
  </si>
  <si>
    <t>Karen Williams</t>
  </si>
  <si>
    <t>Steven Thomas</t>
  </si>
  <si>
    <t>Steven.Thomas939@Gmail.Com</t>
  </si>
  <si>
    <t>Susan Williams</t>
  </si>
  <si>
    <t>Susan.Williams269@Gmail.Com</t>
  </si>
  <si>
    <t>David Lee</t>
  </si>
  <si>
    <t>David.Lee237@Gmail.Com</t>
  </si>
  <si>
    <t>Ashley Wilson</t>
  </si>
  <si>
    <t>Ashley.Wilson973@Gmail.Com</t>
  </si>
  <si>
    <t>Mark Wilson</t>
  </si>
  <si>
    <t>Mark.Wilson427@Gmail.Com</t>
  </si>
  <si>
    <t>Christopher Brown</t>
  </si>
  <si>
    <t>Christopher.Brown769@Gmail.Com</t>
  </si>
  <si>
    <t>Betty Brown</t>
  </si>
  <si>
    <t>Betty.Brown924@Gmail.Com</t>
  </si>
  <si>
    <t>Thomas.Lopez891@Gmail.Com</t>
  </si>
  <si>
    <t>Lisa Walker</t>
  </si>
  <si>
    <t>Lisa.Walker288@Gmail.Com</t>
  </si>
  <si>
    <t>Charles Perez</t>
  </si>
  <si>
    <t>Charles.Perez447@Gmail.Com</t>
  </si>
  <si>
    <t>Richard Sanchez</t>
  </si>
  <si>
    <t>Richard.Sanchez832@Gmail.Com</t>
  </si>
  <si>
    <t>Betty Walker</t>
  </si>
  <si>
    <t>Betty.Walker51@Gmail.Com</t>
  </si>
  <si>
    <t>Month</t>
  </si>
  <si>
    <t>Order_Type</t>
  </si>
  <si>
    <t>Row Labels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</si>
  <si>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</si>
  <si>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</si>
  <si>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</si>
  <si>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</si>
  <si>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</si>
  <si>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</si>
  <si>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</si>
  <si>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</si>
  <si>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</si>
  <si>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</si>
  <si>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</si>
  <si>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</si>
  <si>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</si>
  <si>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Column Labels</t>
  </si>
  <si>
    <t>Sum of Total_Price</t>
  </si>
  <si>
    <t>Monthly Revenue by Category</t>
  </si>
  <si>
    <t>Monthly Sales – 2025</t>
  </si>
  <si>
    <t>Top 10 Customers by Total Spend</t>
  </si>
  <si>
    <t>Return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</si>
</sst>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rial"/>
      <family val="2"/>
    </font>
    <font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sz val="22"/>
      <color theme="0" tint="-4.9989318521683403E-2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center"/>
    </xf>
    <xf numFmtId="0" fontId="17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9" fillId="33" borderId="0" xfId="0" applyFont="1" applyFill="1" applyAlignment="1"/>
    <xf numFmtId="0" fontId="21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9" fontId="23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8" formatCode="&quot;$&quot;#,##0.0"/>
    </dxf>
    <dxf>
      <numFmt numFmtId="168" formatCode="&quot;$&quot;#,##0.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7" formatCode="&quot;$&quot;#,##0.00"/>
    </dxf>
    <dxf>
      <numFmt numFmtId="167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[orders_raw.xlsx]Pivot_Table!PivotTable2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</a:rPr>
              <a:t>Monthly Sales</a:t>
            </a:r>
            <a:r>
              <a:rPr lang="fa-IR" sz="1400" b="0" i="0" u="none" strike="noStrike" baseline="0">
                <a:solidFill>
                  <a:schemeClr val="bg1"/>
                </a:solidFill>
              </a:rPr>
              <a:t> </a:t>
            </a:r>
            <a:r>
              <a:rPr lang="en-US" sz="1400" b="0" i="0" u="none" strike="noStrike" baseline="0">
                <a:solidFill>
                  <a:schemeClr val="bg1"/>
                </a:solidFill>
              </a:rPr>
              <a:t>– 2025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37089329351071E-2"/>
          <c:y val="0.17171296296296296"/>
          <c:w val="0.82988469544755183"/>
          <c:h val="0.63756780402449698"/>
        </c:manualLayout>
      </c:layout>
      <c:lineChart>
        <c:grouping val="standard"/>
        <c:varyColors val="0"/>
        <c:ser>
          <c:idx val="0"/>
          <c:order val="0"/>
          <c:tx>
            <c:strRef>
              <c:f>Pivot_Table!$J$4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Pivot_Table!$I$5:$I$17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Pivot_Table!$J$5:$J$17</c:f>
              <c:numCache>
                <c:formatCode>"$"#,##0</c:formatCode>
                <c:ptCount val="12"/>
                <c:pt idx="0">
                  <c:v>6673.975065616798</c:v>
                </c:pt>
                <c:pt idx="1">
                  <c:v>7825.6556474558329</c:v>
                </c:pt>
                <c:pt idx="2">
                  <c:v>8156.7305278055283</c:v>
                </c:pt>
                <c:pt idx="3">
                  <c:v>5756.8301982331395</c:v>
                </c:pt>
                <c:pt idx="4">
                  <c:v>6916.731414547653</c:v>
                </c:pt>
                <c:pt idx="5">
                  <c:v>7220.4157907310082</c:v>
                </c:pt>
                <c:pt idx="6">
                  <c:v>8529.9004322441069</c:v>
                </c:pt>
                <c:pt idx="7">
                  <c:v>7639.8434078160799</c:v>
                </c:pt>
                <c:pt idx="8">
                  <c:v>5879.3865073071256</c:v>
                </c:pt>
                <c:pt idx="9">
                  <c:v>7314.7142072981142</c:v>
                </c:pt>
                <c:pt idx="10">
                  <c:v>8250.7397596339379</c:v>
                </c:pt>
                <c:pt idx="11">
                  <c:v>6691.4553525758138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F-4ACD-A471-69538E1F0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154255"/>
        <c:axId val="1151154735"/>
      </c:lineChart>
      <c:catAx>
        <c:axId val="115115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154735"/>
        <c:crosses val="autoZero"/>
        <c:auto val="1"/>
        <c:lblAlgn val="ctr"/>
        <c:lblOffset val="100"/>
        <c:noMultiLvlLbl val="0"/>
      </c:catAx>
      <c:valAx>
        <c:axId val="11511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15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1719612634628"/>
          <c:y val="3.0589822105570132E-2"/>
          <c:w val="0.10762593762074157"/>
          <c:h val="0.13432934048790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21</xdr:row>
      <xdr:rowOff>4763</xdr:rowOff>
    </xdr:from>
    <xdr:to>
      <xdr:col>5</xdr:col>
      <xdr:colOff>752474</xdr:colOff>
      <xdr:row>34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6B598F-3757-73BD-3F48-A8E8AD52A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" refreshedDate="46279.045260648149" createdVersion="8" refreshedVersion="8" minRefreshableVersion="3" recordCount="1300" xr:uid="{6D5A5084-C8FE-4760-9948-87F9203FF27C}">
  <cacheSource type="worksheet">
    <worksheetSource ref="A1:L1301" sheet="Orders_raw"/>
  </cacheSource>
  <cacheFields count="12">
    <cacheField name="order_id" numFmtId="0">
      <sharedItems containsSemiMixedTypes="0" containsString="0" containsNumber="1" containsInteger="1" minValue="5000" maxValue="6299"/>
    </cacheField>
    <cacheField name="customer_id" numFmtId="0">
      <sharedItems containsMixedTypes="1" containsNumber="1" containsInteger="1" minValue="1" maxValue="110" count="111">
        <n v="53"/>
        <n v="17"/>
        <n v="95"/>
        <n v="86"/>
        <n v="104"/>
        <n v="71"/>
        <n v="31"/>
        <n v="68"/>
        <n v="47"/>
        <n v="83"/>
        <n v="98"/>
        <n v="32"/>
        <n v="90"/>
        <n v="73"/>
        <n v="34"/>
        <n v="41"/>
        <n v="5"/>
        <n v="60"/>
        <n v="63"/>
        <n v="4"/>
        <n v="92"/>
        <n v="22"/>
        <n v="72"/>
        <n v="61"/>
        <n v="81"/>
        <n v="103"/>
        <n v="35"/>
        <n v="93"/>
        <n v="84"/>
        <n v="80"/>
        <n v="30"/>
        <n v="38"/>
        <n v="57"/>
        <n v="9"/>
        <n v="48"/>
        <n v="82"/>
        <n v="6"/>
        <n v="87"/>
        <n v="62"/>
        <n v="21"/>
        <n v="7"/>
        <n v="26"/>
        <n v="106"/>
        <n v="65"/>
        <n v="14"/>
        <n v="101"/>
        <n v="28"/>
        <n v="59"/>
        <n v="50"/>
        <n v="52"/>
        <n v="66"/>
        <n v="94"/>
        <n v="79"/>
        <n v="15"/>
        <n v="69"/>
        <n v="43"/>
        <n v="105"/>
        <n v="1"/>
        <n v="29"/>
        <n v="107"/>
        <n v="13"/>
        <n v="8"/>
        <n v="39"/>
        <n v="96"/>
        <n v="89"/>
        <n v="56"/>
        <n v="19"/>
        <n v="12"/>
        <n v="27"/>
        <n v="37"/>
        <n v="91"/>
        <n v="51"/>
        <n v="77"/>
        <n v="85"/>
        <n v="67"/>
        <n v="36"/>
        <n v="2"/>
        <n v="33"/>
        <n v="109"/>
        <n v="42"/>
        <n v="88"/>
        <n v="45"/>
        <n v="108"/>
        <n v="54"/>
        <n v="25"/>
        <n v="3"/>
        <n v="100"/>
        <n v="76"/>
        <n v="78"/>
        <n v="110"/>
        <n v="10"/>
        <n v="74"/>
        <n v="16"/>
        <n v="40"/>
        <n v="46"/>
        <n v="24"/>
        <n v="18"/>
        <n v="44"/>
        <n v="102"/>
        <n v="70"/>
        <n v="23"/>
        <n v="97"/>
        <n v="75"/>
        <n v="20"/>
        <n v="49"/>
        <n v="58"/>
        <n v="55"/>
        <n v="64"/>
        <s v="Unknown"/>
        <n v="11"/>
        <n v="99"/>
      </sharedItems>
    </cacheField>
    <cacheField name="Customer_Name" numFmtId="0">
      <sharedItems count="106">
        <s v="John Thomas"/>
        <s v="Mary Thomas"/>
        <s v="Michelle Martin"/>
        <s v="Steven Jones"/>
        <s v="Christopher Brown"/>
        <s v="Barbara Rodriguez"/>
        <s v="Nancy Harris"/>
        <s v="James Hernandez"/>
        <s v="Christopher Rodriguez"/>
        <s v="Mary Martinez"/>
        <s v="Karen Williams"/>
        <s v="Kimberly Lopez"/>
        <s v="John Harris"/>
        <s v="Michael Thompson"/>
        <s v="Joseph Jackson"/>
        <s v="Margaret Clark"/>
        <s v="Joshua Martin"/>
        <s v="Margaret Moore"/>
        <s v="Joseph Robinson"/>
        <s v="Joshua Brown"/>
        <s v="Joseph Harris"/>
        <s v="Joseph Thompson"/>
        <s v="Steven Jackson"/>
        <s v="Jennifer Harris"/>
        <s v="Sarah Moore"/>
        <s v="Mark Wilson"/>
        <s v="Richard Clark"/>
        <s v="Charles Sanchez"/>
        <s v="Kimberly Lewis"/>
        <s v="Susan Lopez"/>
        <s v="Sandra Taylor"/>
        <s v="Jennifer Davis"/>
        <s v="Karen Clark"/>
        <s v="Andrew Anderson"/>
        <s v="Sandra Thompson"/>
        <s v="Thomas Ramirez"/>
        <s v="David Martinez"/>
        <s v="Joseph Williams"/>
        <s v="Mary Wilson"/>
        <s v="Daniel Thompson"/>
        <s v="Emily Ramirez"/>
        <s v="Betty Johnson"/>
        <s v="Thomas Lopez"/>
        <s v="Betty Jones"/>
        <s v="Christopher Hernandez"/>
        <s v="David Lee"/>
        <s v="Michael Lopez"/>
        <s v="Betty Robinson"/>
        <s v="Elizabeth Garcia"/>
        <s v="Sarah Johnson"/>
        <s v="Barbara Anderson"/>
        <s v="Kenneth Jones"/>
        <s v="Nancy Jackson"/>
        <s v="Jennifer Rodriguez"/>
        <s v="Jessica Brown"/>
        <s v="Sandra Clark"/>
        <s v="Betty Brown"/>
        <s v="Christopher Jones"/>
        <s v="Lisa Walker"/>
        <s v="Anthony Johnson"/>
        <s v="Lisa Brown"/>
        <s v="Donald Lee"/>
        <s v="Michael White"/>
        <s v="Andrew Thompson"/>
        <s v="Mark Hernandez"/>
        <s v="Ashley Williams"/>
        <s v="Linda Moore"/>
        <s v="Nancy Lee"/>
        <s v="Kenneth Lopez"/>
        <s v="Donald Rodriguez"/>
        <s v="Patricia Hernandez"/>
        <s v="Steven Thompson"/>
        <s v="Elizabeth Martinez"/>
        <s v="Thomas Williams"/>
        <s v="Daniel Harris"/>
        <s v="Jennifer White"/>
        <s v="Richard Sanchez"/>
        <s v="Michael Wilson"/>
        <s v="Michael Moore"/>
        <s v="Charles Perez"/>
        <s v="Donald Moore"/>
        <s v="Emily Wilson"/>
        <s v="Anthony Williams"/>
        <s v="Susan Williams"/>
        <s v="Thomas Anderson"/>
        <s v="Sandra Garcia"/>
        <s v="Betty Walker"/>
        <s v="Karen Davis"/>
        <s v="Betty Moore"/>
        <s v="Karen Perez"/>
        <s v="Jennifer Ramirez"/>
        <s v="Mary Rodriguez"/>
        <s v="Joshua Hernandez"/>
        <s v="Susan Sanchez"/>
        <s v="Emily Jackson"/>
        <s v="Ashley Wilson"/>
        <s v="Thomas Martinez"/>
        <s v="Charles Thomas"/>
        <s v="David Wilson"/>
        <s v="David Ramirez"/>
        <s v="Steven Smith"/>
        <s v="Thomas Robinson"/>
        <s v="Thomas Walker"/>
        <s v="Unknown Customer"/>
        <s v="Ashley Robinson"/>
        <s v="Steven Thomas"/>
      </sharedItems>
    </cacheField>
    <cacheField name="order_date" numFmtId="14">
      <sharedItems containsSemiMixedTypes="0" containsNonDate="0" containsDate="1" containsString="0" minDate="2025-01-01T00:00:00" maxDate="2026-01-01T00:00:00"/>
    </cacheField>
    <cacheField name="Month" numFmtId="14">
      <sharedItems count="12">
        <s v="2025-11"/>
        <s v="2025-08"/>
        <s v="2025-05"/>
        <s v="2025-03"/>
        <s v="2025-10"/>
        <s v="2025-12"/>
        <s v="2025-04"/>
        <s v="2025-02"/>
        <s v="2025-06"/>
        <s v="2025-01"/>
        <s v="2025-07"/>
        <s v="2025-09"/>
      </sharedItems>
    </cacheField>
    <cacheField name="Product_Name" numFmtId="0">
      <sharedItems/>
    </cacheField>
    <cacheField name="Category" numFmtId="0">
      <sharedItems count="4">
        <s v="Bedding"/>
        <s v="Home Decor"/>
        <s v="Kitchen"/>
        <s v="Lighting"/>
      </sharedItems>
    </cacheField>
    <cacheField name="quantity" numFmtId="0">
      <sharedItems containsSemiMixedTypes="0" containsString="0" containsNumber="1" containsInteger="1" minValue="-3" maxValue="3"/>
    </cacheField>
    <cacheField name="unit_price" numFmtId="164">
      <sharedItems containsSemiMixedTypes="0" containsString="0" containsNumber="1" minValue="15" maxValue="92"/>
    </cacheField>
    <cacheField name="Total_Price" numFmtId="164">
      <sharedItems containsSemiMixedTypes="0" containsString="0" containsNumber="1" minValue="-267" maxValue="276"/>
    </cacheField>
    <cacheField name="Order_Type" numFmtId="164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n v="5000"/>
    <x v="0"/>
    <x v="0"/>
    <d v="2025-11-11T00:00:00"/>
    <x v="0"/>
    <s v="Memory Foam Pillow"/>
    <x v="0"/>
    <n v="3"/>
    <n v="32"/>
    <n v="96"/>
    <s v="Sale"/>
    <s v="Paypal"/>
  </r>
  <r>
    <n v="5001"/>
    <x v="1"/>
    <x v="1"/>
    <d v="2025-08-30T00:00:00"/>
    <x v="1"/>
    <s v="Wall Mirror"/>
    <x v="1"/>
    <n v="1"/>
    <n v="65"/>
    <n v="65"/>
    <s v="Sale"/>
    <s v="Debit Card"/>
  </r>
  <r>
    <n v="5002"/>
    <x v="2"/>
    <x v="2"/>
    <d v="2025-05-14T00:00:00"/>
    <x v="2"/>
    <s v="Ceramic Mug Set"/>
    <x v="2"/>
    <n v="3"/>
    <n v="24"/>
    <n v="72"/>
    <s v="Sale"/>
    <s v="Paypal"/>
  </r>
  <r>
    <n v="5003"/>
    <x v="3"/>
    <x v="3"/>
    <d v="2025-03-03T00:00:00"/>
    <x v="3"/>
    <s v="Cotton Bedsheet Set"/>
    <x v="0"/>
    <n v="3"/>
    <n v="55"/>
    <n v="165"/>
    <s v="Sale"/>
    <s v="Paypal"/>
  </r>
  <r>
    <n v="5004"/>
    <x v="4"/>
    <x v="4"/>
    <d v="2025-10-09T00:00:00"/>
    <x v="4"/>
    <s v="Memory Foam Pillow"/>
    <x v="0"/>
    <n v="2"/>
    <n v="32"/>
    <n v="64"/>
    <s v="Sale"/>
    <s v="Paypal"/>
  </r>
  <r>
    <n v="5005"/>
    <x v="5"/>
    <x v="5"/>
    <d v="2025-05-05T00:00:00"/>
    <x v="2"/>
    <s v="Table Lamp"/>
    <x v="3"/>
    <n v="1"/>
    <n v="45"/>
    <n v="45"/>
    <s v="Sale"/>
    <s v="Debit Card"/>
  </r>
  <r>
    <n v="5006"/>
    <x v="6"/>
    <x v="6"/>
    <d v="2025-05-13T00:00:00"/>
    <x v="2"/>
    <s v="String Lights"/>
    <x v="3"/>
    <n v="1"/>
    <n v="18"/>
    <n v="18"/>
    <s v="Sale"/>
    <s v="Debit Card"/>
  </r>
  <r>
    <n v="5007"/>
    <x v="7"/>
    <x v="7"/>
    <d v="2025-12-07T00:00:00"/>
    <x v="5"/>
    <s v="Table Lamp"/>
    <x v="3"/>
    <n v="1"/>
    <n v="42"/>
    <n v="42"/>
    <s v="Sale"/>
    <s v="Paypal"/>
  </r>
  <r>
    <n v="5008"/>
    <x v="8"/>
    <x v="8"/>
    <d v="2025-12-18T00:00:00"/>
    <x v="5"/>
    <s v="Wall Mirror"/>
    <x v="1"/>
    <n v="1"/>
    <n v="65"/>
    <n v="65"/>
    <s v="Sale"/>
    <s v="Credit Card"/>
  </r>
  <r>
    <n v="5009"/>
    <x v="9"/>
    <x v="9"/>
    <d v="2025-10-08T00:00:00"/>
    <x v="4"/>
    <s v="Memory Foam Pillow"/>
    <x v="0"/>
    <n v="1"/>
    <n v="32"/>
    <n v="32"/>
    <s v="Sale"/>
    <s v="Debit Card"/>
  </r>
  <r>
    <n v="5010"/>
    <x v="10"/>
    <x v="10"/>
    <d v="2025-10-28T00:00:00"/>
    <x v="4"/>
    <s v="Memory Foam Pillow"/>
    <x v="0"/>
    <n v="1"/>
    <n v="29"/>
    <n v="29"/>
    <s v="Sale"/>
    <s v="Credit Card"/>
  </r>
  <r>
    <n v="5011"/>
    <x v="11"/>
    <x v="11"/>
    <d v="2025-04-25T00:00:00"/>
    <x v="6"/>
    <s v="Throw Pillow"/>
    <x v="1"/>
    <n v="1"/>
    <n v="25"/>
    <n v="25"/>
    <s v="Sale"/>
    <s v="Debit Card"/>
  </r>
  <r>
    <n v="5012"/>
    <x v="12"/>
    <x v="12"/>
    <d v="2025-08-23T00:00:00"/>
    <x v="1"/>
    <s v="Ceramic Mug Set"/>
    <x v="2"/>
    <n v="2"/>
    <n v="21"/>
    <n v="42"/>
    <s v="Sale"/>
    <s v="Paypal"/>
  </r>
  <r>
    <n v="5013"/>
    <x v="13"/>
    <x v="13"/>
    <d v="2025-11-27T00:00:00"/>
    <x v="0"/>
    <s v="Ceramic Vase"/>
    <x v="1"/>
    <n v="1"/>
    <n v="28"/>
    <n v="28"/>
    <s v="Sale"/>
    <s v="Debit Card"/>
  </r>
  <r>
    <n v="5014"/>
    <x v="10"/>
    <x v="10"/>
    <d v="2025-02-20T00:00:00"/>
    <x v="7"/>
    <s v="Throw Pillow"/>
    <x v="1"/>
    <n v="1"/>
    <n v="22.047244094488189"/>
    <n v="22.047244094488189"/>
    <s v="Sale"/>
    <s v="Credit Card"/>
  </r>
  <r>
    <n v="5015"/>
    <x v="14"/>
    <x v="14"/>
    <d v="2025-11-04T00:00:00"/>
    <x v="0"/>
    <s v="Table Lamp"/>
    <x v="3"/>
    <n v="-1"/>
    <n v="48"/>
    <n v="-48"/>
    <s v="Return"/>
    <s v="Debit Card"/>
  </r>
  <r>
    <n v="5016"/>
    <x v="15"/>
    <x v="15"/>
    <d v="2025-05-05T00:00:00"/>
    <x v="2"/>
    <s v="Ceramic Mug Set"/>
    <x v="2"/>
    <n v="2"/>
    <n v="24"/>
    <n v="48"/>
    <s v="Sale"/>
    <s v="Credit Card"/>
  </r>
  <r>
    <n v="5017"/>
    <x v="0"/>
    <x v="0"/>
    <d v="2025-11-29T00:00:00"/>
    <x v="0"/>
    <s v="Cutting Board"/>
    <x v="2"/>
    <n v="1"/>
    <n v="16"/>
    <n v="16"/>
    <s v="Sale"/>
    <s v="Debit Card"/>
  </r>
  <r>
    <n v="5018"/>
    <x v="9"/>
    <x v="9"/>
    <d v="2025-11-02T00:00:00"/>
    <x v="0"/>
    <s v="Cotton Bedsheet Set"/>
    <x v="0"/>
    <n v="1"/>
    <n v="55"/>
    <n v="55"/>
    <s v="Sale"/>
    <s v="Credit Card"/>
  </r>
  <r>
    <n v="5019"/>
    <x v="16"/>
    <x v="16"/>
    <d v="2025-06-23T00:00:00"/>
    <x v="8"/>
    <s v="Cutting Board"/>
    <x v="2"/>
    <n v="1"/>
    <n v="19"/>
    <n v="19"/>
    <s v="Sale"/>
    <s v="Debit Card"/>
  </r>
  <r>
    <n v="5020"/>
    <x v="2"/>
    <x v="2"/>
    <d v="2025-02-04T00:00:00"/>
    <x v="7"/>
    <s v="Wool Blanket"/>
    <x v="0"/>
    <n v="2"/>
    <n v="70"/>
    <n v="140"/>
    <s v="Sale"/>
    <s v="Paypal"/>
  </r>
  <r>
    <n v="5021"/>
    <x v="17"/>
    <x v="17"/>
    <d v="2025-05-16T00:00:00"/>
    <x v="2"/>
    <s v="Table Lamp"/>
    <x v="3"/>
    <n v="1"/>
    <n v="48"/>
    <n v="48"/>
    <s v="Sale"/>
    <s v="Paypal"/>
  </r>
  <r>
    <n v="5022"/>
    <x v="18"/>
    <x v="18"/>
    <d v="2025-12-07T00:00:00"/>
    <x v="5"/>
    <s v="Cotton Bedsheet Set"/>
    <x v="0"/>
    <n v="2"/>
    <n v="55"/>
    <n v="110"/>
    <s v="Sale"/>
    <s v="Paypal"/>
  </r>
  <r>
    <n v="5023"/>
    <x v="19"/>
    <x v="19"/>
    <d v="2025-03-14T00:00:00"/>
    <x v="3"/>
    <s v="Non-Stick Pan Set"/>
    <x v="2"/>
    <n v="-1"/>
    <n v="57"/>
    <n v="-57"/>
    <s v="Return"/>
    <s v="Credit Card"/>
  </r>
  <r>
    <n v="5024"/>
    <x v="20"/>
    <x v="20"/>
    <d v="2025-02-27T00:00:00"/>
    <x v="7"/>
    <s v="String Lights"/>
    <x v="3"/>
    <n v="1"/>
    <n v="18"/>
    <n v="18"/>
    <s v="Sale"/>
    <s v="Debit Card"/>
  </r>
  <r>
    <n v="5025"/>
    <x v="7"/>
    <x v="7"/>
    <d v="2025-08-28T00:00:00"/>
    <x v="1"/>
    <s v="Cutting Board"/>
    <x v="2"/>
    <n v="1"/>
    <n v="19"/>
    <n v="19"/>
    <s v="Sale"/>
    <s v="Credit Card"/>
  </r>
  <r>
    <n v="5026"/>
    <x v="21"/>
    <x v="21"/>
    <d v="2025-01-02T00:00:00"/>
    <x v="9"/>
    <s v="Throw Pillow"/>
    <x v="1"/>
    <n v="1"/>
    <n v="19"/>
    <n v="19"/>
    <s v="Sale"/>
    <s v="Credit Card"/>
  </r>
  <r>
    <n v="5027"/>
    <x v="22"/>
    <x v="22"/>
    <d v="2025-07-14T00:00:00"/>
    <x v="10"/>
    <s v="Table Lamp"/>
    <x v="3"/>
    <n v="1"/>
    <n v="45"/>
    <n v="45"/>
    <s v="Sale"/>
    <s v="Debit Card"/>
  </r>
  <r>
    <n v="5028"/>
    <x v="23"/>
    <x v="23"/>
    <d v="2025-10-07T00:00:00"/>
    <x v="4"/>
    <s v="Table Lamp"/>
    <x v="3"/>
    <n v="1"/>
    <n v="45"/>
    <n v="45"/>
    <s v="Sale"/>
    <s v="Credit Card"/>
  </r>
  <r>
    <n v="5029"/>
    <x v="24"/>
    <x v="24"/>
    <d v="2025-07-05T00:00:00"/>
    <x v="10"/>
    <s v="Cotton Bedsheet Set"/>
    <x v="0"/>
    <n v="1"/>
    <n v="55"/>
    <n v="55"/>
    <s v="Sale"/>
    <s v="Credit Card"/>
  </r>
  <r>
    <n v="5030"/>
    <x v="25"/>
    <x v="25"/>
    <d v="2025-05-12T00:00:00"/>
    <x v="2"/>
    <s v="Ceramic Vase"/>
    <x v="1"/>
    <n v="1"/>
    <n v="25"/>
    <n v="25"/>
    <s v="Sale"/>
    <s v="Debit Card"/>
  </r>
  <r>
    <n v="5031"/>
    <x v="26"/>
    <x v="26"/>
    <d v="2025-11-12T00:00:00"/>
    <x v="0"/>
    <s v="String Lights"/>
    <x v="3"/>
    <n v="1"/>
    <n v="18"/>
    <n v="18"/>
    <s v="Sale"/>
    <s v="Credit Card"/>
  </r>
  <r>
    <n v="5032"/>
    <x v="27"/>
    <x v="27"/>
    <d v="2025-11-21T00:00:00"/>
    <x v="0"/>
    <s v="Non-Stick Pan Set"/>
    <x v="2"/>
    <n v="1"/>
    <n v="60"/>
    <n v="60"/>
    <s v="Sale"/>
    <s v="Debit Card"/>
  </r>
  <r>
    <n v="5033"/>
    <x v="17"/>
    <x v="17"/>
    <d v="2025-09-05T00:00:00"/>
    <x v="11"/>
    <s v="Cotton Bedsheet Set"/>
    <x v="0"/>
    <n v="2"/>
    <n v="55"/>
    <n v="110"/>
    <s v="Sale"/>
    <s v="Credit Card"/>
  </r>
  <r>
    <n v="5034"/>
    <x v="25"/>
    <x v="25"/>
    <d v="2025-06-05T00:00:00"/>
    <x v="8"/>
    <s v="Cutting Board"/>
    <x v="2"/>
    <n v="-2"/>
    <n v="19"/>
    <n v="-38"/>
    <s v="Return"/>
    <s v="Credit Card"/>
  </r>
  <r>
    <n v="5035"/>
    <x v="8"/>
    <x v="8"/>
    <d v="2025-02-10T00:00:00"/>
    <x v="7"/>
    <s v="Non-Stick Pan Set"/>
    <x v="2"/>
    <n v="2"/>
    <n v="60"/>
    <n v="120"/>
    <s v="Sale"/>
    <s v="Credit Card"/>
  </r>
  <r>
    <n v="5036"/>
    <x v="28"/>
    <x v="28"/>
    <d v="2025-04-09T00:00:00"/>
    <x v="6"/>
    <s v="Ceramic Vase"/>
    <x v="1"/>
    <n v="1"/>
    <n v="28"/>
    <n v="28"/>
    <s v="Sale"/>
    <s v="Debit Card"/>
  </r>
  <r>
    <n v="5037"/>
    <x v="29"/>
    <x v="29"/>
    <d v="2025-04-17T00:00:00"/>
    <x v="6"/>
    <s v="Throw Pillow"/>
    <x v="1"/>
    <n v="2"/>
    <n v="22"/>
    <n v="44"/>
    <s v="Sale"/>
    <s v="Unknown"/>
  </r>
  <r>
    <n v="5038"/>
    <x v="30"/>
    <x v="30"/>
    <d v="2025-02-08T00:00:00"/>
    <x v="7"/>
    <s v="Wall Mirror"/>
    <x v="1"/>
    <n v="2"/>
    <n v="65"/>
    <n v="130"/>
    <s v="Sale"/>
    <s v="Debit Card"/>
  </r>
  <r>
    <n v="5039"/>
    <x v="31"/>
    <x v="31"/>
    <d v="2025-10-18T00:00:00"/>
    <x v="4"/>
    <s v="Floor Lamp"/>
    <x v="3"/>
    <n v="1"/>
    <n v="89"/>
    <n v="89"/>
    <s v="Sale"/>
    <s v="Paypal"/>
  </r>
  <r>
    <n v="5040"/>
    <x v="32"/>
    <x v="32"/>
    <d v="2025-04-06T00:00:00"/>
    <x v="6"/>
    <s v="Table Lamp"/>
    <x v="3"/>
    <n v="-1"/>
    <n v="45"/>
    <n v="-45"/>
    <s v="Return"/>
    <s v="Debit Card"/>
  </r>
  <r>
    <n v="5041"/>
    <x v="33"/>
    <x v="33"/>
    <d v="2025-05-09T00:00:00"/>
    <x v="2"/>
    <s v="Cotton Bedsheet Set"/>
    <x v="0"/>
    <n v="1"/>
    <n v="58"/>
    <n v="58"/>
    <s v="Sale"/>
    <s v="Unknown"/>
  </r>
  <r>
    <n v="5042"/>
    <x v="17"/>
    <x v="17"/>
    <d v="2025-02-22T00:00:00"/>
    <x v="7"/>
    <s v="Ceramic Vase"/>
    <x v="1"/>
    <n v="2"/>
    <n v="28"/>
    <n v="56"/>
    <s v="Sale"/>
    <s v="Credit Card"/>
  </r>
  <r>
    <n v="5043"/>
    <x v="32"/>
    <x v="32"/>
    <d v="2025-04-30T00:00:00"/>
    <x v="6"/>
    <s v="Floor Lamp"/>
    <x v="3"/>
    <n v="1"/>
    <n v="89"/>
    <n v="89"/>
    <s v="Sale"/>
    <s v="Credit Card"/>
  </r>
  <r>
    <n v="5044"/>
    <x v="34"/>
    <x v="34"/>
    <d v="2025-02-04T00:00:00"/>
    <x v="7"/>
    <s v="Wool Blanket"/>
    <x v="0"/>
    <n v="2"/>
    <n v="70"/>
    <n v="140"/>
    <s v="Sale"/>
    <s v="Credit Card"/>
  </r>
  <r>
    <n v="5045"/>
    <x v="35"/>
    <x v="35"/>
    <d v="2025-12-30T00:00:00"/>
    <x v="5"/>
    <s v="Non-Stick Pan Set"/>
    <x v="2"/>
    <n v="-1"/>
    <n v="57"/>
    <n v="-57"/>
    <s v="Return"/>
    <s v="Paypal"/>
  </r>
  <r>
    <n v="5046"/>
    <x v="36"/>
    <x v="36"/>
    <d v="2025-05-11T00:00:00"/>
    <x v="2"/>
    <s v="Table Lamp"/>
    <x v="3"/>
    <n v="2"/>
    <n v="45"/>
    <n v="90"/>
    <s v="Sale"/>
    <s v="Credit Card"/>
  </r>
  <r>
    <n v="5047"/>
    <x v="37"/>
    <x v="37"/>
    <d v="2025-05-04T00:00:00"/>
    <x v="2"/>
    <s v="String Lights"/>
    <x v="3"/>
    <n v="1"/>
    <n v="18"/>
    <n v="18"/>
    <s v="Sale"/>
    <s v="Paypal"/>
  </r>
  <r>
    <n v="5048"/>
    <x v="38"/>
    <x v="38"/>
    <d v="2025-07-28T00:00:00"/>
    <x v="10"/>
    <s v="Throw Pillow"/>
    <x v="1"/>
    <n v="2"/>
    <n v="25"/>
    <n v="50"/>
    <s v="Sale"/>
    <s v="Debit Card"/>
  </r>
  <r>
    <n v="5049"/>
    <x v="39"/>
    <x v="39"/>
    <d v="2025-12-23T00:00:00"/>
    <x v="5"/>
    <s v="Cotton Bedsheet Set"/>
    <x v="0"/>
    <n v="2"/>
    <n v="54.794117647058826"/>
    <n v="109.58823529411765"/>
    <s v="Sale"/>
    <s v="Credit Card"/>
  </r>
  <r>
    <n v="5050"/>
    <x v="40"/>
    <x v="40"/>
    <d v="2025-10-18T00:00:00"/>
    <x v="4"/>
    <s v="Floor Lamp"/>
    <x v="3"/>
    <n v="2"/>
    <n v="89"/>
    <n v="178"/>
    <s v="Sale"/>
    <s v="Debit Card"/>
  </r>
  <r>
    <n v="5051"/>
    <x v="41"/>
    <x v="41"/>
    <d v="2025-07-27T00:00:00"/>
    <x v="10"/>
    <s v="Cotton Bedsheet Set"/>
    <x v="0"/>
    <n v="1"/>
    <n v="55"/>
    <n v="55"/>
    <s v="Sale"/>
    <s v="Credit Card"/>
  </r>
  <r>
    <n v="5052"/>
    <x v="42"/>
    <x v="42"/>
    <d v="2025-07-27T00:00:00"/>
    <x v="10"/>
    <s v="Throw Pillow"/>
    <x v="1"/>
    <n v="2"/>
    <n v="22"/>
    <n v="44"/>
    <s v="Sale"/>
    <s v="Credit Card"/>
  </r>
  <r>
    <n v="5053"/>
    <x v="5"/>
    <x v="5"/>
    <d v="2025-11-25T00:00:00"/>
    <x v="0"/>
    <s v="Wall Mirror"/>
    <x v="1"/>
    <n v="1"/>
    <n v="68"/>
    <n v="68"/>
    <s v="Sale"/>
    <s v="Debit Card"/>
  </r>
  <r>
    <n v="5054"/>
    <x v="43"/>
    <x v="43"/>
    <d v="2025-03-16T00:00:00"/>
    <x v="3"/>
    <s v="Wall Mirror"/>
    <x v="1"/>
    <n v="1"/>
    <n v="65"/>
    <n v="65"/>
    <s v="Sale"/>
    <s v="Credit Card"/>
  </r>
  <r>
    <n v="5055"/>
    <x v="44"/>
    <x v="44"/>
    <d v="2025-09-09T00:00:00"/>
    <x v="11"/>
    <s v="Cotton Bedsheet Set"/>
    <x v="0"/>
    <n v="1"/>
    <n v="55"/>
    <n v="55"/>
    <s v="Sale"/>
    <s v="Debit Card"/>
  </r>
  <r>
    <n v="5056"/>
    <x v="40"/>
    <x v="40"/>
    <d v="2025-11-22T00:00:00"/>
    <x v="0"/>
    <s v="Non-Stick Pan Set"/>
    <x v="2"/>
    <n v="1"/>
    <n v="63"/>
    <n v="63"/>
    <s v="Sale"/>
    <s v="Debit Card"/>
  </r>
  <r>
    <n v="5057"/>
    <x v="45"/>
    <x v="45"/>
    <d v="2025-11-14T00:00:00"/>
    <x v="0"/>
    <s v="Table Lamp"/>
    <x v="3"/>
    <n v="2"/>
    <n v="45"/>
    <n v="90"/>
    <s v="Sale"/>
    <s v="Paypal"/>
  </r>
  <r>
    <n v="5058"/>
    <x v="46"/>
    <x v="46"/>
    <d v="2025-07-24T00:00:00"/>
    <x v="10"/>
    <s v="Ceramic Vase"/>
    <x v="1"/>
    <n v="1"/>
    <n v="28"/>
    <n v="28"/>
    <s v="Sale"/>
    <s v="Paypal"/>
  </r>
  <r>
    <n v="5059"/>
    <x v="27"/>
    <x v="27"/>
    <d v="2025-01-22T00:00:00"/>
    <x v="9"/>
    <s v="Table Lamp"/>
    <x v="3"/>
    <n v="3"/>
    <n v="45.091836734693878"/>
    <n v="135.27551020408163"/>
    <s v="Sale"/>
    <s v="Paypal"/>
  </r>
  <r>
    <n v="5060"/>
    <x v="47"/>
    <x v="47"/>
    <d v="2025-11-18T00:00:00"/>
    <x v="0"/>
    <s v="Wool Blanket"/>
    <x v="0"/>
    <n v="3"/>
    <n v="69.878787878787875"/>
    <n v="209.63636363636363"/>
    <s v="Sale"/>
    <s v="Credit Card"/>
  </r>
  <r>
    <n v="5061"/>
    <x v="48"/>
    <x v="48"/>
    <d v="2025-08-07T00:00:00"/>
    <x v="1"/>
    <s v="Ceramic Mug Set"/>
    <x v="2"/>
    <n v="2"/>
    <n v="24"/>
    <n v="48"/>
    <s v="Sale"/>
    <s v="Credit Card"/>
  </r>
  <r>
    <n v="5062"/>
    <x v="29"/>
    <x v="29"/>
    <d v="2025-08-27T00:00:00"/>
    <x v="1"/>
    <s v="Memory Foam Pillow"/>
    <x v="0"/>
    <n v="2"/>
    <n v="35"/>
    <n v="70"/>
    <s v="Sale"/>
    <s v="Credit Card"/>
  </r>
  <r>
    <n v="5063"/>
    <x v="49"/>
    <x v="49"/>
    <d v="2025-02-04T00:00:00"/>
    <x v="7"/>
    <s v="Throw Pillow"/>
    <x v="1"/>
    <n v="1"/>
    <n v="22"/>
    <n v="22"/>
    <s v="Sale"/>
    <s v="Unknown"/>
  </r>
  <r>
    <n v="5064"/>
    <x v="43"/>
    <x v="43"/>
    <d v="2025-12-03T00:00:00"/>
    <x v="5"/>
    <s v="Wool Blanket"/>
    <x v="0"/>
    <n v="1"/>
    <n v="70"/>
    <n v="70"/>
    <s v="Sale"/>
    <s v="Debit Card"/>
  </r>
  <r>
    <n v="5065"/>
    <x v="50"/>
    <x v="50"/>
    <d v="2025-01-28T00:00:00"/>
    <x v="9"/>
    <s v="Throw Pillow"/>
    <x v="1"/>
    <n v="3"/>
    <n v="22"/>
    <n v="66"/>
    <s v="Sale"/>
    <s v="Unknown"/>
  </r>
  <r>
    <n v="5066"/>
    <x v="51"/>
    <x v="51"/>
    <d v="2025-02-26T00:00:00"/>
    <x v="7"/>
    <s v="Cutting Board"/>
    <x v="2"/>
    <n v="1"/>
    <n v="19"/>
    <n v="19"/>
    <s v="Sale"/>
    <s v="Debit Card"/>
  </r>
  <r>
    <n v="5067"/>
    <x v="45"/>
    <x v="45"/>
    <d v="2025-04-24T00:00:00"/>
    <x v="6"/>
    <s v="Cutting Board"/>
    <x v="2"/>
    <n v="1"/>
    <n v="22"/>
    <n v="22"/>
    <s v="Sale"/>
    <s v="Debit Card"/>
  </r>
  <r>
    <n v="5068"/>
    <x v="52"/>
    <x v="52"/>
    <d v="2025-08-22T00:00:00"/>
    <x v="1"/>
    <s v="Floor Lamp"/>
    <x v="3"/>
    <n v="1"/>
    <n v="92"/>
    <n v="92"/>
    <s v="Sale"/>
    <s v="Paypal"/>
  </r>
  <r>
    <n v="5069"/>
    <x v="14"/>
    <x v="14"/>
    <d v="2025-09-17T00:00:00"/>
    <x v="11"/>
    <s v="Non-Stick Pan Set"/>
    <x v="2"/>
    <n v="1"/>
    <n v="60"/>
    <n v="60"/>
    <s v="Sale"/>
    <s v="Paypal"/>
  </r>
  <r>
    <n v="5070"/>
    <x v="49"/>
    <x v="49"/>
    <d v="2025-11-22T00:00:00"/>
    <x v="0"/>
    <s v="Wall Mirror"/>
    <x v="1"/>
    <n v="3"/>
    <n v="65"/>
    <n v="195"/>
    <s v="Sale"/>
    <s v="Debit Card"/>
  </r>
  <r>
    <n v="5071"/>
    <x v="53"/>
    <x v="53"/>
    <d v="2025-01-25T00:00:00"/>
    <x v="9"/>
    <s v="Wool Blanket"/>
    <x v="0"/>
    <n v="2"/>
    <n v="73"/>
    <n v="146"/>
    <s v="Sale"/>
    <s v="Debit Card"/>
  </r>
  <r>
    <n v="5072"/>
    <x v="54"/>
    <x v="54"/>
    <d v="2025-07-21T00:00:00"/>
    <x v="10"/>
    <s v="Ceramic Mug Set"/>
    <x v="2"/>
    <n v="1"/>
    <n v="24"/>
    <n v="24"/>
    <s v="Sale"/>
    <s v="Debit Card"/>
  </r>
  <r>
    <n v="5073"/>
    <x v="55"/>
    <x v="55"/>
    <d v="2025-08-15T00:00:00"/>
    <x v="1"/>
    <s v="Throw Pillow"/>
    <x v="1"/>
    <n v="1"/>
    <n v="25"/>
    <n v="25"/>
    <s v="Sale"/>
    <s v="Debit Card"/>
  </r>
  <r>
    <n v="5074"/>
    <x v="56"/>
    <x v="56"/>
    <d v="2025-10-05T00:00:00"/>
    <x v="4"/>
    <s v="Wool Blanket"/>
    <x v="0"/>
    <n v="3"/>
    <n v="73"/>
    <n v="219"/>
    <s v="Sale"/>
    <s v="Debit Card"/>
  </r>
  <r>
    <n v="5075"/>
    <x v="57"/>
    <x v="57"/>
    <d v="2025-01-18T00:00:00"/>
    <x v="9"/>
    <s v="Cutting Board"/>
    <x v="2"/>
    <n v="1"/>
    <n v="19"/>
    <n v="19"/>
    <s v="Sale"/>
    <s v="Credit Card"/>
  </r>
  <r>
    <n v="5076"/>
    <x v="50"/>
    <x v="50"/>
    <d v="2025-01-25T00:00:00"/>
    <x v="9"/>
    <s v="String Lights"/>
    <x v="3"/>
    <n v="2"/>
    <n v="18"/>
    <n v="36"/>
    <s v="Sale"/>
    <s v="Credit Card"/>
  </r>
  <r>
    <n v="5077"/>
    <x v="40"/>
    <x v="40"/>
    <d v="2025-10-18T00:00:00"/>
    <x v="4"/>
    <s v="Ceramic Vase"/>
    <x v="1"/>
    <n v="1"/>
    <n v="25"/>
    <n v="25"/>
    <s v="Sale"/>
    <s v="Paypal"/>
  </r>
  <r>
    <n v="5078"/>
    <x v="58"/>
    <x v="42"/>
    <d v="2025-10-26T00:00:00"/>
    <x v="4"/>
    <s v="Cotton Bedsheet Set"/>
    <x v="0"/>
    <n v="2"/>
    <n v="55"/>
    <n v="110"/>
    <s v="Sale"/>
    <s v="Paypal"/>
  </r>
  <r>
    <n v="5079"/>
    <x v="59"/>
    <x v="58"/>
    <d v="2025-03-23T00:00:00"/>
    <x v="3"/>
    <s v="Memory Foam Pillow"/>
    <x v="0"/>
    <n v="1"/>
    <n v="32"/>
    <n v="32"/>
    <s v="Sale"/>
    <s v="Credit Card"/>
  </r>
  <r>
    <n v="5080"/>
    <x v="60"/>
    <x v="59"/>
    <d v="2025-11-23T00:00:00"/>
    <x v="0"/>
    <s v="Throw Pillow"/>
    <x v="1"/>
    <n v="3"/>
    <n v="22"/>
    <n v="66"/>
    <s v="Sale"/>
    <s v="Credit Card"/>
  </r>
  <r>
    <n v="5081"/>
    <x v="61"/>
    <x v="60"/>
    <d v="2025-10-15T00:00:00"/>
    <x v="4"/>
    <s v="Ceramic Mug Set"/>
    <x v="2"/>
    <n v="2"/>
    <n v="27"/>
    <n v="54"/>
    <s v="Sale"/>
    <s v="Paypal"/>
  </r>
  <r>
    <n v="5082"/>
    <x v="21"/>
    <x v="21"/>
    <d v="2025-01-23T00:00:00"/>
    <x v="9"/>
    <s v="Ceramic Vase"/>
    <x v="1"/>
    <n v="2"/>
    <n v="25"/>
    <n v="50"/>
    <s v="Sale"/>
    <s v="Unknown"/>
  </r>
  <r>
    <n v="5083"/>
    <x v="39"/>
    <x v="39"/>
    <d v="2025-02-23T00:00:00"/>
    <x v="7"/>
    <s v="Ceramic Vase"/>
    <x v="1"/>
    <n v="2"/>
    <n v="31"/>
    <n v="62"/>
    <s v="Sale"/>
    <s v="Paypal"/>
  </r>
  <r>
    <n v="5084"/>
    <x v="0"/>
    <x v="0"/>
    <d v="2025-09-23T00:00:00"/>
    <x v="11"/>
    <s v="Table Lamp"/>
    <x v="3"/>
    <n v="2"/>
    <n v="45"/>
    <n v="90"/>
    <s v="Sale"/>
    <s v="Credit Card"/>
  </r>
  <r>
    <n v="5085"/>
    <x v="62"/>
    <x v="61"/>
    <d v="2025-01-25T00:00:00"/>
    <x v="9"/>
    <s v="Ceramic Mug Set"/>
    <x v="2"/>
    <n v="3"/>
    <n v="27"/>
    <n v="81"/>
    <s v="Sale"/>
    <s v="Credit Card"/>
  </r>
  <r>
    <n v="5086"/>
    <x v="63"/>
    <x v="62"/>
    <d v="2025-11-02T00:00:00"/>
    <x v="0"/>
    <s v="Memory Foam Pillow"/>
    <x v="0"/>
    <n v="1"/>
    <n v="32"/>
    <n v="32"/>
    <s v="Sale"/>
    <s v="Paypal"/>
  </r>
  <r>
    <n v="5087"/>
    <x v="9"/>
    <x v="9"/>
    <d v="2025-05-03T00:00:00"/>
    <x v="2"/>
    <s v="Ceramic Vase"/>
    <x v="1"/>
    <n v="3"/>
    <n v="28"/>
    <n v="84"/>
    <s v="Sale"/>
    <s v="Debit Card"/>
  </r>
  <r>
    <n v="5088"/>
    <x v="35"/>
    <x v="35"/>
    <d v="2025-12-14T00:00:00"/>
    <x v="5"/>
    <s v="Wool Blanket"/>
    <x v="0"/>
    <n v="3"/>
    <n v="69.878787878787875"/>
    <n v="209.63636363636363"/>
    <s v="Sale"/>
    <s v="Debit Card"/>
  </r>
  <r>
    <n v="5089"/>
    <x v="46"/>
    <x v="46"/>
    <d v="2025-09-17T00:00:00"/>
    <x v="11"/>
    <s v="Throw Pillow"/>
    <x v="1"/>
    <n v="1"/>
    <n v="22"/>
    <n v="22"/>
    <s v="Sale"/>
    <s v="Paypal"/>
  </r>
  <r>
    <n v="5090"/>
    <x v="63"/>
    <x v="62"/>
    <d v="2025-09-04T00:00:00"/>
    <x v="11"/>
    <s v="String Lights"/>
    <x v="3"/>
    <n v="1"/>
    <n v="21"/>
    <n v="21"/>
    <s v="Sale"/>
    <s v="Debit Card"/>
  </r>
  <r>
    <n v="5091"/>
    <x v="64"/>
    <x v="63"/>
    <d v="2025-02-10T00:00:00"/>
    <x v="7"/>
    <s v="Ceramic Mug Set"/>
    <x v="2"/>
    <n v="2"/>
    <n v="27"/>
    <n v="54"/>
    <s v="Sale"/>
    <s v="Credit Card"/>
  </r>
  <r>
    <n v="5092"/>
    <x v="65"/>
    <x v="64"/>
    <d v="2025-04-30T00:00:00"/>
    <x v="6"/>
    <s v="Cutting Board"/>
    <x v="2"/>
    <n v="1"/>
    <n v="19"/>
    <n v="19"/>
    <s v="Sale"/>
    <s v="Paypal"/>
  </r>
  <r>
    <n v="5093"/>
    <x v="21"/>
    <x v="21"/>
    <d v="2025-01-17T00:00:00"/>
    <x v="9"/>
    <s v="Wall Mirror"/>
    <x v="1"/>
    <n v="1"/>
    <n v="62"/>
    <n v="62"/>
    <s v="Sale"/>
    <s v="Debit Card"/>
  </r>
  <r>
    <n v="5094"/>
    <x v="66"/>
    <x v="65"/>
    <d v="2025-01-15T00:00:00"/>
    <x v="9"/>
    <s v="Cutting Board"/>
    <x v="2"/>
    <n v="1"/>
    <n v="19"/>
    <n v="19"/>
    <s v="Sale"/>
    <s v="Debit Card"/>
  </r>
  <r>
    <n v="5095"/>
    <x v="33"/>
    <x v="33"/>
    <d v="2025-01-24T00:00:00"/>
    <x v="9"/>
    <s v="Cutting Board"/>
    <x v="2"/>
    <n v="2"/>
    <n v="19"/>
    <n v="38"/>
    <s v="Sale"/>
    <s v="Debit Card"/>
  </r>
  <r>
    <n v="5096"/>
    <x v="48"/>
    <x v="48"/>
    <d v="2025-05-07T00:00:00"/>
    <x v="2"/>
    <s v="Throw Pillow"/>
    <x v="1"/>
    <n v="1"/>
    <n v="19"/>
    <n v="19"/>
    <s v="Sale"/>
    <s v="Debit Card"/>
  </r>
  <r>
    <n v="5097"/>
    <x v="67"/>
    <x v="66"/>
    <d v="2025-11-20T00:00:00"/>
    <x v="0"/>
    <s v="Ceramic Mug Set"/>
    <x v="2"/>
    <n v="2"/>
    <n v="21"/>
    <n v="42"/>
    <s v="Sale"/>
    <s v="Debit Card"/>
  </r>
  <r>
    <n v="5098"/>
    <x v="68"/>
    <x v="67"/>
    <d v="2025-06-13T00:00:00"/>
    <x v="8"/>
    <s v="Floor Lamp"/>
    <x v="3"/>
    <n v="2"/>
    <n v="89"/>
    <n v="178"/>
    <s v="Sale"/>
    <s v="Debit Card"/>
  </r>
  <r>
    <n v="5099"/>
    <x v="69"/>
    <x v="68"/>
    <d v="2025-08-07T00:00:00"/>
    <x v="1"/>
    <s v="Ceramic Vase"/>
    <x v="1"/>
    <n v="2"/>
    <n v="31"/>
    <n v="62"/>
    <s v="Sale"/>
    <s v="Paypal"/>
  </r>
  <r>
    <n v="5100"/>
    <x v="63"/>
    <x v="62"/>
    <d v="2025-07-31T00:00:00"/>
    <x v="10"/>
    <s v="Ceramic Vase"/>
    <x v="1"/>
    <n v="2"/>
    <n v="31"/>
    <n v="62"/>
    <s v="Sale"/>
    <s v="Credit Card"/>
  </r>
  <r>
    <n v="5101"/>
    <x v="70"/>
    <x v="69"/>
    <d v="2025-10-03T00:00:00"/>
    <x v="4"/>
    <s v="Ceramic Vase"/>
    <x v="1"/>
    <n v="3"/>
    <n v="25"/>
    <n v="75"/>
    <s v="Sale"/>
    <s v="Paypal"/>
  </r>
  <r>
    <n v="5102"/>
    <x v="65"/>
    <x v="64"/>
    <d v="2025-09-26T00:00:00"/>
    <x v="11"/>
    <s v="Ceramic Vase"/>
    <x v="1"/>
    <n v="1"/>
    <n v="25"/>
    <n v="25"/>
    <s v="Sale"/>
    <s v="Credit Card"/>
  </r>
  <r>
    <n v="5103"/>
    <x v="60"/>
    <x v="59"/>
    <d v="2025-12-22T00:00:00"/>
    <x v="5"/>
    <s v="Memory Foam Pillow"/>
    <x v="0"/>
    <n v="1"/>
    <n v="35"/>
    <n v="35"/>
    <s v="Sale"/>
    <s v="Paypal"/>
  </r>
  <r>
    <n v="5104"/>
    <x v="39"/>
    <x v="39"/>
    <d v="2025-04-20T00:00:00"/>
    <x v="6"/>
    <s v="Floor Lamp"/>
    <x v="3"/>
    <n v="2"/>
    <n v="89"/>
    <n v="178"/>
    <s v="Sale"/>
    <s v="Credit Card"/>
  </r>
  <r>
    <n v="5105"/>
    <x v="45"/>
    <x v="45"/>
    <d v="2025-10-15T00:00:00"/>
    <x v="4"/>
    <s v="Cutting Board"/>
    <x v="2"/>
    <n v="3"/>
    <n v="19"/>
    <n v="57"/>
    <s v="Sale"/>
    <s v="Credit Card"/>
  </r>
  <r>
    <n v="5106"/>
    <x v="71"/>
    <x v="70"/>
    <d v="2025-02-14T00:00:00"/>
    <x v="7"/>
    <s v="Cutting Board"/>
    <x v="2"/>
    <n v="-3"/>
    <n v="16"/>
    <n v="-48"/>
    <s v="Return"/>
    <s v="Debit Card"/>
  </r>
  <r>
    <n v="5107"/>
    <x v="14"/>
    <x v="14"/>
    <d v="2025-10-07T00:00:00"/>
    <x v="4"/>
    <s v="Cotton Bedsheet Set"/>
    <x v="0"/>
    <n v="2"/>
    <n v="55"/>
    <n v="110"/>
    <s v="Sale"/>
    <s v="Paypal"/>
  </r>
  <r>
    <n v="5108"/>
    <x v="72"/>
    <x v="71"/>
    <d v="2025-11-06T00:00:00"/>
    <x v="0"/>
    <s v="Cutting Board"/>
    <x v="2"/>
    <n v="1"/>
    <n v="22"/>
    <n v="22"/>
    <s v="Sale"/>
    <s v="Credit Card"/>
  </r>
  <r>
    <n v="5109"/>
    <x v="73"/>
    <x v="72"/>
    <d v="2025-06-15T00:00:00"/>
    <x v="8"/>
    <s v="Wool Blanket"/>
    <x v="0"/>
    <n v="2"/>
    <n v="70"/>
    <n v="140"/>
    <s v="Sale"/>
    <s v="Paypal"/>
  </r>
  <r>
    <n v="5110"/>
    <x v="30"/>
    <x v="30"/>
    <d v="2025-06-21T00:00:00"/>
    <x v="8"/>
    <s v="Wall Mirror"/>
    <x v="1"/>
    <n v="3"/>
    <n v="65"/>
    <n v="195"/>
    <s v="Sale"/>
    <s v="Debit Card"/>
  </r>
  <r>
    <n v="5111"/>
    <x v="62"/>
    <x v="61"/>
    <d v="2025-11-13T00:00:00"/>
    <x v="0"/>
    <s v="Cutting Board"/>
    <x v="2"/>
    <n v="3"/>
    <n v="19"/>
    <n v="57"/>
    <s v="Sale"/>
    <s v="Paypal"/>
  </r>
  <r>
    <n v="5112"/>
    <x v="74"/>
    <x v="73"/>
    <d v="2025-03-24T00:00:00"/>
    <x v="3"/>
    <s v="String Lights"/>
    <x v="3"/>
    <n v="1"/>
    <n v="18"/>
    <n v="18"/>
    <s v="Sale"/>
    <s v="Paypal"/>
  </r>
  <r>
    <n v="5113"/>
    <x v="73"/>
    <x v="72"/>
    <d v="2025-11-04T00:00:00"/>
    <x v="0"/>
    <s v="Throw Pillow"/>
    <x v="1"/>
    <n v="1"/>
    <n v="22"/>
    <n v="22"/>
    <s v="Sale"/>
    <s v="Credit Card"/>
  </r>
  <r>
    <n v="5114"/>
    <x v="75"/>
    <x v="74"/>
    <d v="2025-02-25T00:00:00"/>
    <x v="7"/>
    <s v="Table Lamp"/>
    <x v="3"/>
    <n v="1"/>
    <n v="45"/>
    <n v="45"/>
    <s v="Sale"/>
    <s v="Credit Card"/>
  </r>
  <r>
    <n v="5115"/>
    <x v="76"/>
    <x v="46"/>
    <d v="2025-08-12T00:00:00"/>
    <x v="1"/>
    <s v="Cotton Bedsheet Set"/>
    <x v="0"/>
    <n v="2"/>
    <n v="55"/>
    <n v="110"/>
    <s v="Sale"/>
    <s v="Paypal"/>
  </r>
  <r>
    <n v="5116"/>
    <x v="77"/>
    <x v="75"/>
    <d v="2025-07-27T00:00:00"/>
    <x v="10"/>
    <s v="Non-Stick Pan Set"/>
    <x v="2"/>
    <n v="3"/>
    <n v="60"/>
    <n v="180"/>
    <s v="Sale"/>
    <s v="Paypal"/>
  </r>
  <r>
    <n v="5117"/>
    <x v="3"/>
    <x v="3"/>
    <d v="2025-12-01T00:00:00"/>
    <x v="5"/>
    <s v="Cutting Board"/>
    <x v="2"/>
    <n v="3"/>
    <n v="19"/>
    <n v="57"/>
    <s v="Sale"/>
    <s v="Credit Card"/>
  </r>
  <r>
    <n v="5118"/>
    <x v="65"/>
    <x v="64"/>
    <d v="2025-05-14T00:00:00"/>
    <x v="2"/>
    <s v="String Lights"/>
    <x v="3"/>
    <n v="2"/>
    <n v="18"/>
    <n v="36"/>
    <s v="Sale"/>
    <s v="Debit Card"/>
  </r>
  <r>
    <n v="5119"/>
    <x v="78"/>
    <x v="76"/>
    <d v="2025-05-09T00:00:00"/>
    <x v="2"/>
    <s v="Cotton Bedsheet Set"/>
    <x v="0"/>
    <n v="1"/>
    <n v="58"/>
    <n v="58"/>
    <s v="Sale"/>
    <s v="Debit Card"/>
  </r>
  <r>
    <n v="5120"/>
    <x v="79"/>
    <x v="23"/>
    <d v="2025-07-19T00:00:00"/>
    <x v="10"/>
    <s v="Ceramic Vase"/>
    <x v="1"/>
    <n v="1"/>
    <n v="25"/>
    <n v="25"/>
    <s v="Sale"/>
    <s v="Paypal"/>
  </r>
  <r>
    <n v="5121"/>
    <x v="20"/>
    <x v="20"/>
    <d v="2025-09-23T00:00:00"/>
    <x v="11"/>
    <s v="Table Lamp"/>
    <x v="3"/>
    <n v="1"/>
    <n v="48"/>
    <n v="48"/>
    <s v="Sale"/>
    <s v="Debit Card"/>
  </r>
  <r>
    <n v="5122"/>
    <x v="23"/>
    <x v="23"/>
    <d v="2025-09-01T00:00:00"/>
    <x v="11"/>
    <s v="Wool Blanket"/>
    <x v="0"/>
    <n v="2"/>
    <n v="70"/>
    <n v="140"/>
    <s v="Sale"/>
    <s v="Paypal"/>
  </r>
  <r>
    <n v="5123"/>
    <x v="80"/>
    <x v="77"/>
    <d v="2025-07-20T00:00:00"/>
    <x v="10"/>
    <s v="Wall Mirror"/>
    <x v="1"/>
    <n v="3"/>
    <n v="68"/>
    <n v="204"/>
    <s v="Sale"/>
    <s v="Debit Card"/>
  </r>
  <r>
    <n v="5124"/>
    <x v="75"/>
    <x v="74"/>
    <d v="2025-07-24T00:00:00"/>
    <x v="10"/>
    <s v="Cotton Bedsheet Set"/>
    <x v="0"/>
    <n v="1"/>
    <n v="52"/>
    <n v="52"/>
    <s v="Sale"/>
    <s v="Debit Card"/>
  </r>
  <r>
    <n v="5125"/>
    <x v="12"/>
    <x v="12"/>
    <d v="2025-06-30T00:00:00"/>
    <x v="8"/>
    <s v="Ceramic Mug Set"/>
    <x v="2"/>
    <n v="1"/>
    <n v="24"/>
    <n v="24"/>
    <s v="Sale"/>
    <s v="Paypal"/>
  </r>
  <r>
    <n v="5126"/>
    <x v="58"/>
    <x v="42"/>
    <d v="2025-08-25T00:00:00"/>
    <x v="1"/>
    <s v="Cotton Bedsheet Set"/>
    <x v="0"/>
    <n v="1"/>
    <n v="55"/>
    <n v="55"/>
    <s v="Sale"/>
    <s v="Credit Card"/>
  </r>
  <r>
    <n v="5127"/>
    <x v="9"/>
    <x v="9"/>
    <d v="2025-04-26T00:00:00"/>
    <x v="6"/>
    <s v="Wool Blanket"/>
    <x v="0"/>
    <n v="1"/>
    <n v="70"/>
    <n v="70"/>
    <s v="Sale"/>
    <s v="Paypal"/>
  </r>
  <r>
    <n v="5128"/>
    <x v="28"/>
    <x v="28"/>
    <d v="2025-08-29T00:00:00"/>
    <x v="1"/>
    <s v="Wall Mirror"/>
    <x v="1"/>
    <n v="1"/>
    <n v="65"/>
    <n v="65"/>
    <s v="Sale"/>
    <s v="Debit Card"/>
  </r>
  <r>
    <n v="5129"/>
    <x v="77"/>
    <x v="75"/>
    <d v="2025-12-14T00:00:00"/>
    <x v="5"/>
    <s v="Cotton Bedsheet Set"/>
    <x v="0"/>
    <n v="2"/>
    <n v="52"/>
    <n v="104"/>
    <s v="Sale"/>
    <s v="Debit Card"/>
  </r>
  <r>
    <n v="5130"/>
    <x v="11"/>
    <x v="11"/>
    <d v="2025-04-06T00:00:00"/>
    <x v="6"/>
    <s v="Ceramic Mug Set"/>
    <x v="2"/>
    <n v="2"/>
    <n v="24"/>
    <n v="48"/>
    <s v="Sale"/>
    <s v="Debit Card"/>
  </r>
  <r>
    <n v="5131"/>
    <x v="8"/>
    <x v="8"/>
    <d v="2025-05-06T00:00:00"/>
    <x v="2"/>
    <s v="Wall Mirror"/>
    <x v="1"/>
    <n v="1"/>
    <n v="62"/>
    <n v="62"/>
    <s v="Sale"/>
    <s v="Paypal"/>
  </r>
  <r>
    <n v="5132"/>
    <x v="7"/>
    <x v="7"/>
    <d v="2025-11-21T00:00:00"/>
    <x v="0"/>
    <s v="String Lights"/>
    <x v="3"/>
    <n v="3"/>
    <n v="15"/>
    <n v="45"/>
    <s v="Sale"/>
    <s v="Unknown"/>
  </r>
  <r>
    <n v="5133"/>
    <x v="31"/>
    <x v="31"/>
    <d v="2025-11-08T00:00:00"/>
    <x v="0"/>
    <s v="Floor Lamp"/>
    <x v="3"/>
    <n v="2"/>
    <n v="89"/>
    <n v="178"/>
    <s v="Sale"/>
    <s v="Credit Card"/>
  </r>
  <r>
    <n v="5134"/>
    <x v="81"/>
    <x v="78"/>
    <d v="2025-04-17T00:00:00"/>
    <x v="6"/>
    <s v="Wall Mirror"/>
    <x v="1"/>
    <n v="2"/>
    <n v="65"/>
    <n v="130"/>
    <s v="Sale"/>
    <s v="Debit Card"/>
  </r>
  <r>
    <n v="5135"/>
    <x v="5"/>
    <x v="5"/>
    <d v="2025-06-02T00:00:00"/>
    <x v="8"/>
    <s v="Ceramic Mug Set"/>
    <x v="2"/>
    <n v="2"/>
    <n v="24"/>
    <n v="48"/>
    <s v="Sale"/>
    <s v="Debit Card"/>
  </r>
  <r>
    <n v="5136"/>
    <x v="82"/>
    <x v="79"/>
    <d v="2025-12-10T00:00:00"/>
    <x v="5"/>
    <s v="Memory Foam Pillow"/>
    <x v="0"/>
    <n v="2"/>
    <n v="29"/>
    <n v="58"/>
    <s v="Sale"/>
    <s v="Paypal"/>
  </r>
  <r>
    <n v="5137"/>
    <x v="42"/>
    <x v="42"/>
    <d v="2025-08-31T00:00:00"/>
    <x v="1"/>
    <s v="Wall Mirror"/>
    <x v="1"/>
    <n v="2"/>
    <n v="62"/>
    <n v="124"/>
    <s v="Sale"/>
    <s v="Paypal"/>
  </r>
  <r>
    <n v="5138"/>
    <x v="12"/>
    <x v="12"/>
    <d v="2025-07-05T00:00:00"/>
    <x v="10"/>
    <s v="Memory Foam Pillow"/>
    <x v="0"/>
    <n v="1"/>
    <n v="35"/>
    <n v="35"/>
    <s v="Sale"/>
    <s v="Paypal"/>
  </r>
  <r>
    <n v="5139"/>
    <x v="82"/>
    <x v="79"/>
    <d v="2025-08-28T00:00:00"/>
    <x v="1"/>
    <s v="String Lights"/>
    <x v="3"/>
    <n v="3"/>
    <n v="17.804347826086957"/>
    <n v="53.413043478260875"/>
    <s v="Sale"/>
    <s v="Unknown"/>
  </r>
  <r>
    <n v="5140"/>
    <x v="83"/>
    <x v="80"/>
    <d v="2025-02-08T00:00:00"/>
    <x v="7"/>
    <s v="Ceramic Mug Set"/>
    <x v="2"/>
    <n v="3"/>
    <n v="24"/>
    <n v="72"/>
    <s v="Sale"/>
    <s v="Credit Card"/>
  </r>
  <r>
    <n v="5141"/>
    <x v="52"/>
    <x v="52"/>
    <d v="2025-12-16T00:00:00"/>
    <x v="5"/>
    <s v="Ceramic Vase"/>
    <x v="1"/>
    <n v="1"/>
    <n v="31"/>
    <n v="31"/>
    <s v="Sale"/>
    <s v="Paypal"/>
  </r>
  <r>
    <n v="5142"/>
    <x v="16"/>
    <x v="16"/>
    <d v="2025-08-01T00:00:00"/>
    <x v="1"/>
    <s v="Table Lamp"/>
    <x v="3"/>
    <n v="1"/>
    <n v="42"/>
    <n v="42"/>
    <s v="Sale"/>
    <s v="Debit Card"/>
  </r>
  <r>
    <n v="5143"/>
    <x v="23"/>
    <x v="23"/>
    <d v="2025-10-11T00:00:00"/>
    <x v="4"/>
    <s v="Wool Blanket"/>
    <x v="0"/>
    <n v="1"/>
    <n v="70"/>
    <n v="70"/>
    <s v="Sale"/>
    <s v="Debit Card"/>
  </r>
  <r>
    <n v="5144"/>
    <x v="5"/>
    <x v="5"/>
    <d v="2025-05-29T00:00:00"/>
    <x v="2"/>
    <s v="Ceramic Vase"/>
    <x v="1"/>
    <n v="1"/>
    <n v="28"/>
    <n v="28"/>
    <s v="Sale"/>
    <s v="Paypal"/>
  </r>
  <r>
    <n v="5145"/>
    <x v="26"/>
    <x v="26"/>
    <d v="2025-06-26T00:00:00"/>
    <x v="8"/>
    <s v="Wool Blanket"/>
    <x v="0"/>
    <n v="3"/>
    <n v="70"/>
    <n v="210"/>
    <s v="Sale"/>
    <s v="Paypal"/>
  </r>
  <r>
    <n v="5146"/>
    <x v="15"/>
    <x v="15"/>
    <d v="2025-06-03T00:00:00"/>
    <x v="8"/>
    <s v="Cutting Board"/>
    <x v="2"/>
    <n v="2"/>
    <n v="16"/>
    <n v="32"/>
    <s v="Sale"/>
    <s v="Debit Card"/>
  </r>
  <r>
    <n v="5147"/>
    <x v="5"/>
    <x v="5"/>
    <d v="2025-10-07T00:00:00"/>
    <x v="4"/>
    <s v="Cotton Bedsheet Set"/>
    <x v="0"/>
    <n v="2"/>
    <n v="55"/>
    <n v="110"/>
    <s v="Sale"/>
    <s v="Credit Card"/>
  </r>
  <r>
    <n v="5148"/>
    <x v="84"/>
    <x v="81"/>
    <d v="2025-11-08T00:00:00"/>
    <x v="0"/>
    <s v="Memory Foam Pillow"/>
    <x v="0"/>
    <n v="2"/>
    <n v="32.154639175257735"/>
    <n v="64.30927835051547"/>
    <s v="Sale"/>
    <s v="Paypal"/>
  </r>
  <r>
    <n v="5149"/>
    <x v="66"/>
    <x v="65"/>
    <d v="2025-12-11T00:00:00"/>
    <x v="5"/>
    <s v="Ceramic Mug Set"/>
    <x v="2"/>
    <n v="1"/>
    <n v="21"/>
    <n v="21"/>
    <s v="Sale"/>
    <s v="Unknown"/>
  </r>
  <r>
    <n v="5150"/>
    <x v="10"/>
    <x v="10"/>
    <d v="2025-02-21T00:00:00"/>
    <x v="7"/>
    <s v="Wall Mirror"/>
    <x v="1"/>
    <n v="1"/>
    <n v="65"/>
    <n v="65"/>
    <s v="Sale"/>
    <s v="Debit Card"/>
  </r>
  <r>
    <n v="5151"/>
    <x v="81"/>
    <x v="78"/>
    <d v="2025-08-06T00:00:00"/>
    <x v="1"/>
    <s v="Wall Mirror"/>
    <x v="1"/>
    <n v="1"/>
    <n v="65"/>
    <n v="65"/>
    <s v="Sale"/>
    <s v="Debit Card"/>
  </r>
  <r>
    <n v="5152"/>
    <x v="85"/>
    <x v="82"/>
    <d v="2025-10-17T00:00:00"/>
    <x v="4"/>
    <s v="Cotton Bedsheet Set"/>
    <x v="0"/>
    <n v="2"/>
    <n v="58"/>
    <n v="116"/>
    <s v="Sale"/>
    <s v="Credit Card"/>
  </r>
  <r>
    <n v="5153"/>
    <x v="86"/>
    <x v="83"/>
    <d v="2025-10-22T00:00:00"/>
    <x v="4"/>
    <s v="Cotton Bedsheet Set"/>
    <x v="0"/>
    <n v="2"/>
    <n v="52"/>
    <n v="104"/>
    <s v="Sale"/>
    <s v="Paypal"/>
  </r>
  <r>
    <n v="5154"/>
    <x v="87"/>
    <x v="84"/>
    <d v="2025-03-21T00:00:00"/>
    <x v="3"/>
    <s v="Ceramic Mug Set"/>
    <x v="2"/>
    <n v="2"/>
    <n v="27"/>
    <n v="54"/>
    <s v="Sale"/>
    <s v="Debit Card"/>
  </r>
  <r>
    <n v="5155"/>
    <x v="23"/>
    <x v="23"/>
    <d v="2025-03-19T00:00:00"/>
    <x v="3"/>
    <s v="Table Lamp"/>
    <x v="3"/>
    <n v="2"/>
    <n v="42"/>
    <n v="84"/>
    <s v="Sale"/>
    <s v="Credit Card"/>
  </r>
  <r>
    <n v="5156"/>
    <x v="46"/>
    <x v="46"/>
    <d v="2025-08-03T00:00:00"/>
    <x v="1"/>
    <s v="Throw Pillow"/>
    <x v="1"/>
    <n v="1"/>
    <n v="22"/>
    <n v="22"/>
    <s v="Sale"/>
    <s v="Credit Card"/>
  </r>
  <r>
    <n v="5157"/>
    <x v="51"/>
    <x v="51"/>
    <d v="2025-04-06T00:00:00"/>
    <x v="6"/>
    <s v="Cutting Board"/>
    <x v="2"/>
    <n v="1"/>
    <n v="19"/>
    <n v="19"/>
    <s v="Sale"/>
    <s v="Debit Card"/>
  </r>
  <r>
    <n v="5158"/>
    <x v="24"/>
    <x v="24"/>
    <d v="2025-12-30T00:00:00"/>
    <x v="5"/>
    <s v="Wool Blanket"/>
    <x v="0"/>
    <n v="2"/>
    <n v="70"/>
    <n v="140"/>
    <s v="Sale"/>
    <s v="Credit Card"/>
  </r>
  <r>
    <n v="5159"/>
    <x v="61"/>
    <x v="60"/>
    <d v="2025-11-30T00:00:00"/>
    <x v="0"/>
    <s v="Ceramic Vase"/>
    <x v="1"/>
    <n v="1"/>
    <n v="28"/>
    <n v="28"/>
    <s v="Sale"/>
    <s v="Unknown"/>
  </r>
  <r>
    <n v="5160"/>
    <x v="88"/>
    <x v="85"/>
    <d v="2025-11-06T00:00:00"/>
    <x v="0"/>
    <s v="Ceramic Vase"/>
    <x v="1"/>
    <n v="2"/>
    <n v="28"/>
    <n v="56"/>
    <s v="Sale"/>
    <s v="Paypal"/>
  </r>
  <r>
    <n v="5161"/>
    <x v="25"/>
    <x v="25"/>
    <d v="2025-07-05T00:00:00"/>
    <x v="10"/>
    <s v="Throw Pillow"/>
    <x v="1"/>
    <n v="3"/>
    <n v="22.047244094488189"/>
    <n v="66.141732283464563"/>
    <s v="Sale"/>
    <s v="Credit Card"/>
  </r>
  <r>
    <n v="5162"/>
    <x v="26"/>
    <x v="26"/>
    <d v="2025-06-20T00:00:00"/>
    <x v="8"/>
    <s v="Non-Stick Pan Set"/>
    <x v="2"/>
    <n v="1"/>
    <n v="57"/>
    <n v="57"/>
    <s v="Sale"/>
    <s v="Paypal"/>
  </r>
  <r>
    <n v="5163"/>
    <x v="27"/>
    <x v="27"/>
    <d v="2025-03-19T00:00:00"/>
    <x v="3"/>
    <s v="Ceramic Vase"/>
    <x v="1"/>
    <n v="2"/>
    <n v="28"/>
    <n v="56"/>
    <s v="Sale"/>
    <s v="Credit Card"/>
  </r>
  <r>
    <n v="5164"/>
    <x v="80"/>
    <x v="77"/>
    <d v="2025-11-05T00:00:00"/>
    <x v="0"/>
    <s v="Cotton Bedsheet Set"/>
    <x v="0"/>
    <n v="2"/>
    <n v="55"/>
    <n v="110"/>
    <s v="Sale"/>
    <s v="Debit Card"/>
  </r>
  <r>
    <n v="5165"/>
    <x v="14"/>
    <x v="14"/>
    <d v="2025-08-05T00:00:00"/>
    <x v="1"/>
    <s v="Floor Lamp"/>
    <x v="3"/>
    <n v="2"/>
    <n v="89.144230769230774"/>
    <n v="178.28846153846155"/>
    <s v="Sale"/>
    <s v="Paypal"/>
  </r>
  <r>
    <n v="5166"/>
    <x v="66"/>
    <x v="65"/>
    <d v="2025-08-10T00:00:00"/>
    <x v="1"/>
    <s v="Floor Lamp"/>
    <x v="3"/>
    <n v="1"/>
    <n v="92"/>
    <n v="92"/>
    <s v="Sale"/>
    <s v="Credit Card"/>
  </r>
  <r>
    <n v="5167"/>
    <x v="41"/>
    <x v="41"/>
    <d v="2025-04-30T00:00:00"/>
    <x v="6"/>
    <s v="Cutting Board"/>
    <x v="2"/>
    <n v="2"/>
    <n v="19.095238095238095"/>
    <n v="38.19047619047619"/>
    <s v="Sale"/>
    <s v="Credit Card"/>
  </r>
  <r>
    <n v="5168"/>
    <x v="70"/>
    <x v="69"/>
    <d v="2025-05-11T00:00:00"/>
    <x v="2"/>
    <s v="Table Lamp"/>
    <x v="3"/>
    <n v="2"/>
    <n v="45"/>
    <n v="90"/>
    <s v="Sale"/>
    <s v="Paypal"/>
  </r>
  <r>
    <n v="5169"/>
    <x v="4"/>
    <x v="4"/>
    <d v="2025-02-02T00:00:00"/>
    <x v="7"/>
    <s v="String Lights"/>
    <x v="3"/>
    <n v="2"/>
    <n v="21"/>
    <n v="42"/>
    <s v="Sale"/>
    <s v="Paypal"/>
  </r>
  <r>
    <n v="5170"/>
    <x v="79"/>
    <x v="23"/>
    <d v="2025-09-17T00:00:00"/>
    <x v="11"/>
    <s v="Memory Foam Pillow"/>
    <x v="0"/>
    <n v="1"/>
    <n v="32"/>
    <n v="32"/>
    <s v="Sale"/>
    <s v="Paypal"/>
  </r>
  <r>
    <n v="5171"/>
    <x v="4"/>
    <x v="4"/>
    <d v="2025-05-29T00:00:00"/>
    <x v="2"/>
    <s v="Cutting Board"/>
    <x v="2"/>
    <n v="1"/>
    <n v="19.095238095238095"/>
    <n v="19.095238095238095"/>
    <s v="Sale"/>
    <s v="Paypal"/>
  </r>
  <r>
    <n v="5172"/>
    <x v="89"/>
    <x v="86"/>
    <d v="2025-05-07T00:00:00"/>
    <x v="2"/>
    <s v="Wall Mirror"/>
    <x v="1"/>
    <n v="2"/>
    <n v="65"/>
    <n v="130"/>
    <s v="Sale"/>
    <s v="Debit Card"/>
  </r>
  <r>
    <n v="5173"/>
    <x v="17"/>
    <x v="17"/>
    <d v="2025-03-21T00:00:00"/>
    <x v="3"/>
    <s v="Throw Pillow"/>
    <x v="1"/>
    <n v="2"/>
    <n v="19"/>
    <n v="38"/>
    <s v="Sale"/>
    <s v="Paypal"/>
  </r>
  <r>
    <n v="5174"/>
    <x v="88"/>
    <x v="85"/>
    <d v="2025-02-18T00:00:00"/>
    <x v="7"/>
    <s v="Ceramic Vase"/>
    <x v="1"/>
    <n v="1"/>
    <n v="31"/>
    <n v="31"/>
    <s v="Sale"/>
    <s v="Debit Card"/>
  </r>
  <r>
    <n v="5175"/>
    <x v="86"/>
    <x v="83"/>
    <d v="2025-08-07T00:00:00"/>
    <x v="1"/>
    <s v="Floor Lamp"/>
    <x v="3"/>
    <n v="2"/>
    <n v="92"/>
    <n v="184"/>
    <s v="Sale"/>
    <s v="Debit Card"/>
  </r>
  <r>
    <n v="5176"/>
    <x v="82"/>
    <x v="79"/>
    <d v="2025-06-23T00:00:00"/>
    <x v="8"/>
    <s v="Ceramic Vase"/>
    <x v="1"/>
    <n v="1"/>
    <n v="28"/>
    <n v="28"/>
    <s v="Sale"/>
    <s v="Credit Card"/>
  </r>
  <r>
    <n v="5177"/>
    <x v="16"/>
    <x v="16"/>
    <d v="2025-09-07T00:00:00"/>
    <x v="11"/>
    <s v="Wool Blanket"/>
    <x v="0"/>
    <n v="2"/>
    <n v="67"/>
    <n v="134"/>
    <s v="Sale"/>
    <s v="Credit Card"/>
  </r>
  <r>
    <n v="5178"/>
    <x v="70"/>
    <x v="69"/>
    <d v="2025-12-05T00:00:00"/>
    <x v="5"/>
    <s v="Throw Pillow"/>
    <x v="1"/>
    <n v="2"/>
    <n v="22"/>
    <n v="44"/>
    <s v="Sale"/>
    <s v="Debit Card"/>
  </r>
  <r>
    <n v="5179"/>
    <x v="43"/>
    <x v="43"/>
    <d v="2025-04-04T00:00:00"/>
    <x v="6"/>
    <s v="Cotton Bedsheet Set"/>
    <x v="0"/>
    <n v="1"/>
    <n v="54.794117647058826"/>
    <n v="54.794117647058826"/>
    <s v="Sale"/>
    <s v="Paypal"/>
  </r>
  <r>
    <n v="5180"/>
    <x v="16"/>
    <x v="16"/>
    <d v="2025-06-30T00:00:00"/>
    <x v="8"/>
    <s v="Floor Lamp"/>
    <x v="3"/>
    <n v="2"/>
    <n v="86"/>
    <n v="172"/>
    <s v="Sale"/>
    <s v="Paypal"/>
  </r>
  <r>
    <n v="5181"/>
    <x v="70"/>
    <x v="69"/>
    <d v="2025-11-28T00:00:00"/>
    <x v="0"/>
    <s v="Cutting Board"/>
    <x v="2"/>
    <n v="1"/>
    <n v="16"/>
    <n v="16"/>
    <s v="Sale"/>
    <s v="Credit Card"/>
  </r>
  <r>
    <n v="5182"/>
    <x v="41"/>
    <x v="41"/>
    <d v="2025-02-06T00:00:00"/>
    <x v="7"/>
    <s v="Ceramic Mug Set"/>
    <x v="2"/>
    <n v="3"/>
    <n v="21"/>
    <n v="63"/>
    <s v="Sale"/>
    <s v="Debit Card"/>
  </r>
  <r>
    <n v="5183"/>
    <x v="77"/>
    <x v="75"/>
    <d v="2025-05-03T00:00:00"/>
    <x v="2"/>
    <s v="Cotton Bedsheet Set"/>
    <x v="0"/>
    <n v="2"/>
    <n v="55"/>
    <n v="110"/>
    <s v="Sale"/>
    <s v="Paypal"/>
  </r>
  <r>
    <n v="5184"/>
    <x v="4"/>
    <x v="4"/>
    <d v="2025-12-13T00:00:00"/>
    <x v="5"/>
    <s v="Wall Mirror"/>
    <x v="1"/>
    <n v="2"/>
    <n v="65"/>
    <n v="130"/>
    <s v="Sale"/>
    <s v="Paypal"/>
  </r>
  <r>
    <n v="5185"/>
    <x v="90"/>
    <x v="87"/>
    <d v="2025-07-11T00:00:00"/>
    <x v="10"/>
    <s v="Non-Stick Pan Set"/>
    <x v="2"/>
    <n v="2"/>
    <n v="57"/>
    <n v="114"/>
    <s v="Sale"/>
    <s v="Debit Card"/>
  </r>
  <r>
    <n v="5186"/>
    <x v="90"/>
    <x v="87"/>
    <d v="2025-06-23T00:00:00"/>
    <x v="8"/>
    <s v="Memory Foam Pillow"/>
    <x v="0"/>
    <n v="1"/>
    <n v="32"/>
    <n v="32"/>
    <s v="Sale"/>
    <s v="Paypal"/>
  </r>
  <r>
    <n v="5187"/>
    <x v="55"/>
    <x v="55"/>
    <d v="2025-01-30T00:00:00"/>
    <x v="9"/>
    <s v="Table Lamp"/>
    <x v="3"/>
    <n v="3"/>
    <n v="45.091836734693878"/>
    <n v="135.27551020408163"/>
    <s v="Sale"/>
    <s v="Credit Card"/>
  </r>
  <r>
    <n v="5188"/>
    <x v="81"/>
    <x v="78"/>
    <d v="2025-05-17T00:00:00"/>
    <x v="2"/>
    <s v="Wall Mirror"/>
    <x v="1"/>
    <n v="2"/>
    <n v="65"/>
    <n v="130"/>
    <s v="Sale"/>
    <s v="Debit Card"/>
  </r>
  <r>
    <n v="5189"/>
    <x v="91"/>
    <x v="88"/>
    <d v="2025-06-21T00:00:00"/>
    <x v="8"/>
    <s v="Floor Lamp"/>
    <x v="3"/>
    <n v="1"/>
    <n v="89"/>
    <n v="89"/>
    <s v="Sale"/>
    <s v="Credit Card"/>
  </r>
  <r>
    <n v="5190"/>
    <x v="38"/>
    <x v="38"/>
    <d v="2025-03-20T00:00:00"/>
    <x v="3"/>
    <s v="Throw Pillow"/>
    <x v="1"/>
    <n v="3"/>
    <n v="22"/>
    <n v="66"/>
    <s v="Sale"/>
    <s v="Debit Card"/>
  </r>
  <r>
    <n v="5191"/>
    <x v="92"/>
    <x v="89"/>
    <d v="2025-04-14T00:00:00"/>
    <x v="6"/>
    <s v="Floor Lamp"/>
    <x v="3"/>
    <n v="2"/>
    <n v="89"/>
    <n v="178"/>
    <s v="Sale"/>
    <s v="Credit Card"/>
  </r>
  <r>
    <n v="5192"/>
    <x v="48"/>
    <x v="48"/>
    <d v="2025-08-01T00:00:00"/>
    <x v="1"/>
    <s v="Floor Lamp"/>
    <x v="3"/>
    <n v="1"/>
    <n v="89"/>
    <n v="89"/>
    <s v="Sale"/>
    <s v="Credit Card"/>
  </r>
  <r>
    <n v="5193"/>
    <x v="4"/>
    <x v="4"/>
    <d v="2025-06-24T00:00:00"/>
    <x v="8"/>
    <s v="Wool Blanket"/>
    <x v="0"/>
    <n v="2"/>
    <n v="67"/>
    <n v="134"/>
    <s v="Sale"/>
    <s v="Paypal"/>
  </r>
  <r>
    <n v="5194"/>
    <x v="8"/>
    <x v="8"/>
    <d v="2025-01-21T00:00:00"/>
    <x v="9"/>
    <s v="Cotton Bedsheet Set"/>
    <x v="0"/>
    <n v="1"/>
    <n v="55"/>
    <n v="55"/>
    <s v="Sale"/>
    <s v="Paypal"/>
  </r>
  <r>
    <n v="5195"/>
    <x v="82"/>
    <x v="79"/>
    <d v="2025-09-25T00:00:00"/>
    <x v="11"/>
    <s v="Wall Mirror"/>
    <x v="1"/>
    <n v="1"/>
    <n v="65.099999999999994"/>
    <n v="65.099999999999994"/>
    <s v="Sale"/>
    <s v="Credit Card"/>
  </r>
  <r>
    <n v="5196"/>
    <x v="35"/>
    <x v="35"/>
    <d v="2025-11-09T00:00:00"/>
    <x v="0"/>
    <s v="Non-Stick Pan Set"/>
    <x v="2"/>
    <n v="1"/>
    <n v="60"/>
    <n v="60"/>
    <s v="Sale"/>
    <s v="Paypal"/>
  </r>
  <r>
    <n v="5197"/>
    <x v="93"/>
    <x v="90"/>
    <d v="2025-01-06T00:00:00"/>
    <x v="9"/>
    <s v="Table Lamp"/>
    <x v="3"/>
    <n v="3"/>
    <n v="48"/>
    <n v="144"/>
    <s v="Sale"/>
    <s v="Paypal"/>
  </r>
  <r>
    <n v="5198"/>
    <x v="4"/>
    <x v="4"/>
    <d v="2025-06-21T00:00:00"/>
    <x v="8"/>
    <s v="String Lights"/>
    <x v="3"/>
    <n v="3"/>
    <n v="17.804347826086957"/>
    <n v="53.413043478260875"/>
    <s v="Sale"/>
    <s v="Credit Card"/>
  </r>
  <r>
    <n v="5199"/>
    <x v="10"/>
    <x v="10"/>
    <d v="2025-10-03T00:00:00"/>
    <x v="4"/>
    <s v="Memory Foam Pillow"/>
    <x v="0"/>
    <n v="1"/>
    <n v="32"/>
    <n v="32"/>
    <s v="Sale"/>
    <s v="Unknown"/>
  </r>
  <r>
    <n v="5200"/>
    <x v="39"/>
    <x v="39"/>
    <d v="2025-07-10T00:00:00"/>
    <x v="10"/>
    <s v="Cutting Board"/>
    <x v="2"/>
    <n v="1"/>
    <n v="22"/>
    <n v="22"/>
    <s v="Sale"/>
    <s v="Credit Card"/>
  </r>
  <r>
    <n v="5201"/>
    <x v="94"/>
    <x v="91"/>
    <d v="2025-06-05T00:00:00"/>
    <x v="8"/>
    <s v="Cutting Board"/>
    <x v="2"/>
    <n v="3"/>
    <n v="19"/>
    <n v="57"/>
    <s v="Sale"/>
    <s v="Debit Card"/>
  </r>
  <r>
    <n v="5202"/>
    <x v="81"/>
    <x v="78"/>
    <d v="2025-11-09T00:00:00"/>
    <x v="0"/>
    <s v="Throw Pillow"/>
    <x v="1"/>
    <n v="2"/>
    <n v="19"/>
    <n v="38"/>
    <s v="Sale"/>
    <s v="Credit Card"/>
  </r>
  <r>
    <n v="5203"/>
    <x v="11"/>
    <x v="11"/>
    <d v="2025-04-25T00:00:00"/>
    <x v="6"/>
    <s v="Throw Pillow"/>
    <x v="1"/>
    <n v="1"/>
    <n v="19"/>
    <n v="19"/>
    <s v="Sale"/>
    <s v="Paypal"/>
  </r>
  <r>
    <n v="5204"/>
    <x v="56"/>
    <x v="56"/>
    <d v="2025-01-10T00:00:00"/>
    <x v="9"/>
    <s v="Ceramic Vase"/>
    <x v="1"/>
    <n v="3"/>
    <n v="28"/>
    <n v="84"/>
    <s v="Sale"/>
    <s v="Paypal"/>
  </r>
  <r>
    <n v="5205"/>
    <x v="35"/>
    <x v="35"/>
    <d v="2025-08-26T00:00:00"/>
    <x v="1"/>
    <s v="Non-Stick Pan Set"/>
    <x v="2"/>
    <n v="3"/>
    <n v="60"/>
    <n v="180"/>
    <s v="Sale"/>
    <s v="Credit Card"/>
  </r>
  <r>
    <n v="5206"/>
    <x v="20"/>
    <x v="20"/>
    <d v="2025-01-24T00:00:00"/>
    <x v="9"/>
    <s v="Wall Mirror"/>
    <x v="1"/>
    <n v="1"/>
    <n v="65"/>
    <n v="65"/>
    <s v="Sale"/>
    <s v="Credit Card"/>
  </r>
  <r>
    <n v="5207"/>
    <x v="92"/>
    <x v="89"/>
    <d v="2025-07-27T00:00:00"/>
    <x v="10"/>
    <s v="Throw Pillow"/>
    <x v="1"/>
    <n v="2"/>
    <n v="25"/>
    <n v="50"/>
    <s v="Sale"/>
    <s v="Paypal"/>
  </r>
  <r>
    <n v="5208"/>
    <x v="3"/>
    <x v="3"/>
    <d v="2025-08-25T00:00:00"/>
    <x v="1"/>
    <s v="Non-Stick Pan Set"/>
    <x v="2"/>
    <n v="1"/>
    <n v="57"/>
    <n v="57"/>
    <s v="Sale"/>
    <s v="Debit Card"/>
  </r>
  <r>
    <n v="5209"/>
    <x v="83"/>
    <x v="80"/>
    <d v="2025-11-05T00:00:00"/>
    <x v="0"/>
    <s v="Non-Stick Pan Set"/>
    <x v="2"/>
    <n v="2"/>
    <n v="57"/>
    <n v="114"/>
    <s v="Sale"/>
    <s v="Credit Card"/>
  </r>
  <r>
    <n v="5210"/>
    <x v="6"/>
    <x v="6"/>
    <d v="2025-12-08T00:00:00"/>
    <x v="5"/>
    <s v="String Lights"/>
    <x v="3"/>
    <n v="2"/>
    <n v="21"/>
    <n v="42"/>
    <s v="Sale"/>
    <s v="Paypal"/>
  </r>
  <r>
    <n v="5211"/>
    <x v="66"/>
    <x v="65"/>
    <d v="2025-06-30T00:00:00"/>
    <x v="8"/>
    <s v="Ceramic Mug Set"/>
    <x v="2"/>
    <n v="2"/>
    <n v="21"/>
    <n v="42"/>
    <s v="Sale"/>
    <s v="Paypal"/>
  </r>
  <r>
    <n v="5212"/>
    <x v="95"/>
    <x v="92"/>
    <d v="2025-06-16T00:00:00"/>
    <x v="8"/>
    <s v="Throw Pillow"/>
    <x v="1"/>
    <n v="1"/>
    <n v="25"/>
    <n v="25"/>
    <s v="Sale"/>
    <s v="Paypal"/>
  </r>
  <r>
    <n v="5213"/>
    <x v="96"/>
    <x v="93"/>
    <d v="2025-07-23T00:00:00"/>
    <x v="10"/>
    <s v="Cotton Bedsheet Set"/>
    <x v="0"/>
    <n v="3"/>
    <n v="52"/>
    <n v="156"/>
    <s v="Sale"/>
    <s v="Debit Card"/>
  </r>
  <r>
    <n v="5214"/>
    <x v="29"/>
    <x v="29"/>
    <d v="2025-12-14T00:00:00"/>
    <x v="5"/>
    <s v="Floor Lamp"/>
    <x v="3"/>
    <n v="3"/>
    <n v="92"/>
    <n v="276"/>
    <s v="Sale"/>
    <s v="Debit Card"/>
  </r>
  <r>
    <n v="5215"/>
    <x v="92"/>
    <x v="89"/>
    <d v="2025-07-01T00:00:00"/>
    <x v="10"/>
    <s v="Wool Blanket"/>
    <x v="0"/>
    <n v="1"/>
    <n v="67"/>
    <n v="67"/>
    <s v="Sale"/>
    <s v="Debit Card"/>
  </r>
  <r>
    <n v="5216"/>
    <x v="81"/>
    <x v="78"/>
    <d v="2025-03-27T00:00:00"/>
    <x v="3"/>
    <s v="Ceramic Mug Set"/>
    <x v="2"/>
    <n v="1"/>
    <n v="27"/>
    <n v="27"/>
    <s v="Sale"/>
    <s v="Credit Card"/>
  </r>
  <r>
    <n v="5217"/>
    <x v="17"/>
    <x v="17"/>
    <d v="2025-10-01T00:00:00"/>
    <x v="4"/>
    <s v="Non-Stick Pan Set"/>
    <x v="2"/>
    <n v="2"/>
    <n v="57"/>
    <n v="114"/>
    <s v="Sale"/>
    <s v="Debit Card"/>
  </r>
  <r>
    <n v="5218"/>
    <x v="0"/>
    <x v="0"/>
    <d v="2025-05-28T00:00:00"/>
    <x v="2"/>
    <s v="Non-Stick Pan Set"/>
    <x v="2"/>
    <n v="1"/>
    <n v="57"/>
    <n v="57"/>
    <s v="Sale"/>
    <s v="Credit Card"/>
  </r>
  <r>
    <n v="5219"/>
    <x v="52"/>
    <x v="52"/>
    <d v="2025-10-19T00:00:00"/>
    <x v="4"/>
    <s v="Cutting Board"/>
    <x v="2"/>
    <n v="3"/>
    <n v="19"/>
    <n v="57"/>
    <s v="Sale"/>
    <s v="Credit Card"/>
  </r>
  <r>
    <n v="5220"/>
    <x v="5"/>
    <x v="5"/>
    <d v="2025-10-11T00:00:00"/>
    <x v="4"/>
    <s v="Floor Lamp"/>
    <x v="3"/>
    <n v="-2"/>
    <n v="89.144230769230774"/>
    <n v="-178.28846153846155"/>
    <s v="Return"/>
    <s v="Debit Card"/>
  </r>
  <r>
    <n v="5221"/>
    <x v="58"/>
    <x v="42"/>
    <d v="2025-09-20T00:00:00"/>
    <x v="11"/>
    <s v="Table Lamp"/>
    <x v="3"/>
    <n v="2"/>
    <n v="45.091836734693878"/>
    <n v="90.183673469387756"/>
    <s v="Sale"/>
    <s v="Paypal"/>
  </r>
  <r>
    <n v="5222"/>
    <x v="12"/>
    <x v="12"/>
    <d v="2025-06-15T00:00:00"/>
    <x v="8"/>
    <s v="Table Lamp"/>
    <x v="3"/>
    <n v="2"/>
    <n v="45"/>
    <n v="90"/>
    <s v="Sale"/>
    <s v="Debit Card"/>
  </r>
  <r>
    <n v="5223"/>
    <x v="61"/>
    <x v="60"/>
    <d v="2025-03-23T00:00:00"/>
    <x v="3"/>
    <s v="Ceramic Vase"/>
    <x v="1"/>
    <n v="2"/>
    <n v="28"/>
    <n v="56"/>
    <s v="Sale"/>
    <s v="Paypal"/>
  </r>
  <r>
    <n v="5224"/>
    <x v="48"/>
    <x v="48"/>
    <d v="2025-07-01T00:00:00"/>
    <x v="10"/>
    <s v="Memory Foam Pillow"/>
    <x v="0"/>
    <n v="2"/>
    <n v="32"/>
    <n v="64"/>
    <s v="Sale"/>
    <s v="Credit Card"/>
  </r>
  <r>
    <n v="5225"/>
    <x v="97"/>
    <x v="94"/>
    <d v="2025-06-30T00:00:00"/>
    <x v="8"/>
    <s v="Ceramic Mug Set"/>
    <x v="2"/>
    <n v="3"/>
    <n v="24"/>
    <n v="72"/>
    <s v="Sale"/>
    <s v="Paypal"/>
  </r>
  <r>
    <n v="5226"/>
    <x v="60"/>
    <x v="59"/>
    <d v="2025-01-09T00:00:00"/>
    <x v="9"/>
    <s v="Cutting Board"/>
    <x v="2"/>
    <n v="3"/>
    <n v="19"/>
    <n v="57"/>
    <s v="Sale"/>
    <s v="Credit Card"/>
  </r>
  <r>
    <n v="5227"/>
    <x v="0"/>
    <x v="0"/>
    <d v="2025-10-27T00:00:00"/>
    <x v="4"/>
    <s v="Wool Blanket"/>
    <x v="0"/>
    <n v="2"/>
    <n v="70"/>
    <n v="140"/>
    <s v="Sale"/>
    <s v="Credit Card"/>
  </r>
  <r>
    <n v="5228"/>
    <x v="78"/>
    <x v="76"/>
    <d v="2025-11-15T00:00:00"/>
    <x v="0"/>
    <s v="Floor Lamp"/>
    <x v="3"/>
    <n v="2"/>
    <n v="89"/>
    <n v="178"/>
    <s v="Sale"/>
    <s v="Debit Card"/>
  </r>
  <r>
    <n v="5229"/>
    <x v="27"/>
    <x v="27"/>
    <d v="2025-05-30T00:00:00"/>
    <x v="2"/>
    <s v="String Lights"/>
    <x v="3"/>
    <n v="2"/>
    <n v="21"/>
    <n v="42"/>
    <s v="Sale"/>
    <s v="Debit Card"/>
  </r>
  <r>
    <n v="5230"/>
    <x v="79"/>
    <x v="23"/>
    <d v="2025-09-13T00:00:00"/>
    <x v="11"/>
    <s v="Ceramic Vase"/>
    <x v="1"/>
    <n v="2"/>
    <n v="28"/>
    <n v="56"/>
    <s v="Sale"/>
    <s v="Paypal"/>
  </r>
  <r>
    <n v="5231"/>
    <x v="65"/>
    <x v="64"/>
    <d v="2025-07-13T00:00:00"/>
    <x v="10"/>
    <s v="Non-Stick Pan Set"/>
    <x v="2"/>
    <n v="1"/>
    <n v="60"/>
    <n v="60"/>
    <s v="Sale"/>
    <s v="Debit Card"/>
  </r>
  <r>
    <n v="5232"/>
    <x v="68"/>
    <x v="67"/>
    <d v="2025-01-06T00:00:00"/>
    <x v="9"/>
    <s v="Cotton Bedsheet Set"/>
    <x v="0"/>
    <n v="1"/>
    <n v="55"/>
    <n v="55"/>
    <s v="Sale"/>
    <s v="Debit Card"/>
  </r>
  <r>
    <n v="5233"/>
    <x v="54"/>
    <x v="54"/>
    <d v="2025-03-10T00:00:00"/>
    <x v="3"/>
    <s v="Floor Lamp"/>
    <x v="3"/>
    <n v="2"/>
    <n v="92"/>
    <n v="184"/>
    <s v="Sale"/>
    <s v="Credit Card"/>
  </r>
  <r>
    <n v="5234"/>
    <x v="17"/>
    <x v="17"/>
    <d v="2025-01-21T00:00:00"/>
    <x v="9"/>
    <s v="String Lights"/>
    <x v="3"/>
    <n v="2"/>
    <n v="15"/>
    <n v="30"/>
    <s v="Sale"/>
    <s v="Paypal"/>
  </r>
  <r>
    <n v="5235"/>
    <x v="30"/>
    <x v="30"/>
    <d v="2025-07-29T00:00:00"/>
    <x v="10"/>
    <s v="Throw Pillow"/>
    <x v="1"/>
    <n v="-2"/>
    <n v="22"/>
    <n v="-44"/>
    <s v="Return"/>
    <s v="Paypal"/>
  </r>
  <r>
    <n v="5236"/>
    <x v="83"/>
    <x v="80"/>
    <d v="2025-07-25T00:00:00"/>
    <x v="10"/>
    <s v="Memory Foam Pillow"/>
    <x v="0"/>
    <n v="2"/>
    <n v="35"/>
    <n v="70"/>
    <s v="Sale"/>
    <s v="Paypal"/>
  </r>
  <r>
    <n v="5237"/>
    <x v="8"/>
    <x v="8"/>
    <d v="2025-07-07T00:00:00"/>
    <x v="10"/>
    <s v="String Lights"/>
    <x v="3"/>
    <n v="1"/>
    <n v="21"/>
    <n v="21"/>
    <s v="Sale"/>
    <s v="Debit Card"/>
  </r>
  <r>
    <n v="5238"/>
    <x v="31"/>
    <x v="31"/>
    <d v="2025-06-25T00:00:00"/>
    <x v="8"/>
    <s v="Cutting Board"/>
    <x v="2"/>
    <n v="3"/>
    <n v="19"/>
    <n v="57"/>
    <s v="Sale"/>
    <s v="Paypal"/>
  </r>
  <r>
    <n v="5239"/>
    <x v="68"/>
    <x v="67"/>
    <d v="2025-07-04T00:00:00"/>
    <x v="10"/>
    <s v="Wool Blanket"/>
    <x v="0"/>
    <n v="1"/>
    <n v="67"/>
    <n v="67"/>
    <s v="Sale"/>
    <s v="Debit Card"/>
  </r>
  <r>
    <n v="5240"/>
    <x v="13"/>
    <x v="13"/>
    <d v="2025-11-22T00:00:00"/>
    <x v="0"/>
    <s v="Ceramic Mug Set"/>
    <x v="2"/>
    <n v="3"/>
    <n v="24"/>
    <n v="72"/>
    <s v="Sale"/>
    <s v="Debit Card"/>
  </r>
  <r>
    <n v="5241"/>
    <x v="70"/>
    <x v="69"/>
    <d v="2025-10-11T00:00:00"/>
    <x v="4"/>
    <s v="Cutting Board"/>
    <x v="2"/>
    <n v="1"/>
    <n v="19"/>
    <n v="19"/>
    <s v="Sale"/>
    <s v="Debit Card"/>
  </r>
  <r>
    <n v="5242"/>
    <x v="19"/>
    <x v="19"/>
    <d v="2025-03-31T00:00:00"/>
    <x v="3"/>
    <s v="Table Lamp"/>
    <x v="3"/>
    <n v="2"/>
    <n v="48"/>
    <n v="96"/>
    <s v="Sale"/>
    <s v="Paypal"/>
  </r>
  <r>
    <n v="5243"/>
    <x v="41"/>
    <x v="41"/>
    <d v="2025-11-05T00:00:00"/>
    <x v="0"/>
    <s v="Cotton Bedsheet Set"/>
    <x v="0"/>
    <n v="1"/>
    <n v="54.794117647058826"/>
    <n v="54.794117647058826"/>
    <s v="Sale"/>
    <s v="Credit Card"/>
  </r>
  <r>
    <n v="5244"/>
    <x v="60"/>
    <x v="59"/>
    <d v="2025-03-29T00:00:00"/>
    <x v="3"/>
    <s v="Throw Pillow"/>
    <x v="1"/>
    <n v="2"/>
    <n v="25"/>
    <n v="50"/>
    <s v="Sale"/>
    <s v="Debit Card"/>
  </r>
  <r>
    <n v="5245"/>
    <x v="76"/>
    <x v="46"/>
    <d v="2025-10-24T00:00:00"/>
    <x v="4"/>
    <s v="Ceramic Mug Set"/>
    <x v="2"/>
    <n v="1"/>
    <n v="24"/>
    <n v="24"/>
    <s v="Sale"/>
    <s v="Paypal"/>
  </r>
  <r>
    <n v="5246"/>
    <x v="16"/>
    <x v="16"/>
    <d v="2025-11-18T00:00:00"/>
    <x v="0"/>
    <s v="Floor Lamp"/>
    <x v="3"/>
    <n v="2"/>
    <n v="86"/>
    <n v="172"/>
    <s v="Sale"/>
    <s v="Credit Card"/>
  </r>
  <r>
    <n v="5247"/>
    <x v="29"/>
    <x v="29"/>
    <d v="2025-01-11T00:00:00"/>
    <x v="9"/>
    <s v="Cotton Bedsheet Set"/>
    <x v="0"/>
    <n v="1"/>
    <n v="55"/>
    <n v="55"/>
    <s v="Sale"/>
    <s v="Credit Card"/>
  </r>
  <r>
    <n v="5248"/>
    <x v="40"/>
    <x v="40"/>
    <d v="2025-05-03T00:00:00"/>
    <x v="2"/>
    <s v="Non-Stick Pan Set"/>
    <x v="2"/>
    <n v="1"/>
    <n v="57"/>
    <n v="57"/>
    <s v="Sale"/>
    <s v="Debit Card"/>
  </r>
  <r>
    <n v="5249"/>
    <x v="57"/>
    <x v="57"/>
    <d v="2025-05-06T00:00:00"/>
    <x v="2"/>
    <s v="Memory Foam Pillow"/>
    <x v="0"/>
    <n v="2"/>
    <n v="32"/>
    <n v="64"/>
    <s v="Sale"/>
    <s v="Paypal"/>
  </r>
  <r>
    <n v="5250"/>
    <x v="37"/>
    <x v="37"/>
    <d v="2025-12-12T00:00:00"/>
    <x v="5"/>
    <s v="Cotton Bedsheet Set"/>
    <x v="0"/>
    <n v="2"/>
    <n v="54.794117647058826"/>
    <n v="109.58823529411765"/>
    <s v="Sale"/>
    <s v="Credit Card"/>
  </r>
  <r>
    <n v="5251"/>
    <x v="98"/>
    <x v="95"/>
    <d v="2025-02-14T00:00:00"/>
    <x v="7"/>
    <s v="Table Lamp"/>
    <x v="3"/>
    <n v="1"/>
    <n v="45"/>
    <n v="45"/>
    <s v="Sale"/>
    <s v="Credit Card"/>
  </r>
  <r>
    <n v="5252"/>
    <x v="32"/>
    <x v="32"/>
    <d v="2025-07-22T00:00:00"/>
    <x v="10"/>
    <s v="Floor Lamp"/>
    <x v="3"/>
    <n v="1"/>
    <n v="89"/>
    <n v="89"/>
    <s v="Sale"/>
    <s v="Debit Card"/>
  </r>
  <r>
    <n v="5253"/>
    <x v="49"/>
    <x v="49"/>
    <d v="2025-02-03T00:00:00"/>
    <x v="7"/>
    <s v="Ceramic Mug Set"/>
    <x v="2"/>
    <n v="2"/>
    <n v="23.742857142857144"/>
    <n v="47.485714285714288"/>
    <s v="Sale"/>
    <s v="Credit Card"/>
  </r>
  <r>
    <n v="5254"/>
    <x v="84"/>
    <x v="81"/>
    <d v="2025-05-26T00:00:00"/>
    <x v="2"/>
    <s v="Memory Foam Pillow"/>
    <x v="0"/>
    <n v="1"/>
    <n v="32"/>
    <n v="32"/>
    <s v="Sale"/>
    <s v="Debit Card"/>
  </r>
  <r>
    <n v="5255"/>
    <x v="19"/>
    <x v="19"/>
    <d v="2025-03-21T00:00:00"/>
    <x v="3"/>
    <s v="String Lights"/>
    <x v="3"/>
    <n v="3"/>
    <n v="18"/>
    <n v="54"/>
    <s v="Sale"/>
    <s v="Debit Card"/>
  </r>
  <r>
    <n v="5256"/>
    <x v="99"/>
    <x v="89"/>
    <d v="2025-12-10T00:00:00"/>
    <x v="5"/>
    <s v="Wall Mirror"/>
    <x v="1"/>
    <n v="2"/>
    <n v="65"/>
    <n v="130"/>
    <s v="Sale"/>
    <s v="Debit Card"/>
  </r>
  <r>
    <n v="5257"/>
    <x v="46"/>
    <x v="46"/>
    <d v="2025-07-27T00:00:00"/>
    <x v="10"/>
    <s v="Cutting Board"/>
    <x v="2"/>
    <n v="3"/>
    <n v="22"/>
    <n v="66"/>
    <s v="Sale"/>
    <s v="Credit Card"/>
  </r>
  <r>
    <n v="5258"/>
    <x v="43"/>
    <x v="43"/>
    <d v="2025-04-27T00:00:00"/>
    <x v="6"/>
    <s v="Table Lamp"/>
    <x v="3"/>
    <n v="3"/>
    <n v="45"/>
    <n v="135"/>
    <s v="Sale"/>
    <s v="Paypal"/>
  </r>
  <r>
    <n v="5259"/>
    <x v="32"/>
    <x v="32"/>
    <d v="2025-07-08T00:00:00"/>
    <x v="10"/>
    <s v="Non-Stick Pan Set"/>
    <x v="2"/>
    <n v="2"/>
    <n v="63"/>
    <n v="126"/>
    <s v="Sale"/>
    <s v="Paypal"/>
  </r>
  <r>
    <n v="5260"/>
    <x v="81"/>
    <x v="78"/>
    <d v="2025-12-14T00:00:00"/>
    <x v="5"/>
    <s v="Throw Pillow"/>
    <x v="1"/>
    <n v="2"/>
    <n v="22"/>
    <n v="44"/>
    <s v="Sale"/>
    <s v="Credit Card"/>
  </r>
  <r>
    <n v="5261"/>
    <x v="73"/>
    <x v="72"/>
    <d v="2025-10-18T00:00:00"/>
    <x v="4"/>
    <s v="Cutting Board"/>
    <x v="2"/>
    <n v="1"/>
    <n v="16"/>
    <n v="16"/>
    <s v="Sale"/>
    <s v="Debit Card"/>
  </r>
  <r>
    <n v="5262"/>
    <x v="100"/>
    <x v="96"/>
    <d v="2025-06-14T00:00:00"/>
    <x v="8"/>
    <s v="Table Lamp"/>
    <x v="3"/>
    <n v="3"/>
    <n v="42"/>
    <n v="126"/>
    <s v="Sale"/>
    <s v="Paypal"/>
  </r>
  <r>
    <n v="5263"/>
    <x v="10"/>
    <x v="10"/>
    <d v="2025-04-09T00:00:00"/>
    <x v="6"/>
    <s v="Floor Lamp"/>
    <x v="3"/>
    <n v="3"/>
    <n v="89"/>
    <n v="267"/>
    <s v="Sale"/>
    <s v="Debit Card"/>
  </r>
  <r>
    <n v="5264"/>
    <x v="1"/>
    <x v="1"/>
    <d v="2025-07-24T00:00:00"/>
    <x v="10"/>
    <s v="Cutting Board"/>
    <x v="2"/>
    <n v="1"/>
    <n v="19"/>
    <n v="19"/>
    <s v="Sale"/>
    <s v="Debit Card"/>
  </r>
  <r>
    <n v="5265"/>
    <x v="100"/>
    <x v="96"/>
    <d v="2025-07-07T00:00:00"/>
    <x v="10"/>
    <s v="Ceramic Vase"/>
    <x v="1"/>
    <n v="2"/>
    <n v="25"/>
    <n v="50"/>
    <s v="Sale"/>
    <s v="Paypal"/>
  </r>
  <r>
    <n v="5266"/>
    <x v="78"/>
    <x v="76"/>
    <d v="2025-06-30T00:00:00"/>
    <x v="8"/>
    <s v="Cotton Bedsheet Set"/>
    <x v="0"/>
    <n v="1"/>
    <n v="55"/>
    <n v="55"/>
    <s v="Sale"/>
    <s v="Paypal"/>
  </r>
  <r>
    <n v="5267"/>
    <x v="51"/>
    <x v="51"/>
    <d v="2025-12-31T00:00:00"/>
    <x v="5"/>
    <s v="Table Lamp"/>
    <x v="3"/>
    <n v="-2"/>
    <n v="42"/>
    <n v="-84"/>
    <s v="Return"/>
    <s v="Credit Card"/>
  </r>
  <r>
    <n v="5268"/>
    <x v="41"/>
    <x v="41"/>
    <d v="2025-03-21T00:00:00"/>
    <x v="3"/>
    <s v="Floor Lamp"/>
    <x v="3"/>
    <n v="3"/>
    <n v="89.144230769230774"/>
    <n v="267.43269230769232"/>
    <s v="Sale"/>
    <s v="Debit Card"/>
  </r>
  <r>
    <n v="5269"/>
    <x v="35"/>
    <x v="35"/>
    <d v="2025-10-17T00:00:00"/>
    <x v="4"/>
    <s v="Wall Mirror"/>
    <x v="1"/>
    <n v="2"/>
    <n v="65"/>
    <n v="130"/>
    <s v="Sale"/>
    <s v="Credit Card"/>
  </r>
  <r>
    <n v="5270"/>
    <x v="3"/>
    <x v="3"/>
    <d v="2025-10-22T00:00:00"/>
    <x v="4"/>
    <s v="Ceramic Mug Set"/>
    <x v="2"/>
    <n v="1"/>
    <n v="21"/>
    <n v="21"/>
    <s v="Sale"/>
    <s v="Credit Card"/>
  </r>
  <r>
    <n v="5271"/>
    <x v="32"/>
    <x v="32"/>
    <d v="2025-11-07T00:00:00"/>
    <x v="0"/>
    <s v="Non-Stick Pan Set"/>
    <x v="2"/>
    <n v="1"/>
    <n v="57"/>
    <n v="57"/>
    <s v="Sale"/>
    <s v="Paypal"/>
  </r>
  <r>
    <n v="5272"/>
    <x v="86"/>
    <x v="83"/>
    <d v="2025-02-14T00:00:00"/>
    <x v="7"/>
    <s v="String Lights"/>
    <x v="3"/>
    <n v="3"/>
    <n v="18"/>
    <n v="54"/>
    <s v="Sale"/>
    <s v="Debit Card"/>
  </r>
  <r>
    <n v="5273"/>
    <x v="7"/>
    <x v="7"/>
    <d v="2025-06-28T00:00:00"/>
    <x v="8"/>
    <s v="Throw Pillow"/>
    <x v="1"/>
    <n v="2"/>
    <n v="22"/>
    <n v="44"/>
    <s v="Sale"/>
    <s v="Paypal"/>
  </r>
  <r>
    <n v="5274"/>
    <x v="40"/>
    <x v="40"/>
    <d v="2025-12-24T00:00:00"/>
    <x v="5"/>
    <s v="Ceramic Mug Set"/>
    <x v="2"/>
    <n v="2"/>
    <n v="27"/>
    <n v="54"/>
    <s v="Sale"/>
    <s v="Paypal"/>
  </r>
  <r>
    <n v="5275"/>
    <x v="36"/>
    <x v="36"/>
    <d v="2025-10-14T00:00:00"/>
    <x v="4"/>
    <s v="Cutting Board"/>
    <x v="2"/>
    <n v="1"/>
    <n v="22"/>
    <n v="22"/>
    <s v="Sale"/>
    <s v="Paypal"/>
  </r>
  <r>
    <n v="5276"/>
    <x v="14"/>
    <x v="14"/>
    <d v="2025-01-31T00:00:00"/>
    <x v="9"/>
    <s v="Table Lamp"/>
    <x v="3"/>
    <n v="1"/>
    <n v="45"/>
    <n v="45"/>
    <s v="Sale"/>
    <s v="Paypal"/>
  </r>
  <r>
    <n v="5277"/>
    <x v="35"/>
    <x v="35"/>
    <d v="2025-03-12T00:00:00"/>
    <x v="3"/>
    <s v="Floor Lamp"/>
    <x v="3"/>
    <n v="3"/>
    <n v="89"/>
    <n v="267"/>
    <s v="Sale"/>
    <s v="Unknown"/>
  </r>
  <r>
    <n v="5278"/>
    <x v="70"/>
    <x v="69"/>
    <d v="2025-04-01T00:00:00"/>
    <x v="6"/>
    <s v="Table Lamp"/>
    <x v="3"/>
    <n v="1"/>
    <n v="45"/>
    <n v="45"/>
    <s v="Sale"/>
    <s v="Paypal"/>
  </r>
  <r>
    <n v="5279"/>
    <x v="35"/>
    <x v="35"/>
    <d v="2025-03-14T00:00:00"/>
    <x v="3"/>
    <s v="Cutting Board"/>
    <x v="2"/>
    <n v="1"/>
    <n v="16"/>
    <n v="16"/>
    <s v="Sale"/>
    <s v="Paypal"/>
  </r>
  <r>
    <n v="5280"/>
    <x v="37"/>
    <x v="37"/>
    <d v="2025-03-21T00:00:00"/>
    <x v="3"/>
    <s v="Ceramic Mug Set"/>
    <x v="2"/>
    <n v="2"/>
    <n v="24"/>
    <n v="48"/>
    <s v="Sale"/>
    <s v="Credit Card"/>
  </r>
  <r>
    <n v="5281"/>
    <x v="8"/>
    <x v="8"/>
    <d v="2025-04-16T00:00:00"/>
    <x v="6"/>
    <s v="Memory Foam Pillow"/>
    <x v="0"/>
    <n v="1"/>
    <n v="32"/>
    <n v="32"/>
    <s v="Sale"/>
    <s v="Credit Card"/>
  </r>
  <r>
    <n v="5282"/>
    <x v="12"/>
    <x v="12"/>
    <d v="2025-08-18T00:00:00"/>
    <x v="1"/>
    <s v="Floor Lamp"/>
    <x v="3"/>
    <n v="1"/>
    <n v="89"/>
    <n v="89"/>
    <s v="Sale"/>
    <s v="Paypal"/>
  </r>
  <r>
    <n v="5283"/>
    <x v="8"/>
    <x v="8"/>
    <d v="2025-03-28T00:00:00"/>
    <x v="3"/>
    <s v="Floor Lamp"/>
    <x v="3"/>
    <n v="-1"/>
    <n v="86"/>
    <n v="-86"/>
    <s v="Return"/>
    <s v="Credit Card"/>
  </r>
  <r>
    <n v="5284"/>
    <x v="63"/>
    <x v="62"/>
    <d v="2025-06-19T00:00:00"/>
    <x v="8"/>
    <s v="Cutting Board"/>
    <x v="2"/>
    <n v="1"/>
    <n v="19"/>
    <n v="19"/>
    <s v="Sale"/>
    <s v="Paypal"/>
  </r>
  <r>
    <n v="5285"/>
    <x v="45"/>
    <x v="45"/>
    <d v="2025-06-14T00:00:00"/>
    <x v="8"/>
    <s v="Wool Blanket"/>
    <x v="0"/>
    <n v="1"/>
    <n v="67"/>
    <n v="67"/>
    <s v="Sale"/>
    <s v="Debit Card"/>
  </r>
  <r>
    <n v="5286"/>
    <x v="52"/>
    <x v="52"/>
    <d v="2025-01-12T00:00:00"/>
    <x v="9"/>
    <s v="Cutting Board"/>
    <x v="2"/>
    <n v="3"/>
    <n v="19"/>
    <n v="57"/>
    <s v="Sale"/>
    <s v="Debit Card"/>
  </r>
  <r>
    <n v="5287"/>
    <x v="19"/>
    <x v="19"/>
    <d v="2025-07-22T00:00:00"/>
    <x v="10"/>
    <s v="Ceramic Vase"/>
    <x v="1"/>
    <n v="1"/>
    <n v="28"/>
    <n v="28"/>
    <s v="Sale"/>
    <s v="Credit Card"/>
  </r>
  <r>
    <n v="5288"/>
    <x v="45"/>
    <x v="45"/>
    <d v="2025-08-06T00:00:00"/>
    <x v="1"/>
    <s v="Cutting Board"/>
    <x v="2"/>
    <n v="-2"/>
    <n v="19"/>
    <n v="-38"/>
    <s v="Return"/>
    <s v="Debit Card"/>
  </r>
  <r>
    <n v="5289"/>
    <x v="30"/>
    <x v="30"/>
    <d v="2025-11-03T00:00:00"/>
    <x v="0"/>
    <s v="String Lights"/>
    <x v="3"/>
    <n v="1"/>
    <n v="18"/>
    <n v="18"/>
    <s v="Sale"/>
    <s v="Credit Card"/>
  </r>
  <r>
    <n v="5290"/>
    <x v="13"/>
    <x v="13"/>
    <d v="2025-12-28T00:00:00"/>
    <x v="5"/>
    <s v="Ceramic Mug Set"/>
    <x v="2"/>
    <n v="1"/>
    <n v="24"/>
    <n v="24"/>
    <s v="Sale"/>
    <s v="Credit Card"/>
  </r>
  <r>
    <n v="5291"/>
    <x v="51"/>
    <x v="51"/>
    <d v="2025-06-03T00:00:00"/>
    <x v="8"/>
    <s v="Wall Mirror"/>
    <x v="1"/>
    <n v="1"/>
    <n v="65"/>
    <n v="65"/>
    <s v="Sale"/>
    <s v="Credit Card"/>
  </r>
  <r>
    <n v="5292"/>
    <x v="35"/>
    <x v="35"/>
    <d v="2025-02-15T00:00:00"/>
    <x v="7"/>
    <s v="Cotton Bedsheet Set"/>
    <x v="0"/>
    <n v="2"/>
    <n v="55"/>
    <n v="110"/>
    <s v="Sale"/>
    <s v="Debit Card"/>
  </r>
  <r>
    <n v="5293"/>
    <x v="34"/>
    <x v="34"/>
    <d v="2025-01-17T00:00:00"/>
    <x v="9"/>
    <s v="Ceramic Vase"/>
    <x v="1"/>
    <n v="1"/>
    <n v="28"/>
    <n v="28"/>
    <s v="Sale"/>
    <s v="Paypal"/>
  </r>
  <r>
    <n v="5294"/>
    <x v="70"/>
    <x v="69"/>
    <d v="2025-06-23T00:00:00"/>
    <x v="8"/>
    <s v="Cotton Bedsheet Set"/>
    <x v="0"/>
    <n v="2"/>
    <n v="52"/>
    <n v="104"/>
    <s v="Sale"/>
    <s v="Debit Card"/>
  </r>
  <r>
    <n v="5295"/>
    <x v="21"/>
    <x v="21"/>
    <d v="2025-06-01T00:00:00"/>
    <x v="8"/>
    <s v="Cotton Bedsheet Set"/>
    <x v="0"/>
    <n v="2"/>
    <n v="58"/>
    <n v="116"/>
    <s v="Sale"/>
    <s v="Paypal"/>
  </r>
  <r>
    <n v="5296"/>
    <x v="41"/>
    <x v="41"/>
    <d v="2025-02-13T00:00:00"/>
    <x v="7"/>
    <s v="Memory Foam Pillow"/>
    <x v="0"/>
    <n v="2"/>
    <n v="32"/>
    <n v="64"/>
    <s v="Sale"/>
    <s v="Credit Card"/>
  </r>
  <r>
    <n v="5297"/>
    <x v="88"/>
    <x v="85"/>
    <d v="2025-02-11T00:00:00"/>
    <x v="7"/>
    <s v="Non-Stick Pan Set"/>
    <x v="2"/>
    <n v="3"/>
    <n v="60"/>
    <n v="180"/>
    <s v="Sale"/>
    <s v="Paypal"/>
  </r>
  <r>
    <n v="5298"/>
    <x v="91"/>
    <x v="88"/>
    <d v="2025-08-07T00:00:00"/>
    <x v="1"/>
    <s v="Cotton Bedsheet Set"/>
    <x v="0"/>
    <n v="3"/>
    <n v="55"/>
    <n v="165"/>
    <s v="Sale"/>
    <s v="Paypal"/>
  </r>
  <r>
    <n v="5299"/>
    <x v="35"/>
    <x v="35"/>
    <d v="2025-01-15T00:00:00"/>
    <x v="9"/>
    <s v="Ceramic Mug Set"/>
    <x v="2"/>
    <n v="1"/>
    <n v="24"/>
    <n v="24"/>
    <s v="Sale"/>
    <s v="Paypal"/>
  </r>
  <r>
    <n v="5300"/>
    <x v="73"/>
    <x v="72"/>
    <d v="2025-10-07T00:00:00"/>
    <x v="4"/>
    <s v="Non-Stick Pan Set"/>
    <x v="2"/>
    <n v="1"/>
    <n v="63"/>
    <n v="63"/>
    <s v="Sale"/>
    <s v="Credit Card"/>
  </r>
  <r>
    <n v="5301"/>
    <x v="14"/>
    <x v="14"/>
    <d v="2025-04-27T00:00:00"/>
    <x v="6"/>
    <s v="Throw Pillow"/>
    <x v="1"/>
    <n v="1"/>
    <n v="25"/>
    <n v="25"/>
    <s v="Sale"/>
    <s v="Paypal"/>
  </r>
  <r>
    <n v="5302"/>
    <x v="12"/>
    <x v="12"/>
    <d v="2025-11-29T00:00:00"/>
    <x v="0"/>
    <s v="Floor Lamp"/>
    <x v="3"/>
    <n v="1"/>
    <n v="92"/>
    <n v="92"/>
    <s v="Sale"/>
    <s v="Debit Card"/>
  </r>
  <r>
    <n v="5303"/>
    <x v="18"/>
    <x v="18"/>
    <d v="2025-11-10T00:00:00"/>
    <x v="0"/>
    <s v="Table Lamp"/>
    <x v="3"/>
    <n v="1"/>
    <n v="48"/>
    <n v="48"/>
    <s v="Sale"/>
    <s v="Debit Card"/>
  </r>
  <r>
    <n v="5304"/>
    <x v="50"/>
    <x v="50"/>
    <d v="2025-10-18T00:00:00"/>
    <x v="4"/>
    <s v="Non-Stick Pan Set"/>
    <x v="2"/>
    <n v="2"/>
    <n v="57"/>
    <n v="114"/>
    <s v="Sale"/>
    <s v="Paypal"/>
  </r>
  <r>
    <n v="5305"/>
    <x v="5"/>
    <x v="5"/>
    <d v="2025-02-28T00:00:00"/>
    <x v="7"/>
    <s v="Wool Blanket"/>
    <x v="0"/>
    <n v="2"/>
    <n v="70"/>
    <n v="140"/>
    <s v="Sale"/>
    <s v="Paypal"/>
  </r>
  <r>
    <n v="5306"/>
    <x v="13"/>
    <x v="13"/>
    <d v="2025-02-17T00:00:00"/>
    <x v="7"/>
    <s v="Memory Foam Pillow"/>
    <x v="0"/>
    <n v="1"/>
    <n v="35"/>
    <n v="35"/>
    <s v="Sale"/>
    <s v="Paypal"/>
  </r>
  <r>
    <n v="5307"/>
    <x v="40"/>
    <x v="40"/>
    <d v="2025-01-22T00:00:00"/>
    <x v="9"/>
    <s v="String Lights"/>
    <x v="3"/>
    <n v="3"/>
    <n v="21"/>
    <n v="63"/>
    <s v="Sale"/>
    <s v="Debit Card"/>
  </r>
  <r>
    <n v="5308"/>
    <x v="92"/>
    <x v="89"/>
    <d v="2025-11-03T00:00:00"/>
    <x v="0"/>
    <s v="Cutting Board"/>
    <x v="2"/>
    <n v="1"/>
    <n v="22"/>
    <n v="22"/>
    <s v="Sale"/>
    <s v="Debit Card"/>
  </r>
  <r>
    <n v="5309"/>
    <x v="81"/>
    <x v="78"/>
    <d v="2025-03-28T00:00:00"/>
    <x v="3"/>
    <s v="String Lights"/>
    <x v="3"/>
    <n v="3"/>
    <n v="18"/>
    <n v="54"/>
    <s v="Sale"/>
    <s v="Debit Card"/>
  </r>
  <r>
    <n v="5310"/>
    <x v="92"/>
    <x v="89"/>
    <d v="2025-10-07T00:00:00"/>
    <x v="4"/>
    <s v="Table Lamp"/>
    <x v="3"/>
    <n v="3"/>
    <n v="45"/>
    <n v="135"/>
    <s v="Sale"/>
    <s v="Credit Card"/>
  </r>
  <r>
    <n v="5311"/>
    <x v="94"/>
    <x v="91"/>
    <d v="2025-06-17T00:00:00"/>
    <x v="8"/>
    <s v="Wool Blanket"/>
    <x v="0"/>
    <n v="1"/>
    <n v="70"/>
    <n v="70"/>
    <s v="Sale"/>
    <s v="Paypal"/>
  </r>
  <r>
    <n v="5312"/>
    <x v="64"/>
    <x v="63"/>
    <d v="2025-11-01T00:00:00"/>
    <x v="0"/>
    <s v="Memory Foam Pillow"/>
    <x v="0"/>
    <n v="1"/>
    <n v="29"/>
    <n v="29"/>
    <s v="Sale"/>
    <s v="Credit Card"/>
  </r>
  <r>
    <n v="5313"/>
    <x v="25"/>
    <x v="25"/>
    <d v="2025-04-05T00:00:00"/>
    <x v="6"/>
    <s v="Floor Lamp"/>
    <x v="3"/>
    <n v="2"/>
    <n v="89"/>
    <n v="178"/>
    <s v="Sale"/>
    <s v="Paypal"/>
  </r>
  <r>
    <n v="5314"/>
    <x v="87"/>
    <x v="84"/>
    <d v="2025-03-10T00:00:00"/>
    <x v="3"/>
    <s v="Floor Lamp"/>
    <x v="3"/>
    <n v="2"/>
    <n v="86"/>
    <n v="172"/>
    <s v="Sale"/>
    <s v="Paypal"/>
  </r>
  <r>
    <n v="5315"/>
    <x v="18"/>
    <x v="18"/>
    <d v="2025-09-05T00:00:00"/>
    <x v="11"/>
    <s v="Wool Blanket"/>
    <x v="0"/>
    <n v="1"/>
    <n v="67"/>
    <n v="67"/>
    <s v="Sale"/>
    <s v="Credit Card"/>
  </r>
  <r>
    <n v="5316"/>
    <x v="39"/>
    <x v="39"/>
    <d v="2025-08-18T00:00:00"/>
    <x v="1"/>
    <s v="Cutting Board"/>
    <x v="2"/>
    <n v="1"/>
    <n v="22"/>
    <n v="22"/>
    <s v="Sale"/>
    <s v="Debit Card"/>
  </r>
  <r>
    <n v="5317"/>
    <x v="55"/>
    <x v="55"/>
    <d v="2025-04-21T00:00:00"/>
    <x v="6"/>
    <s v="Wool Blanket"/>
    <x v="0"/>
    <n v="1"/>
    <n v="73"/>
    <n v="73"/>
    <s v="Sale"/>
    <s v="Paypal"/>
  </r>
  <r>
    <n v="5318"/>
    <x v="21"/>
    <x v="21"/>
    <d v="2025-08-28T00:00:00"/>
    <x v="1"/>
    <s v="String Lights"/>
    <x v="3"/>
    <n v="2"/>
    <n v="18"/>
    <n v="36"/>
    <s v="Sale"/>
    <s v="Debit Card"/>
  </r>
  <r>
    <n v="5319"/>
    <x v="57"/>
    <x v="57"/>
    <d v="2025-10-24T00:00:00"/>
    <x v="4"/>
    <s v="String Lights"/>
    <x v="3"/>
    <n v="1"/>
    <n v="18"/>
    <n v="18"/>
    <s v="Sale"/>
    <s v="Credit Card"/>
  </r>
  <r>
    <n v="5320"/>
    <x v="32"/>
    <x v="32"/>
    <d v="2025-01-24T00:00:00"/>
    <x v="9"/>
    <s v="Non-Stick Pan Set"/>
    <x v="2"/>
    <n v="3"/>
    <n v="60"/>
    <n v="180"/>
    <s v="Sale"/>
    <s v="Debit Card"/>
  </r>
  <r>
    <n v="5321"/>
    <x v="33"/>
    <x v="33"/>
    <d v="2025-05-15T00:00:00"/>
    <x v="2"/>
    <s v="Wool Blanket"/>
    <x v="0"/>
    <n v="2"/>
    <n v="73"/>
    <n v="146"/>
    <s v="Sale"/>
    <s v="Unknown"/>
  </r>
  <r>
    <n v="5322"/>
    <x v="16"/>
    <x v="16"/>
    <d v="2025-02-18T00:00:00"/>
    <x v="7"/>
    <s v="Wool Blanket"/>
    <x v="0"/>
    <n v="2"/>
    <n v="73"/>
    <n v="146"/>
    <s v="Sale"/>
    <s v="Unknown"/>
  </r>
  <r>
    <n v="5323"/>
    <x v="98"/>
    <x v="95"/>
    <d v="2025-05-02T00:00:00"/>
    <x v="2"/>
    <s v="Floor Lamp"/>
    <x v="3"/>
    <n v="3"/>
    <n v="86"/>
    <n v="258"/>
    <s v="Sale"/>
    <s v="Debit Card"/>
  </r>
  <r>
    <n v="5324"/>
    <x v="8"/>
    <x v="8"/>
    <d v="2025-11-22T00:00:00"/>
    <x v="0"/>
    <s v="Wool Blanket"/>
    <x v="0"/>
    <n v="1"/>
    <n v="73"/>
    <n v="73"/>
    <s v="Sale"/>
    <s v="Debit Card"/>
  </r>
  <r>
    <n v="5325"/>
    <x v="61"/>
    <x v="60"/>
    <d v="2025-06-22T00:00:00"/>
    <x v="8"/>
    <s v="Cutting Board"/>
    <x v="2"/>
    <n v="2"/>
    <n v="22"/>
    <n v="44"/>
    <s v="Sale"/>
    <s v="Paypal"/>
  </r>
  <r>
    <n v="5326"/>
    <x v="81"/>
    <x v="78"/>
    <d v="2025-03-11T00:00:00"/>
    <x v="3"/>
    <s v="Wall Mirror"/>
    <x v="1"/>
    <n v="1"/>
    <n v="65"/>
    <n v="65"/>
    <s v="Sale"/>
    <s v="Credit Card"/>
  </r>
  <r>
    <n v="5327"/>
    <x v="13"/>
    <x v="13"/>
    <d v="2025-03-28T00:00:00"/>
    <x v="3"/>
    <s v="Floor Lamp"/>
    <x v="3"/>
    <n v="1"/>
    <n v="89"/>
    <n v="89"/>
    <s v="Sale"/>
    <s v="Debit Card"/>
  </r>
  <r>
    <n v="5328"/>
    <x v="51"/>
    <x v="51"/>
    <d v="2025-10-10T00:00:00"/>
    <x v="4"/>
    <s v="Non-Stick Pan Set"/>
    <x v="2"/>
    <n v="1"/>
    <n v="60"/>
    <n v="60"/>
    <s v="Sale"/>
    <s v="Paypal"/>
  </r>
  <r>
    <n v="5329"/>
    <x v="100"/>
    <x v="96"/>
    <d v="2025-10-25T00:00:00"/>
    <x v="4"/>
    <s v="Floor Lamp"/>
    <x v="3"/>
    <n v="2"/>
    <n v="89"/>
    <n v="178"/>
    <s v="Sale"/>
    <s v="Debit Card"/>
  </r>
  <r>
    <n v="5330"/>
    <x v="81"/>
    <x v="78"/>
    <d v="2025-06-09T00:00:00"/>
    <x v="8"/>
    <s v="Throw Pillow"/>
    <x v="1"/>
    <n v="1"/>
    <n v="22"/>
    <n v="22"/>
    <s v="Sale"/>
    <s v="Paypal"/>
  </r>
  <r>
    <n v="5331"/>
    <x v="24"/>
    <x v="24"/>
    <d v="2025-05-02T00:00:00"/>
    <x v="2"/>
    <s v="Floor Lamp"/>
    <x v="3"/>
    <n v="1"/>
    <n v="86"/>
    <n v="86"/>
    <s v="Sale"/>
    <s v="Paypal"/>
  </r>
  <r>
    <n v="5332"/>
    <x v="88"/>
    <x v="85"/>
    <d v="2025-09-14T00:00:00"/>
    <x v="11"/>
    <s v="Floor Lamp"/>
    <x v="3"/>
    <n v="1"/>
    <n v="89"/>
    <n v="89"/>
    <s v="Sale"/>
    <s v="Paypal"/>
  </r>
  <r>
    <n v="5333"/>
    <x v="72"/>
    <x v="71"/>
    <d v="2025-02-10T00:00:00"/>
    <x v="7"/>
    <s v="Ceramic Vase"/>
    <x v="1"/>
    <n v="2"/>
    <n v="28"/>
    <n v="56"/>
    <s v="Sale"/>
    <s v="Credit Card"/>
  </r>
  <r>
    <n v="5334"/>
    <x v="84"/>
    <x v="81"/>
    <d v="2025-10-02T00:00:00"/>
    <x v="4"/>
    <s v="Floor Lamp"/>
    <x v="3"/>
    <n v="3"/>
    <n v="89"/>
    <n v="267"/>
    <s v="Sale"/>
    <s v="Debit Card"/>
  </r>
  <r>
    <n v="5335"/>
    <x v="79"/>
    <x v="23"/>
    <d v="2025-01-14T00:00:00"/>
    <x v="9"/>
    <s v="Cutting Board"/>
    <x v="2"/>
    <n v="2"/>
    <n v="22"/>
    <n v="44"/>
    <s v="Sale"/>
    <s v="Paypal"/>
  </r>
  <r>
    <n v="5336"/>
    <x v="61"/>
    <x v="60"/>
    <d v="2025-01-24T00:00:00"/>
    <x v="9"/>
    <s v="Cotton Bedsheet Set"/>
    <x v="0"/>
    <n v="3"/>
    <n v="58"/>
    <n v="174"/>
    <s v="Sale"/>
    <s v="Paypal"/>
  </r>
  <r>
    <n v="5337"/>
    <x v="49"/>
    <x v="49"/>
    <d v="2025-08-26T00:00:00"/>
    <x v="1"/>
    <s v="Floor Lamp"/>
    <x v="3"/>
    <n v="1"/>
    <n v="89"/>
    <n v="89"/>
    <s v="Sale"/>
    <s v="Credit Card"/>
  </r>
  <r>
    <n v="5338"/>
    <x v="83"/>
    <x v="80"/>
    <d v="2025-12-30T00:00:00"/>
    <x v="5"/>
    <s v="Non-Stick Pan Set"/>
    <x v="2"/>
    <n v="1"/>
    <n v="57"/>
    <n v="57"/>
    <s v="Sale"/>
    <s v="Paypal"/>
  </r>
  <r>
    <n v="5339"/>
    <x v="66"/>
    <x v="65"/>
    <d v="2025-02-16T00:00:00"/>
    <x v="7"/>
    <s v="Wool Blanket"/>
    <x v="0"/>
    <n v="1"/>
    <n v="70"/>
    <n v="70"/>
    <s v="Sale"/>
    <s v="Debit Card"/>
  </r>
  <r>
    <n v="5340"/>
    <x v="88"/>
    <x v="85"/>
    <d v="2025-06-19T00:00:00"/>
    <x v="8"/>
    <s v="Non-Stick Pan Set"/>
    <x v="2"/>
    <n v="3"/>
    <n v="63"/>
    <n v="189"/>
    <s v="Sale"/>
    <s v="Credit Card"/>
  </r>
  <r>
    <n v="5341"/>
    <x v="86"/>
    <x v="83"/>
    <d v="2025-08-06T00:00:00"/>
    <x v="1"/>
    <s v="Ceramic Mug Set"/>
    <x v="2"/>
    <n v="2"/>
    <n v="24"/>
    <n v="48"/>
    <s v="Sale"/>
    <s v="Paypal"/>
  </r>
  <r>
    <n v="5342"/>
    <x v="77"/>
    <x v="75"/>
    <d v="2025-10-13T00:00:00"/>
    <x v="4"/>
    <s v="Ceramic Vase"/>
    <x v="1"/>
    <n v="1"/>
    <n v="28"/>
    <n v="28"/>
    <s v="Sale"/>
    <s v="Unknown"/>
  </r>
  <r>
    <n v="5343"/>
    <x v="101"/>
    <x v="97"/>
    <d v="2025-01-15T00:00:00"/>
    <x v="9"/>
    <s v="Throw Pillow"/>
    <x v="1"/>
    <n v="1"/>
    <n v="19"/>
    <n v="19"/>
    <s v="Sale"/>
    <s v="Paypal"/>
  </r>
  <r>
    <n v="5344"/>
    <x v="86"/>
    <x v="83"/>
    <d v="2025-05-13T00:00:00"/>
    <x v="2"/>
    <s v="Wall Mirror"/>
    <x v="1"/>
    <n v="3"/>
    <n v="65"/>
    <n v="195"/>
    <s v="Sale"/>
    <s v="Paypal"/>
  </r>
  <r>
    <n v="5345"/>
    <x v="19"/>
    <x v="19"/>
    <d v="2025-12-30T00:00:00"/>
    <x v="5"/>
    <s v="String Lights"/>
    <x v="3"/>
    <n v="2"/>
    <n v="18"/>
    <n v="36"/>
    <s v="Sale"/>
    <s v="Credit Card"/>
  </r>
  <r>
    <n v="5346"/>
    <x v="47"/>
    <x v="47"/>
    <d v="2025-06-15T00:00:00"/>
    <x v="8"/>
    <s v="Table Lamp"/>
    <x v="3"/>
    <n v="1"/>
    <n v="42"/>
    <n v="42"/>
    <s v="Sale"/>
    <s v="Debit Card"/>
  </r>
  <r>
    <n v="5347"/>
    <x v="12"/>
    <x v="12"/>
    <d v="2025-01-31T00:00:00"/>
    <x v="9"/>
    <s v="String Lights"/>
    <x v="3"/>
    <n v="-2"/>
    <n v="18"/>
    <n v="-36"/>
    <s v="Return"/>
    <s v="Debit Card"/>
  </r>
  <r>
    <n v="5348"/>
    <x v="24"/>
    <x v="24"/>
    <d v="2025-01-16T00:00:00"/>
    <x v="9"/>
    <s v="Table Lamp"/>
    <x v="3"/>
    <n v="1"/>
    <n v="45"/>
    <n v="45"/>
    <s v="Sale"/>
    <s v="Paypal"/>
  </r>
  <r>
    <n v="5349"/>
    <x v="30"/>
    <x v="30"/>
    <d v="2025-04-15T00:00:00"/>
    <x v="6"/>
    <s v="String Lights"/>
    <x v="3"/>
    <n v="2"/>
    <n v="18"/>
    <n v="36"/>
    <s v="Sale"/>
    <s v="Paypal"/>
  </r>
  <r>
    <n v="5350"/>
    <x v="13"/>
    <x v="13"/>
    <d v="2025-02-09T00:00:00"/>
    <x v="7"/>
    <s v="Wall Mirror"/>
    <x v="1"/>
    <n v="1"/>
    <n v="65.099999999999994"/>
    <n v="65.099999999999994"/>
    <s v="Sale"/>
    <s v="Debit Card"/>
  </r>
  <r>
    <n v="5351"/>
    <x v="57"/>
    <x v="57"/>
    <d v="2025-05-08T00:00:00"/>
    <x v="2"/>
    <s v="Memory Foam Pillow"/>
    <x v="0"/>
    <n v="1"/>
    <n v="35"/>
    <n v="35"/>
    <s v="Sale"/>
    <s v="Paypal"/>
  </r>
  <r>
    <n v="5352"/>
    <x v="102"/>
    <x v="98"/>
    <d v="2025-04-18T00:00:00"/>
    <x v="6"/>
    <s v="Ceramic Vase"/>
    <x v="1"/>
    <n v="1"/>
    <n v="28"/>
    <n v="28"/>
    <s v="Sale"/>
    <s v="Paypal"/>
  </r>
  <r>
    <n v="5353"/>
    <x v="62"/>
    <x v="61"/>
    <d v="2025-01-13T00:00:00"/>
    <x v="9"/>
    <s v="Ceramic Mug Set"/>
    <x v="2"/>
    <n v="1"/>
    <n v="21"/>
    <n v="21"/>
    <s v="Sale"/>
    <s v="Paypal"/>
  </r>
  <r>
    <n v="5354"/>
    <x v="43"/>
    <x v="43"/>
    <d v="2025-06-30T00:00:00"/>
    <x v="8"/>
    <s v="Cutting Board"/>
    <x v="2"/>
    <n v="1"/>
    <n v="19"/>
    <n v="19"/>
    <s v="Sale"/>
    <s v="Credit Card"/>
  </r>
  <r>
    <n v="5355"/>
    <x v="83"/>
    <x v="80"/>
    <d v="2025-11-25T00:00:00"/>
    <x v="0"/>
    <s v="String Lights"/>
    <x v="3"/>
    <n v="1"/>
    <n v="15"/>
    <n v="15"/>
    <s v="Sale"/>
    <s v="Paypal"/>
  </r>
  <r>
    <n v="5356"/>
    <x v="98"/>
    <x v="95"/>
    <d v="2025-12-20T00:00:00"/>
    <x v="5"/>
    <s v="Ceramic Mug Set"/>
    <x v="2"/>
    <n v="1"/>
    <n v="24"/>
    <n v="24"/>
    <s v="Sale"/>
    <s v="Paypal"/>
  </r>
  <r>
    <n v="5357"/>
    <x v="65"/>
    <x v="64"/>
    <d v="2025-02-23T00:00:00"/>
    <x v="7"/>
    <s v="Cutting Board"/>
    <x v="2"/>
    <n v="1"/>
    <n v="19"/>
    <n v="19"/>
    <s v="Sale"/>
    <s v="Credit Card"/>
  </r>
  <r>
    <n v="5358"/>
    <x v="18"/>
    <x v="18"/>
    <d v="2025-09-27T00:00:00"/>
    <x v="11"/>
    <s v="Wall Mirror"/>
    <x v="1"/>
    <n v="1"/>
    <n v="65"/>
    <n v="65"/>
    <s v="Sale"/>
    <s v="Debit Card"/>
  </r>
  <r>
    <n v="5359"/>
    <x v="2"/>
    <x v="2"/>
    <d v="2025-09-14T00:00:00"/>
    <x v="11"/>
    <s v="Wool Blanket"/>
    <x v="0"/>
    <n v="2"/>
    <n v="70"/>
    <n v="140"/>
    <s v="Sale"/>
    <s v="Debit Card"/>
  </r>
  <r>
    <n v="5360"/>
    <x v="46"/>
    <x v="46"/>
    <d v="2025-07-02T00:00:00"/>
    <x v="10"/>
    <s v="Table Lamp"/>
    <x v="3"/>
    <n v="3"/>
    <n v="45"/>
    <n v="135"/>
    <s v="Sale"/>
    <s v="Debit Card"/>
  </r>
  <r>
    <n v="5361"/>
    <x v="33"/>
    <x v="33"/>
    <d v="2025-04-11T00:00:00"/>
    <x v="6"/>
    <s v="Ceramic Vase"/>
    <x v="1"/>
    <n v="2"/>
    <n v="31"/>
    <n v="62"/>
    <s v="Sale"/>
    <s v="Credit Card"/>
  </r>
  <r>
    <n v="5362"/>
    <x v="79"/>
    <x v="23"/>
    <d v="2025-01-22T00:00:00"/>
    <x v="9"/>
    <s v="Cutting Board"/>
    <x v="2"/>
    <n v="-2"/>
    <n v="19"/>
    <n v="-38"/>
    <s v="Return"/>
    <s v="Debit Card"/>
  </r>
  <r>
    <n v="5363"/>
    <x v="0"/>
    <x v="0"/>
    <d v="2025-05-18T00:00:00"/>
    <x v="2"/>
    <s v="Cutting Board"/>
    <x v="2"/>
    <n v="2"/>
    <n v="19.095238095238095"/>
    <n v="38.19047619047619"/>
    <s v="Sale"/>
    <s v="Unknown"/>
  </r>
  <r>
    <n v="5364"/>
    <x v="103"/>
    <x v="99"/>
    <d v="2025-07-17T00:00:00"/>
    <x v="10"/>
    <s v="Cotton Bedsheet Set"/>
    <x v="0"/>
    <n v="1"/>
    <n v="52"/>
    <n v="52"/>
    <s v="Sale"/>
    <s v="Debit Card"/>
  </r>
  <r>
    <n v="5365"/>
    <x v="52"/>
    <x v="52"/>
    <d v="2025-07-13T00:00:00"/>
    <x v="10"/>
    <s v="Cutting Board"/>
    <x v="2"/>
    <n v="1"/>
    <n v="16"/>
    <n v="16"/>
    <s v="Sale"/>
    <s v="Unknown"/>
  </r>
  <r>
    <n v="5366"/>
    <x v="40"/>
    <x v="40"/>
    <d v="2025-12-22T00:00:00"/>
    <x v="5"/>
    <s v="Cotton Bedsheet Set"/>
    <x v="0"/>
    <n v="3"/>
    <n v="55"/>
    <n v="165"/>
    <s v="Sale"/>
    <s v="Credit Card"/>
  </r>
  <r>
    <n v="5367"/>
    <x v="91"/>
    <x v="88"/>
    <d v="2025-08-31T00:00:00"/>
    <x v="1"/>
    <s v="Ceramic Vase"/>
    <x v="1"/>
    <n v="2"/>
    <n v="28"/>
    <n v="56"/>
    <s v="Sale"/>
    <s v="Paypal"/>
  </r>
  <r>
    <n v="5368"/>
    <x v="42"/>
    <x v="42"/>
    <d v="2025-07-13T00:00:00"/>
    <x v="10"/>
    <s v="Ceramic Mug Set"/>
    <x v="2"/>
    <n v="3"/>
    <n v="21"/>
    <n v="63"/>
    <s v="Sale"/>
    <s v="Paypal"/>
  </r>
  <r>
    <n v="5369"/>
    <x v="73"/>
    <x v="72"/>
    <d v="2025-06-14T00:00:00"/>
    <x v="8"/>
    <s v="Ceramic Mug Set"/>
    <x v="2"/>
    <n v="3"/>
    <n v="23.742857142857144"/>
    <n v="71.228571428571428"/>
    <s v="Sale"/>
    <s v="Paypal"/>
  </r>
  <r>
    <n v="5370"/>
    <x v="10"/>
    <x v="10"/>
    <d v="2025-05-15T00:00:00"/>
    <x v="2"/>
    <s v="Floor Lamp"/>
    <x v="3"/>
    <n v="-3"/>
    <n v="89"/>
    <n v="-267"/>
    <s v="Return"/>
    <s v="Paypal"/>
  </r>
  <r>
    <n v="5371"/>
    <x v="58"/>
    <x v="42"/>
    <d v="2025-03-02T00:00:00"/>
    <x v="3"/>
    <s v="Wall Mirror"/>
    <x v="1"/>
    <n v="2"/>
    <n v="65"/>
    <n v="130"/>
    <s v="Sale"/>
    <s v="Debit Card"/>
  </r>
  <r>
    <n v="5372"/>
    <x v="6"/>
    <x v="6"/>
    <d v="2025-03-30T00:00:00"/>
    <x v="3"/>
    <s v="Ceramic Mug Set"/>
    <x v="2"/>
    <n v="3"/>
    <n v="24"/>
    <n v="72"/>
    <s v="Sale"/>
    <s v="Debit Card"/>
  </r>
  <r>
    <n v="5373"/>
    <x v="104"/>
    <x v="100"/>
    <d v="2025-08-08T00:00:00"/>
    <x v="1"/>
    <s v="String Lights"/>
    <x v="3"/>
    <n v="2"/>
    <n v="18"/>
    <n v="36"/>
    <s v="Sale"/>
    <s v="Credit Card"/>
  </r>
  <r>
    <n v="5374"/>
    <x v="44"/>
    <x v="44"/>
    <d v="2025-02-07T00:00:00"/>
    <x v="7"/>
    <s v="String Lights"/>
    <x v="3"/>
    <n v="2"/>
    <n v="15"/>
    <n v="30"/>
    <s v="Sale"/>
    <s v="Debit Card"/>
  </r>
  <r>
    <n v="5375"/>
    <x v="105"/>
    <x v="101"/>
    <d v="2025-02-27T00:00:00"/>
    <x v="7"/>
    <s v="Cutting Board"/>
    <x v="2"/>
    <n v="3"/>
    <n v="19"/>
    <n v="57"/>
    <s v="Sale"/>
    <s v="Paypal"/>
  </r>
  <r>
    <n v="5376"/>
    <x v="103"/>
    <x v="99"/>
    <d v="2025-12-15T00:00:00"/>
    <x v="5"/>
    <s v="Ceramic Vase"/>
    <x v="1"/>
    <n v="-1"/>
    <n v="28.327272727272728"/>
    <n v="-28.327272727272728"/>
    <s v="Return"/>
    <s v="Paypal"/>
  </r>
  <r>
    <n v="5377"/>
    <x v="34"/>
    <x v="34"/>
    <d v="2025-06-24T00:00:00"/>
    <x v="8"/>
    <s v="Wool Blanket"/>
    <x v="0"/>
    <n v="1"/>
    <n v="67"/>
    <n v="67"/>
    <s v="Sale"/>
    <s v="Credit Card"/>
  </r>
  <r>
    <n v="5378"/>
    <x v="91"/>
    <x v="88"/>
    <d v="2025-01-30T00:00:00"/>
    <x v="9"/>
    <s v="Floor Lamp"/>
    <x v="3"/>
    <n v="1"/>
    <n v="92"/>
    <n v="92"/>
    <s v="Sale"/>
    <s v="Debit Card"/>
  </r>
  <r>
    <n v="5379"/>
    <x v="6"/>
    <x v="6"/>
    <d v="2025-08-13T00:00:00"/>
    <x v="1"/>
    <s v="Floor Lamp"/>
    <x v="3"/>
    <n v="2"/>
    <n v="89.144230769230774"/>
    <n v="178.28846153846155"/>
    <s v="Sale"/>
    <s v="Paypal"/>
  </r>
  <r>
    <n v="5380"/>
    <x v="106"/>
    <x v="102"/>
    <d v="2025-11-13T00:00:00"/>
    <x v="0"/>
    <s v="Floor Lamp"/>
    <x v="3"/>
    <n v="1"/>
    <n v="89"/>
    <n v="89"/>
    <s v="Sale"/>
    <s v="Credit Card"/>
  </r>
  <r>
    <n v="5381"/>
    <x v="20"/>
    <x v="20"/>
    <d v="2025-07-28T00:00:00"/>
    <x v="10"/>
    <s v="Floor Lamp"/>
    <x v="3"/>
    <n v="3"/>
    <n v="92"/>
    <n v="276"/>
    <s v="Sale"/>
    <s v="Paypal"/>
  </r>
  <r>
    <n v="5382"/>
    <x v="48"/>
    <x v="48"/>
    <d v="2025-03-08T00:00:00"/>
    <x v="3"/>
    <s v="Non-Stick Pan Set"/>
    <x v="2"/>
    <n v="3"/>
    <n v="63"/>
    <n v="189"/>
    <s v="Sale"/>
    <s v="Debit Card"/>
  </r>
  <r>
    <n v="5383"/>
    <x v="68"/>
    <x v="67"/>
    <d v="2025-02-06T00:00:00"/>
    <x v="7"/>
    <s v="String Lights"/>
    <x v="3"/>
    <n v="2"/>
    <n v="18"/>
    <n v="36"/>
    <s v="Sale"/>
    <s v="Credit Card"/>
  </r>
  <r>
    <n v="5384"/>
    <x v="9"/>
    <x v="9"/>
    <d v="2025-02-25T00:00:00"/>
    <x v="7"/>
    <s v="Ceramic Vase"/>
    <x v="1"/>
    <n v="2"/>
    <n v="28"/>
    <n v="56"/>
    <s v="Sale"/>
    <s v="Paypal"/>
  </r>
  <r>
    <n v="5385"/>
    <x v="35"/>
    <x v="35"/>
    <d v="2025-08-14T00:00:00"/>
    <x v="1"/>
    <s v="Throw Pillow"/>
    <x v="1"/>
    <n v="2"/>
    <n v="22.047244094488189"/>
    <n v="44.094488188976378"/>
    <s v="Sale"/>
    <s v="Debit Card"/>
  </r>
  <r>
    <n v="5386"/>
    <x v="30"/>
    <x v="30"/>
    <d v="2025-04-13T00:00:00"/>
    <x v="6"/>
    <s v="Cutting Board"/>
    <x v="2"/>
    <n v="2"/>
    <n v="16"/>
    <n v="32"/>
    <s v="Sale"/>
    <s v="Paypal"/>
  </r>
  <r>
    <n v="5387"/>
    <x v="55"/>
    <x v="55"/>
    <d v="2025-08-24T00:00:00"/>
    <x v="1"/>
    <s v="Cotton Bedsheet Set"/>
    <x v="0"/>
    <n v="1"/>
    <n v="55"/>
    <n v="55"/>
    <s v="Sale"/>
    <s v="Credit Card"/>
  </r>
  <r>
    <n v="5388"/>
    <x v="107"/>
    <x v="5"/>
    <d v="2025-04-21T00:00:00"/>
    <x v="6"/>
    <s v="Throw Pillow"/>
    <x v="1"/>
    <n v="1"/>
    <n v="22"/>
    <n v="22"/>
    <s v="Sale"/>
    <s v="Credit Card"/>
  </r>
  <r>
    <n v="5389"/>
    <x v="12"/>
    <x v="12"/>
    <d v="2025-09-10T00:00:00"/>
    <x v="11"/>
    <s v="Ceramic Vase"/>
    <x v="1"/>
    <n v="2"/>
    <n v="28"/>
    <n v="56"/>
    <s v="Sale"/>
    <s v="Debit Card"/>
  </r>
  <r>
    <n v="5390"/>
    <x v="66"/>
    <x v="65"/>
    <d v="2025-06-21T00:00:00"/>
    <x v="8"/>
    <s v="String Lights"/>
    <x v="3"/>
    <n v="2"/>
    <n v="15"/>
    <n v="30"/>
    <s v="Sale"/>
    <s v="Paypal"/>
  </r>
  <r>
    <n v="5391"/>
    <x v="14"/>
    <x v="14"/>
    <d v="2025-10-06T00:00:00"/>
    <x v="4"/>
    <s v="Throw Pillow"/>
    <x v="1"/>
    <n v="1"/>
    <n v="22"/>
    <n v="22"/>
    <s v="Sale"/>
    <s v="Paypal"/>
  </r>
  <r>
    <n v="5392"/>
    <x v="35"/>
    <x v="35"/>
    <d v="2025-12-15T00:00:00"/>
    <x v="5"/>
    <s v="Cotton Bedsheet Set"/>
    <x v="0"/>
    <n v="1"/>
    <n v="55"/>
    <n v="55"/>
    <s v="Sale"/>
    <s v="Credit Card"/>
  </r>
  <r>
    <n v="5393"/>
    <x v="89"/>
    <x v="86"/>
    <d v="2025-12-05T00:00:00"/>
    <x v="5"/>
    <s v="Wool Blanket"/>
    <x v="0"/>
    <n v="1"/>
    <n v="70"/>
    <n v="70"/>
    <s v="Sale"/>
    <s v="Paypal"/>
  </r>
  <r>
    <n v="5394"/>
    <x v="28"/>
    <x v="28"/>
    <d v="2025-08-26T00:00:00"/>
    <x v="1"/>
    <s v="String Lights"/>
    <x v="3"/>
    <n v="3"/>
    <n v="21"/>
    <n v="63"/>
    <s v="Sale"/>
    <s v="Debit Card"/>
  </r>
  <r>
    <n v="5395"/>
    <x v="41"/>
    <x v="41"/>
    <d v="2025-12-28T00:00:00"/>
    <x v="5"/>
    <s v="Memory Foam Pillow"/>
    <x v="0"/>
    <n v="3"/>
    <n v="32"/>
    <n v="96"/>
    <s v="Sale"/>
    <s v="Credit Card"/>
  </r>
  <r>
    <n v="5396"/>
    <x v="13"/>
    <x v="13"/>
    <d v="2025-01-19T00:00:00"/>
    <x v="9"/>
    <s v="String Lights"/>
    <x v="3"/>
    <n v="1"/>
    <n v="18"/>
    <n v="18"/>
    <s v="Sale"/>
    <s v="Debit Card"/>
  </r>
  <r>
    <n v="5397"/>
    <x v="68"/>
    <x v="67"/>
    <d v="2025-09-11T00:00:00"/>
    <x v="11"/>
    <s v="Non-Stick Pan Set"/>
    <x v="2"/>
    <n v="2"/>
    <n v="60"/>
    <n v="120"/>
    <s v="Sale"/>
    <s v="Credit Card"/>
  </r>
  <r>
    <n v="5398"/>
    <x v="95"/>
    <x v="92"/>
    <d v="2025-11-24T00:00:00"/>
    <x v="0"/>
    <s v="Cotton Bedsheet Set"/>
    <x v="0"/>
    <n v="1"/>
    <n v="55"/>
    <n v="55"/>
    <s v="Sale"/>
    <s v="Paypal"/>
  </r>
  <r>
    <n v="5399"/>
    <x v="76"/>
    <x v="46"/>
    <d v="2025-10-15T00:00:00"/>
    <x v="4"/>
    <s v="Cutting Board"/>
    <x v="2"/>
    <n v="1"/>
    <n v="19"/>
    <n v="19"/>
    <s v="Sale"/>
    <s v="Paypal"/>
  </r>
  <r>
    <n v="5400"/>
    <x v="54"/>
    <x v="54"/>
    <d v="2025-03-16T00:00:00"/>
    <x v="3"/>
    <s v="Wall Mirror"/>
    <x v="1"/>
    <n v="1"/>
    <n v="62"/>
    <n v="62"/>
    <s v="Sale"/>
    <s v="Unknown"/>
  </r>
  <r>
    <n v="5401"/>
    <x v="45"/>
    <x v="45"/>
    <d v="2025-01-26T00:00:00"/>
    <x v="9"/>
    <s v="Throw Pillow"/>
    <x v="1"/>
    <n v="1"/>
    <n v="22"/>
    <n v="22"/>
    <s v="Sale"/>
    <s v="Debit Card"/>
  </r>
  <r>
    <n v="5402"/>
    <x v="106"/>
    <x v="102"/>
    <d v="2025-01-30T00:00:00"/>
    <x v="9"/>
    <s v="Wall Mirror"/>
    <x v="1"/>
    <n v="1"/>
    <n v="65"/>
    <n v="65"/>
    <s v="Sale"/>
    <s v="Paypal"/>
  </r>
  <r>
    <n v="5403"/>
    <x v="81"/>
    <x v="78"/>
    <d v="2025-06-13T00:00:00"/>
    <x v="8"/>
    <s v="Non-Stick Pan Set"/>
    <x v="2"/>
    <n v="1"/>
    <n v="60"/>
    <n v="60"/>
    <s v="Sale"/>
    <s v="Paypal"/>
  </r>
  <r>
    <n v="5404"/>
    <x v="25"/>
    <x v="25"/>
    <d v="2025-04-29T00:00:00"/>
    <x v="6"/>
    <s v="Ceramic Mug Set"/>
    <x v="2"/>
    <n v="1"/>
    <n v="24"/>
    <n v="24"/>
    <s v="Sale"/>
    <s v="Debit Card"/>
  </r>
  <r>
    <n v="5405"/>
    <x v="31"/>
    <x v="31"/>
    <d v="2025-12-02T00:00:00"/>
    <x v="5"/>
    <s v="Table Lamp"/>
    <x v="3"/>
    <n v="1"/>
    <n v="45"/>
    <n v="45"/>
    <s v="Sale"/>
    <s v="Credit Card"/>
  </r>
  <r>
    <n v="5406"/>
    <x v="55"/>
    <x v="55"/>
    <d v="2025-07-25T00:00:00"/>
    <x v="10"/>
    <s v="Ceramic Mug Set"/>
    <x v="2"/>
    <n v="1"/>
    <n v="24"/>
    <n v="24"/>
    <s v="Sale"/>
    <s v="Unknown"/>
  </r>
  <r>
    <n v="5407"/>
    <x v="7"/>
    <x v="7"/>
    <d v="2025-07-02T00:00:00"/>
    <x v="10"/>
    <s v="Wool Blanket"/>
    <x v="0"/>
    <n v="2"/>
    <n v="70"/>
    <n v="140"/>
    <s v="Sale"/>
    <s v="Credit Card"/>
  </r>
  <r>
    <n v="5408"/>
    <x v="41"/>
    <x v="41"/>
    <d v="2025-05-24T00:00:00"/>
    <x v="2"/>
    <s v="Memory Foam Pillow"/>
    <x v="0"/>
    <n v="2"/>
    <n v="35"/>
    <n v="70"/>
    <s v="Sale"/>
    <s v="Paypal"/>
  </r>
  <r>
    <n v="5409"/>
    <x v="96"/>
    <x v="93"/>
    <d v="2025-05-19T00:00:00"/>
    <x v="2"/>
    <s v="Memory Foam Pillow"/>
    <x v="0"/>
    <n v="2"/>
    <n v="32"/>
    <n v="64"/>
    <s v="Sale"/>
    <s v="Credit Card"/>
  </r>
  <r>
    <n v="5410"/>
    <x v="81"/>
    <x v="78"/>
    <d v="2025-03-19T00:00:00"/>
    <x v="3"/>
    <s v="Table Lamp"/>
    <x v="3"/>
    <n v="1"/>
    <n v="45"/>
    <n v="45"/>
    <s v="Sale"/>
    <s v="Credit Card"/>
  </r>
  <r>
    <n v="5411"/>
    <x v="38"/>
    <x v="38"/>
    <d v="2025-06-18T00:00:00"/>
    <x v="8"/>
    <s v="Table Lamp"/>
    <x v="3"/>
    <n v="1"/>
    <n v="42"/>
    <n v="42"/>
    <s v="Sale"/>
    <s v="Debit Card"/>
  </r>
  <r>
    <n v="5412"/>
    <x v="22"/>
    <x v="22"/>
    <d v="2025-02-18T00:00:00"/>
    <x v="7"/>
    <s v="Memory Foam Pillow"/>
    <x v="0"/>
    <n v="1"/>
    <n v="35"/>
    <n v="35"/>
    <s v="Sale"/>
    <s v="Credit Card"/>
  </r>
  <r>
    <n v="5413"/>
    <x v="16"/>
    <x v="16"/>
    <d v="2025-09-20T00:00:00"/>
    <x v="11"/>
    <s v="Ceramic Vase"/>
    <x v="1"/>
    <n v="2"/>
    <n v="28"/>
    <n v="56"/>
    <s v="Sale"/>
    <s v="Credit Card"/>
  </r>
  <r>
    <n v="5414"/>
    <x v="34"/>
    <x v="34"/>
    <d v="2025-12-06T00:00:00"/>
    <x v="5"/>
    <s v="Cutting Board"/>
    <x v="2"/>
    <n v="1"/>
    <n v="19"/>
    <n v="19"/>
    <s v="Sale"/>
    <s v="Debit Card"/>
  </r>
  <r>
    <n v="5415"/>
    <x v="57"/>
    <x v="57"/>
    <d v="2025-03-09T00:00:00"/>
    <x v="3"/>
    <s v="Ceramic Mug Set"/>
    <x v="2"/>
    <n v="1"/>
    <n v="24"/>
    <n v="24"/>
    <s v="Sale"/>
    <s v="Paypal"/>
  </r>
  <r>
    <n v="5416"/>
    <x v="53"/>
    <x v="53"/>
    <d v="2025-12-09T00:00:00"/>
    <x v="5"/>
    <s v="Wall Mirror"/>
    <x v="1"/>
    <n v="2"/>
    <n v="68"/>
    <n v="136"/>
    <s v="Sale"/>
    <s v="Credit Card"/>
  </r>
  <r>
    <n v="5417"/>
    <x v="11"/>
    <x v="11"/>
    <d v="2025-10-19T00:00:00"/>
    <x v="4"/>
    <s v="Wall Mirror"/>
    <x v="1"/>
    <n v="2"/>
    <n v="65"/>
    <n v="130"/>
    <s v="Sale"/>
    <s v="Debit Card"/>
  </r>
  <r>
    <n v="5418"/>
    <x v="49"/>
    <x v="49"/>
    <d v="2025-04-15T00:00:00"/>
    <x v="6"/>
    <s v="Wool Blanket"/>
    <x v="0"/>
    <n v="1"/>
    <n v="73"/>
    <n v="73"/>
    <s v="Sale"/>
    <s v="Credit Card"/>
  </r>
  <r>
    <n v="5419"/>
    <x v="76"/>
    <x v="46"/>
    <d v="2025-01-28T00:00:00"/>
    <x v="9"/>
    <s v="Throw Pillow"/>
    <x v="1"/>
    <n v="3"/>
    <n v="22.047244094488189"/>
    <n v="66.141732283464563"/>
    <s v="Sale"/>
    <s v="Credit Card"/>
  </r>
  <r>
    <n v="5420"/>
    <x v="101"/>
    <x v="97"/>
    <d v="2025-03-20T00:00:00"/>
    <x v="3"/>
    <s v="Wall Mirror"/>
    <x v="1"/>
    <n v="1"/>
    <n v="65"/>
    <n v="65"/>
    <s v="Sale"/>
    <s v="Debit Card"/>
  </r>
  <r>
    <n v="5421"/>
    <x v="13"/>
    <x v="13"/>
    <d v="2025-02-13T00:00:00"/>
    <x v="7"/>
    <s v="Throw Pillow"/>
    <x v="1"/>
    <n v="1"/>
    <n v="22"/>
    <n v="22"/>
    <s v="Sale"/>
    <s v="Paypal"/>
  </r>
  <r>
    <n v="5422"/>
    <x v="90"/>
    <x v="87"/>
    <d v="2025-06-22T00:00:00"/>
    <x v="8"/>
    <s v="Non-Stick Pan Set"/>
    <x v="2"/>
    <n v="1"/>
    <n v="60"/>
    <n v="60"/>
    <s v="Sale"/>
    <s v="Debit Card"/>
  </r>
  <r>
    <n v="5423"/>
    <x v="97"/>
    <x v="94"/>
    <d v="2025-08-25T00:00:00"/>
    <x v="1"/>
    <s v="Throw Pillow"/>
    <x v="1"/>
    <n v="1"/>
    <n v="22"/>
    <n v="22"/>
    <s v="Sale"/>
    <s v="Credit Card"/>
  </r>
  <r>
    <n v="5424"/>
    <x v="67"/>
    <x v="66"/>
    <d v="2025-03-17T00:00:00"/>
    <x v="3"/>
    <s v="Table Lamp"/>
    <x v="3"/>
    <n v="-1"/>
    <n v="45"/>
    <n v="-45"/>
    <s v="Return"/>
    <s v="Unknown"/>
  </r>
  <r>
    <n v="5425"/>
    <x v="58"/>
    <x v="42"/>
    <d v="2025-06-19T00:00:00"/>
    <x v="8"/>
    <s v="Ceramic Mug Set"/>
    <x v="2"/>
    <n v="1"/>
    <n v="24"/>
    <n v="24"/>
    <s v="Sale"/>
    <s v="Paypal"/>
  </r>
  <r>
    <n v="5426"/>
    <x v="86"/>
    <x v="83"/>
    <d v="2025-02-05T00:00:00"/>
    <x v="7"/>
    <s v="String Lights"/>
    <x v="3"/>
    <n v="1"/>
    <n v="15"/>
    <n v="15"/>
    <s v="Sale"/>
    <s v="Credit Card"/>
  </r>
  <r>
    <n v="5427"/>
    <x v="28"/>
    <x v="28"/>
    <d v="2025-06-28T00:00:00"/>
    <x v="8"/>
    <s v="Cutting Board"/>
    <x v="2"/>
    <n v="2"/>
    <n v="19"/>
    <n v="38"/>
    <s v="Sale"/>
    <s v="Debit Card"/>
  </r>
  <r>
    <n v="5428"/>
    <x v="108"/>
    <x v="103"/>
    <d v="2025-08-27T00:00:00"/>
    <x v="1"/>
    <s v="Ceramic Vase"/>
    <x v="1"/>
    <n v="2"/>
    <n v="28"/>
    <n v="56"/>
    <s v="Sale"/>
    <s v="Debit Card"/>
  </r>
  <r>
    <n v="5429"/>
    <x v="87"/>
    <x v="84"/>
    <d v="2025-12-02T00:00:00"/>
    <x v="5"/>
    <s v="Wool Blanket"/>
    <x v="0"/>
    <n v="1"/>
    <n v="70"/>
    <n v="70"/>
    <s v="Sale"/>
    <s v="Paypal"/>
  </r>
  <r>
    <n v="5430"/>
    <x v="87"/>
    <x v="84"/>
    <d v="2025-10-15T00:00:00"/>
    <x v="4"/>
    <s v="Memory Foam Pillow"/>
    <x v="0"/>
    <n v="2"/>
    <n v="35"/>
    <n v="70"/>
    <s v="Sale"/>
    <s v="Credit Card"/>
  </r>
  <r>
    <n v="5431"/>
    <x v="73"/>
    <x v="72"/>
    <d v="2025-11-17T00:00:00"/>
    <x v="0"/>
    <s v="Cotton Bedsheet Set"/>
    <x v="0"/>
    <n v="2"/>
    <n v="55"/>
    <n v="110"/>
    <s v="Sale"/>
    <s v="Debit Card"/>
  </r>
  <r>
    <n v="5432"/>
    <x v="37"/>
    <x v="37"/>
    <d v="2025-06-12T00:00:00"/>
    <x v="8"/>
    <s v="String Lights"/>
    <x v="3"/>
    <n v="1"/>
    <n v="15"/>
    <n v="15"/>
    <s v="Sale"/>
    <s v="Paypal"/>
  </r>
  <r>
    <n v="5433"/>
    <x v="85"/>
    <x v="82"/>
    <d v="2025-01-09T00:00:00"/>
    <x v="9"/>
    <s v="Throw Pillow"/>
    <x v="1"/>
    <n v="2"/>
    <n v="25"/>
    <n v="50"/>
    <s v="Sale"/>
    <s v="Paypal"/>
  </r>
  <r>
    <n v="5434"/>
    <x v="55"/>
    <x v="55"/>
    <d v="2025-04-20T00:00:00"/>
    <x v="6"/>
    <s v="Wool Blanket"/>
    <x v="0"/>
    <n v="1"/>
    <n v="70"/>
    <n v="70"/>
    <s v="Sale"/>
    <s v="Debit Card"/>
  </r>
  <r>
    <n v="5435"/>
    <x v="55"/>
    <x v="55"/>
    <d v="2025-05-19T00:00:00"/>
    <x v="2"/>
    <s v="Throw Pillow"/>
    <x v="1"/>
    <n v="3"/>
    <n v="22"/>
    <n v="66"/>
    <s v="Sale"/>
    <s v="Credit Card"/>
  </r>
  <r>
    <n v="5436"/>
    <x v="46"/>
    <x v="46"/>
    <d v="2025-11-18T00:00:00"/>
    <x v="0"/>
    <s v="Ceramic Mug Set"/>
    <x v="2"/>
    <n v="2"/>
    <n v="24"/>
    <n v="48"/>
    <s v="Sale"/>
    <s v="Debit Card"/>
  </r>
  <r>
    <n v="5437"/>
    <x v="103"/>
    <x v="99"/>
    <d v="2025-03-27T00:00:00"/>
    <x v="3"/>
    <s v="String Lights"/>
    <x v="3"/>
    <n v="1"/>
    <n v="21"/>
    <n v="21"/>
    <s v="Sale"/>
    <s v="Credit Card"/>
  </r>
  <r>
    <n v="5438"/>
    <x v="15"/>
    <x v="15"/>
    <d v="2025-11-07T00:00:00"/>
    <x v="0"/>
    <s v="Wool Blanket"/>
    <x v="0"/>
    <n v="1"/>
    <n v="70"/>
    <n v="70"/>
    <s v="Sale"/>
    <s v="Credit Card"/>
  </r>
  <r>
    <n v="5439"/>
    <x v="89"/>
    <x v="86"/>
    <d v="2025-02-23T00:00:00"/>
    <x v="7"/>
    <s v="Wall Mirror"/>
    <x v="1"/>
    <n v="1"/>
    <n v="68"/>
    <n v="68"/>
    <s v="Sale"/>
    <s v="Debit Card"/>
  </r>
  <r>
    <n v="5440"/>
    <x v="94"/>
    <x v="91"/>
    <d v="2025-02-21T00:00:00"/>
    <x v="7"/>
    <s v="Ceramic Mug Set"/>
    <x v="2"/>
    <n v="1"/>
    <n v="24"/>
    <n v="24"/>
    <s v="Sale"/>
    <s v="Credit Card"/>
  </r>
  <r>
    <n v="5441"/>
    <x v="50"/>
    <x v="50"/>
    <d v="2025-06-19T00:00:00"/>
    <x v="8"/>
    <s v="Non-Stick Pan Set"/>
    <x v="2"/>
    <n v="1"/>
    <n v="60"/>
    <n v="60"/>
    <s v="Sale"/>
    <s v="Debit Card"/>
  </r>
  <r>
    <n v="5442"/>
    <x v="70"/>
    <x v="69"/>
    <d v="2025-12-18T00:00:00"/>
    <x v="5"/>
    <s v="Ceramic Mug Set"/>
    <x v="2"/>
    <n v="2"/>
    <n v="21"/>
    <n v="42"/>
    <s v="Sale"/>
    <s v="Credit Card"/>
  </r>
  <r>
    <n v="5443"/>
    <x v="8"/>
    <x v="8"/>
    <d v="2025-01-10T00:00:00"/>
    <x v="9"/>
    <s v="Cutting Board"/>
    <x v="2"/>
    <n v="3"/>
    <n v="16"/>
    <n v="48"/>
    <s v="Sale"/>
    <s v="Credit Card"/>
  </r>
  <r>
    <n v="5444"/>
    <x v="93"/>
    <x v="90"/>
    <d v="2025-03-19T00:00:00"/>
    <x v="3"/>
    <s v="Wool Blanket"/>
    <x v="0"/>
    <n v="1"/>
    <n v="70"/>
    <n v="70"/>
    <s v="Sale"/>
    <s v="Credit Card"/>
  </r>
  <r>
    <n v="5445"/>
    <x v="26"/>
    <x v="26"/>
    <d v="2025-04-07T00:00:00"/>
    <x v="6"/>
    <s v="Wall Mirror"/>
    <x v="1"/>
    <n v="2"/>
    <n v="65"/>
    <n v="130"/>
    <s v="Sale"/>
    <s v="Debit Card"/>
  </r>
  <r>
    <n v="5446"/>
    <x v="10"/>
    <x v="10"/>
    <d v="2025-05-30T00:00:00"/>
    <x v="2"/>
    <s v="Table Lamp"/>
    <x v="3"/>
    <n v="2"/>
    <n v="48"/>
    <n v="96"/>
    <s v="Sale"/>
    <s v="Debit Card"/>
  </r>
  <r>
    <n v="5447"/>
    <x v="35"/>
    <x v="35"/>
    <d v="2025-10-09T00:00:00"/>
    <x v="4"/>
    <s v="Cotton Bedsheet Set"/>
    <x v="0"/>
    <n v="3"/>
    <n v="55"/>
    <n v="165"/>
    <s v="Sale"/>
    <s v="Paypal"/>
  </r>
  <r>
    <n v="5448"/>
    <x v="107"/>
    <x v="5"/>
    <d v="2025-09-30T00:00:00"/>
    <x v="11"/>
    <s v="Ceramic Vase"/>
    <x v="1"/>
    <n v="1"/>
    <n v="28"/>
    <n v="28"/>
    <s v="Sale"/>
    <s v="Paypal"/>
  </r>
  <r>
    <n v="5449"/>
    <x v="93"/>
    <x v="90"/>
    <d v="2025-09-24T00:00:00"/>
    <x v="11"/>
    <s v="Cutting Board"/>
    <x v="2"/>
    <n v="3"/>
    <n v="19"/>
    <n v="57"/>
    <s v="Sale"/>
    <s v="Credit Card"/>
  </r>
  <r>
    <n v="5450"/>
    <x v="86"/>
    <x v="83"/>
    <d v="2025-12-22T00:00:00"/>
    <x v="5"/>
    <s v="String Lights"/>
    <x v="3"/>
    <n v="1"/>
    <n v="18"/>
    <n v="18"/>
    <s v="Sale"/>
    <s v="Paypal"/>
  </r>
  <r>
    <n v="5451"/>
    <x v="79"/>
    <x v="23"/>
    <d v="2025-07-26T00:00:00"/>
    <x v="10"/>
    <s v="Memory Foam Pillow"/>
    <x v="0"/>
    <n v="3"/>
    <n v="32"/>
    <n v="96"/>
    <s v="Sale"/>
    <s v="Debit Card"/>
  </r>
  <r>
    <n v="5452"/>
    <x v="48"/>
    <x v="48"/>
    <d v="2025-05-17T00:00:00"/>
    <x v="2"/>
    <s v="Memory Foam Pillow"/>
    <x v="0"/>
    <n v="1"/>
    <n v="35"/>
    <n v="35"/>
    <s v="Sale"/>
    <s v="Debit Card"/>
  </r>
  <r>
    <n v="5453"/>
    <x v="39"/>
    <x v="39"/>
    <d v="2025-01-23T00:00:00"/>
    <x v="9"/>
    <s v="String Lights"/>
    <x v="3"/>
    <n v="1"/>
    <n v="21"/>
    <n v="21"/>
    <s v="Sale"/>
    <s v="Credit Card"/>
  </r>
  <r>
    <n v="5454"/>
    <x v="75"/>
    <x v="74"/>
    <d v="2025-05-07T00:00:00"/>
    <x v="2"/>
    <s v="Cotton Bedsheet Set"/>
    <x v="0"/>
    <n v="2"/>
    <n v="55"/>
    <n v="110"/>
    <s v="Sale"/>
    <s v="Debit Card"/>
  </r>
  <r>
    <n v="5455"/>
    <x v="105"/>
    <x v="101"/>
    <d v="2025-01-22T00:00:00"/>
    <x v="9"/>
    <s v="Ceramic Vase"/>
    <x v="1"/>
    <n v="1"/>
    <n v="31"/>
    <n v="31"/>
    <s v="Sale"/>
    <s v="Paypal"/>
  </r>
  <r>
    <n v="5456"/>
    <x v="35"/>
    <x v="35"/>
    <d v="2025-10-08T00:00:00"/>
    <x v="4"/>
    <s v="Throw Pillow"/>
    <x v="1"/>
    <n v="2"/>
    <n v="22"/>
    <n v="44"/>
    <s v="Sale"/>
    <s v="Debit Card"/>
  </r>
  <r>
    <n v="5457"/>
    <x v="21"/>
    <x v="21"/>
    <d v="2025-04-01T00:00:00"/>
    <x v="6"/>
    <s v="Ceramic Mug Set"/>
    <x v="2"/>
    <n v="2"/>
    <n v="24"/>
    <n v="48"/>
    <s v="Sale"/>
    <s v="Credit Card"/>
  </r>
  <r>
    <n v="5458"/>
    <x v="71"/>
    <x v="70"/>
    <d v="2025-06-22T00:00:00"/>
    <x v="8"/>
    <s v="Memory Foam Pillow"/>
    <x v="0"/>
    <n v="1"/>
    <n v="32"/>
    <n v="32"/>
    <s v="Sale"/>
    <s v="Debit Card"/>
  </r>
  <r>
    <n v="5459"/>
    <x v="69"/>
    <x v="68"/>
    <d v="2025-04-20T00:00:00"/>
    <x v="6"/>
    <s v="Wall Mirror"/>
    <x v="1"/>
    <n v="3"/>
    <n v="65.099999999999994"/>
    <n v="195.29999999999998"/>
    <s v="Sale"/>
    <s v="Paypal"/>
  </r>
  <r>
    <n v="5460"/>
    <x v="57"/>
    <x v="57"/>
    <d v="2025-12-08T00:00:00"/>
    <x v="5"/>
    <s v="Non-Stick Pan Set"/>
    <x v="2"/>
    <n v="2"/>
    <n v="60"/>
    <n v="120"/>
    <s v="Sale"/>
    <s v="Paypal"/>
  </r>
  <r>
    <n v="5461"/>
    <x v="51"/>
    <x v="51"/>
    <d v="2025-12-14T00:00:00"/>
    <x v="5"/>
    <s v="Floor Lamp"/>
    <x v="3"/>
    <n v="1"/>
    <n v="89"/>
    <n v="89"/>
    <s v="Sale"/>
    <s v="Paypal"/>
  </r>
  <r>
    <n v="5462"/>
    <x v="92"/>
    <x v="89"/>
    <d v="2025-01-18T00:00:00"/>
    <x v="9"/>
    <s v="Floor Lamp"/>
    <x v="3"/>
    <n v="1"/>
    <n v="89"/>
    <n v="89"/>
    <s v="Sale"/>
    <s v="Paypal"/>
  </r>
  <r>
    <n v="5463"/>
    <x v="75"/>
    <x v="74"/>
    <d v="2025-04-02T00:00:00"/>
    <x v="6"/>
    <s v="Cutting Board"/>
    <x v="2"/>
    <n v="2"/>
    <n v="19"/>
    <n v="38"/>
    <s v="Sale"/>
    <s v="Credit Card"/>
  </r>
  <r>
    <n v="5464"/>
    <x v="8"/>
    <x v="8"/>
    <d v="2025-10-19T00:00:00"/>
    <x v="4"/>
    <s v="Ceramic Mug Set"/>
    <x v="2"/>
    <n v="1"/>
    <n v="21"/>
    <n v="21"/>
    <s v="Sale"/>
    <s v="Credit Card"/>
  </r>
  <r>
    <n v="5465"/>
    <x v="82"/>
    <x v="79"/>
    <d v="2025-04-22T00:00:00"/>
    <x v="6"/>
    <s v="String Lights"/>
    <x v="3"/>
    <n v="2"/>
    <n v="18"/>
    <n v="36"/>
    <s v="Sale"/>
    <s v="Paypal"/>
  </r>
  <r>
    <n v="5466"/>
    <x v="61"/>
    <x v="60"/>
    <d v="2025-10-30T00:00:00"/>
    <x v="4"/>
    <s v="Memory Foam Pillow"/>
    <x v="0"/>
    <n v="1"/>
    <n v="35"/>
    <n v="35"/>
    <s v="Sale"/>
    <s v="Credit Card"/>
  </r>
  <r>
    <n v="5467"/>
    <x v="58"/>
    <x v="42"/>
    <d v="2025-11-19T00:00:00"/>
    <x v="0"/>
    <s v="Floor Lamp"/>
    <x v="3"/>
    <n v="1"/>
    <n v="92"/>
    <n v="92"/>
    <s v="Sale"/>
    <s v="Paypal"/>
  </r>
  <r>
    <n v="5468"/>
    <x v="22"/>
    <x v="22"/>
    <d v="2025-05-25T00:00:00"/>
    <x v="2"/>
    <s v="Table Lamp"/>
    <x v="3"/>
    <n v="1"/>
    <n v="45"/>
    <n v="45"/>
    <s v="Sale"/>
    <s v="Credit Card"/>
  </r>
  <r>
    <n v="5469"/>
    <x v="34"/>
    <x v="34"/>
    <d v="2025-11-19T00:00:00"/>
    <x v="0"/>
    <s v="Throw Pillow"/>
    <x v="1"/>
    <n v="3"/>
    <n v="19"/>
    <n v="57"/>
    <s v="Sale"/>
    <s v="Credit Card"/>
  </r>
  <r>
    <n v="5470"/>
    <x v="48"/>
    <x v="48"/>
    <d v="2025-10-29T00:00:00"/>
    <x v="4"/>
    <s v="Wool Blanket"/>
    <x v="0"/>
    <n v="1"/>
    <n v="67"/>
    <n v="67"/>
    <s v="Sale"/>
    <s v="Debit Card"/>
  </r>
  <r>
    <n v="5471"/>
    <x v="77"/>
    <x v="75"/>
    <d v="2025-11-25T00:00:00"/>
    <x v="0"/>
    <s v="Throw Pillow"/>
    <x v="1"/>
    <n v="2"/>
    <n v="22"/>
    <n v="44"/>
    <s v="Sale"/>
    <s v="Debit Card"/>
  </r>
  <r>
    <n v="5472"/>
    <x v="32"/>
    <x v="32"/>
    <d v="2025-11-13T00:00:00"/>
    <x v="0"/>
    <s v="Cutting Board"/>
    <x v="2"/>
    <n v="1"/>
    <n v="19"/>
    <n v="19"/>
    <s v="Sale"/>
    <s v="Credit Card"/>
  </r>
  <r>
    <n v="5473"/>
    <x v="49"/>
    <x v="49"/>
    <d v="2025-05-25T00:00:00"/>
    <x v="2"/>
    <s v="Wall Mirror"/>
    <x v="1"/>
    <n v="1"/>
    <n v="68"/>
    <n v="68"/>
    <s v="Sale"/>
    <s v="Paypal"/>
  </r>
  <r>
    <n v="5474"/>
    <x v="98"/>
    <x v="95"/>
    <d v="2025-11-04T00:00:00"/>
    <x v="0"/>
    <s v="Cutting Board"/>
    <x v="2"/>
    <n v="1"/>
    <n v="22"/>
    <n v="22"/>
    <s v="Sale"/>
    <s v="Debit Card"/>
  </r>
  <r>
    <n v="5475"/>
    <x v="45"/>
    <x v="45"/>
    <d v="2025-11-10T00:00:00"/>
    <x v="0"/>
    <s v="Ceramic Vase"/>
    <x v="1"/>
    <n v="1"/>
    <n v="28"/>
    <n v="28"/>
    <s v="Sale"/>
    <s v="Credit Card"/>
  </r>
  <r>
    <n v="5476"/>
    <x v="59"/>
    <x v="58"/>
    <d v="2025-11-19T00:00:00"/>
    <x v="0"/>
    <s v="Ceramic Mug Set"/>
    <x v="2"/>
    <n v="2"/>
    <n v="24"/>
    <n v="48"/>
    <s v="Sale"/>
    <s v="Paypal"/>
  </r>
  <r>
    <n v="5477"/>
    <x v="24"/>
    <x v="24"/>
    <d v="2025-01-07T00:00:00"/>
    <x v="9"/>
    <s v="String Lights"/>
    <x v="3"/>
    <n v="1"/>
    <n v="15"/>
    <n v="15"/>
    <s v="Sale"/>
    <s v="Debit Card"/>
  </r>
  <r>
    <n v="5478"/>
    <x v="94"/>
    <x v="91"/>
    <d v="2025-01-16T00:00:00"/>
    <x v="9"/>
    <s v="Cotton Bedsheet Set"/>
    <x v="0"/>
    <n v="1"/>
    <n v="55"/>
    <n v="55"/>
    <s v="Sale"/>
    <s v="Debit Card"/>
  </r>
  <r>
    <n v="5479"/>
    <x v="86"/>
    <x v="83"/>
    <d v="2025-09-06T00:00:00"/>
    <x v="11"/>
    <s v="Memory Foam Pillow"/>
    <x v="0"/>
    <n v="1"/>
    <n v="32"/>
    <n v="32"/>
    <s v="Sale"/>
    <s v="Credit Card"/>
  </r>
  <r>
    <n v="5480"/>
    <x v="7"/>
    <x v="7"/>
    <d v="2025-09-05T00:00:00"/>
    <x v="11"/>
    <s v="Non-Stick Pan Set"/>
    <x v="2"/>
    <n v="1"/>
    <n v="59.846153846153847"/>
    <n v="59.846153846153847"/>
    <s v="Sale"/>
    <s v="Paypal"/>
  </r>
  <r>
    <n v="5481"/>
    <x v="70"/>
    <x v="69"/>
    <d v="2025-09-23T00:00:00"/>
    <x v="11"/>
    <s v="Floor Lamp"/>
    <x v="3"/>
    <n v="3"/>
    <n v="89"/>
    <n v="267"/>
    <s v="Sale"/>
    <s v="Paypal"/>
  </r>
  <r>
    <n v="5482"/>
    <x v="96"/>
    <x v="93"/>
    <d v="2025-02-26T00:00:00"/>
    <x v="7"/>
    <s v="Ceramic Vase"/>
    <x v="1"/>
    <n v="3"/>
    <n v="31"/>
    <n v="93"/>
    <s v="Sale"/>
    <s v="Credit Card"/>
  </r>
  <r>
    <n v="5483"/>
    <x v="76"/>
    <x v="46"/>
    <d v="2025-08-26T00:00:00"/>
    <x v="1"/>
    <s v="Throw Pillow"/>
    <x v="1"/>
    <n v="1"/>
    <n v="25"/>
    <n v="25"/>
    <s v="Sale"/>
    <s v="Debit Card"/>
  </r>
  <r>
    <n v="5484"/>
    <x v="97"/>
    <x v="94"/>
    <d v="2025-10-14T00:00:00"/>
    <x v="4"/>
    <s v="Non-Stick Pan Set"/>
    <x v="2"/>
    <n v="1"/>
    <n v="60"/>
    <n v="60"/>
    <s v="Sale"/>
    <s v="Paypal"/>
  </r>
  <r>
    <n v="5485"/>
    <x v="94"/>
    <x v="91"/>
    <d v="2025-02-23T00:00:00"/>
    <x v="7"/>
    <s v="Cotton Bedsheet Set"/>
    <x v="0"/>
    <n v="2"/>
    <n v="55"/>
    <n v="110"/>
    <s v="Sale"/>
    <s v="Credit Card"/>
  </r>
  <r>
    <n v="5486"/>
    <x v="91"/>
    <x v="88"/>
    <d v="2025-11-22T00:00:00"/>
    <x v="0"/>
    <s v="Non-Stick Pan Set"/>
    <x v="2"/>
    <n v="1"/>
    <n v="63"/>
    <n v="63"/>
    <s v="Sale"/>
    <s v="Credit Card"/>
  </r>
  <r>
    <n v="5487"/>
    <x v="21"/>
    <x v="21"/>
    <d v="2025-11-30T00:00:00"/>
    <x v="0"/>
    <s v="Cotton Bedsheet Set"/>
    <x v="0"/>
    <n v="3"/>
    <n v="55"/>
    <n v="165"/>
    <s v="Sale"/>
    <s v="Paypal"/>
  </r>
  <r>
    <n v="5488"/>
    <x v="66"/>
    <x v="65"/>
    <d v="2025-12-09T00:00:00"/>
    <x v="5"/>
    <s v="Throw Pillow"/>
    <x v="1"/>
    <n v="1"/>
    <n v="22"/>
    <n v="22"/>
    <s v="Sale"/>
    <s v="Credit Card"/>
  </r>
  <r>
    <n v="5489"/>
    <x v="13"/>
    <x v="13"/>
    <d v="2025-04-25T00:00:00"/>
    <x v="6"/>
    <s v="Cutting Board"/>
    <x v="2"/>
    <n v="1"/>
    <n v="16"/>
    <n v="16"/>
    <s v="Sale"/>
    <s v="Credit Card"/>
  </r>
  <r>
    <n v="5490"/>
    <x v="17"/>
    <x v="17"/>
    <d v="2025-07-25T00:00:00"/>
    <x v="10"/>
    <s v="Ceramic Vase"/>
    <x v="1"/>
    <n v="1"/>
    <n v="25"/>
    <n v="25"/>
    <s v="Sale"/>
    <s v="Debit Card"/>
  </r>
  <r>
    <n v="5491"/>
    <x v="36"/>
    <x v="36"/>
    <d v="2025-08-28T00:00:00"/>
    <x v="1"/>
    <s v="Wall Mirror"/>
    <x v="1"/>
    <n v="2"/>
    <n v="65.099999999999994"/>
    <n v="130.19999999999999"/>
    <s v="Sale"/>
    <s v="Paypal"/>
  </r>
  <r>
    <n v="5492"/>
    <x v="66"/>
    <x v="65"/>
    <d v="2025-03-25T00:00:00"/>
    <x v="3"/>
    <s v="Wool Blanket"/>
    <x v="0"/>
    <n v="1"/>
    <n v="73"/>
    <n v="73"/>
    <s v="Sale"/>
    <s v="Credit Card"/>
  </r>
  <r>
    <n v="5493"/>
    <x v="78"/>
    <x v="76"/>
    <d v="2025-10-12T00:00:00"/>
    <x v="4"/>
    <s v="Ceramic Vase"/>
    <x v="1"/>
    <n v="2"/>
    <n v="31"/>
    <n v="62"/>
    <s v="Sale"/>
    <s v="Debit Card"/>
  </r>
  <r>
    <n v="5494"/>
    <x v="40"/>
    <x v="40"/>
    <d v="2025-07-10T00:00:00"/>
    <x v="10"/>
    <s v="Ceramic Mug Set"/>
    <x v="2"/>
    <n v="2"/>
    <n v="24"/>
    <n v="48"/>
    <s v="Sale"/>
    <s v="Paypal"/>
  </r>
  <r>
    <n v="5495"/>
    <x v="63"/>
    <x v="62"/>
    <d v="2025-01-13T00:00:00"/>
    <x v="9"/>
    <s v="Table Lamp"/>
    <x v="3"/>
    <n v="-2"/>
    <n v="45"/>
    <n v="-90"/>
    <s v="Return"/>
    <s v="Debit Card"/>
  </r>
  <r>
    <n v="5496"/>
    <x v="28"/>
    <x v="28"/>
    <d v="2025-04-17T00:00:00"/>
    <x v="6"/>
    <s v="Cutting Board"/>
    <x v="2"/>
    <n v="1"/>
    <n v="22"/>
    <n v="22"/>
    <s v="Sale"/>
    <s v="Debit Card"/>
  </r>
  <r>
    <n v="5497"/>
    <x v="60"/>
    <x v="59"/>
    <d v="2025-05-03T00:00:00"/>
    <x v="2"/>
    <s v="Throw Pillow"/>
    <x v="1"/>
    <n v="1"/>
    <n v="22"/>
    <n v="22"/>
    <s v="Sale"/>
    <s v="Debit Card"/>
  </r>
  <r>
    <n v="5498"/>
    <x v="10"/>
    <x v="10"/>
    <d v="2025-03-17T00:00:00"/>
    <x v="3"/>
    <s v="Floor Lamp"/>
    <x v="3"/>
    <n v="2"/>
    <n v="92"/>
    <n v="184"/>
    <s v="Sale"/>
    <s v="Credit Card"/>
  </r>
  <r>
    <n v="5499"/>
    <x v="109"/>
    <x v="104"/>
    <d v="2025-01-23T00:00:00"/>
    <x v="9"/>
    <s v="Throw Pillow"/>
    <x v="1"/>
    <n v="3"/>
    <n v="25"/>
    <n v="75"/>
    <s v="Sale"/>
    <s v="Credit Card"/>
  </r>
  <r>
    <n v="5500"/>
    <x v="0"/>
    <x v="0"/>
    <d v="2025-10-22T00:00:00"/>
    <x v="4"/>
    <s v="Non-Stick Pan Set"/>
    <x v="2"/>
    <n v="3"/>
    <n v="57"/>
    <n v="171"/>
    <s v="Sale"/>
    <s v="Debit Card"/>
  </r>
  <r>
    <n v="5501"/>
    <x v="51"/>
    <x v="51"/>
    <d v="2025-12-10T00:00:00"/>
    <x v="5"/>
    <s v="Ceramic Vase"/>
    <x v="1"/>
    <n v="2"/>
    <n v="25"/>
    <n v="50"/>
    <s v="Sale"/>
    <s v="Credit Card"/>
  </r>
  <r>
    <n v="5502"/>
    <x v="77"/>
    <x v="75"/>
    <d v="2025-10-03T00:00:00"/>
    <x v="4"/>
    <s v="Cutting Board"/>
    <x v="2"/>
    <n v="1"/>
    <n v="19"/>
    <n v="19"/>
    <s v="Sale"/>
    <s v="Credit Card"/>
  </r>
  <r>
    <n v="5503"/>
    <x v="60"/>
    <x v="59"/>
    <d v="2025-08-15T00:00:00"/>
    <x v="1"/>
    <s v="Wall Mirror"/>
    <x v="1"/>
    <n v="3"/>
    <n v="65"/>
    <n v="195"/>
    <s v="Sale"/>
    <s v="Debit Card"/>
  </r>
  <r>
    <n v="5504"/>
    <x v="25"/>
    <x v="25"/>
    <d v="2025-07-01T00:00:00"/>
    <x v="10"/>
    <s v="Table Lamp"/>
    <x v="3"/>
    <n v="-2"/>
    <n v="42"/>
    <n v="-84"/>
    <s v="Return"/>
    <s v="Paypal"/>
  </r>
  <r>
    <n v="5505"/>
    <x v="35"/>
    <x v="35"/>
    <d v="2025-06-18T00:00:00"/>
    <x v="8"/>
    <s v="String Lights"/>
    <x v="3"/>
    <n v="1"/>
    <n v="18"/>
    <n v="18"/>
    <s v="Sale"/>
    <s v="Credit Card"/>
  </r>
  <r>
    <n v="5506"/>
    <x v="16"/>
    <x v="16"/>
    <d v="2025-06-08T00:00:00"/>
    <x v="8"/>
    <s v="String Lights"/>
    <x v="3"/>
    <n v="1"/>
    <n v="15"/>
    <n v="15"/>
    <s v="Sale"/>
    <s v="Credit Card"/>
  </r>
  <r>
    <n v="5507"/>
    <x v="39"/>
    <x v="39"/>
    <d v="2025-09-29T00:00:00"/>
    <x v="11"/>
    <s v="Table Lamp"/>
    <x v="3"/>
    <n v="3"/>
    <n v="48"/>
    <n v="144"/>
    <s v="Sale"/>
    <s v="Paypal"/>
  </r>
  <r>
    <n v="5508"/>
    <x v="64"/>
    <x v="63"/>
    <d v="2025-02-15T00:00:00"/>
    <x v="7"/>
    <s v="Ceramic Mug Set"/>
    <x v="2"/>
    <n v="1"/>
    <n v="24"/>
    <n v="24"/>
    <s v="Sale"/>
    <s v="Credit Card"/>
  </r>
  <r>
    <n v="5509"/>
    <x v="20"/>
    <x v="20"/>
    <d v="2025-01-04T00:00:00"/>
    <x v="9"/>
    <s v="Throw Pillow"/>
    <x v="1"/>
    <n v="2"/>
    <n v="22"/>
    <n v="44"/>
    <s v="Sale"/>
    <s v="Credit Card"/>
  </r>
  <r>
    <n v="5510"/>
    <x v="11"/>
    <x v="11"/>
    <d v="2025-05-12T00:00:00"/>
    <x v="2"/>
    <s v="String Lights"/>
    <x v="3"/>
    <n v="1"/>
    <n v="18"/>
    <n v="18"/>
    <s v="Sale"/>
    <s v="Paypal"/>
  </r>
  <r>
    <n v="5511"/>
    <x v="28"/>
    <x v="28"/>
    <d v="2025-10-30T00:00:00"/>
    <x v="4"/>
    <s v="Ceramic Mug Set"/>
    <x v="2"/>
    <n v="3"/>
    <n v="21"/>
    <n v="63"/>
    <s v="Sale"/>
    <s v="Debit Card"/>
  </r>
  <r>
    <n v="5512"/>
    <x v="71"/>
    <x v="70"/>
    <d v="2025-02-09T00:00:00"/>
    <x v="7"/>
    <s v="Floor Lamp"/>
    <x v="3"/>
    <n v="3"/>
    <n v="86"/>
    <n v="258"/>
    <s v="Sale"/>
    <s v="Credit Card"/>
  </r>
  <r>
    <n v="5513"/>
    <x v="8"/>
    <x v="8"/>
    <d v="2025-03-14T00:00:00"/>
    <x v="3"/>
    <s v="Throw Pillow"/>
    <x v="1"/>
    <n v="3"/>
    <n v="22"/>
    <n v="66"/>
    <s v="Sale"/>
    <s v="Credit Card"/>
  </r>
  <r>
    <n v="5514"/>
    <x v="100"/>
    <x v="96"/>
    <d v="2025-11-05T00:00:00"/>
    <x v="0"/>
    <s v="Throw Pillow"/>
    <x v="1"/>
    <n v="2"/>
    <n v="22"/>
    <n v="44"/>
    <s v="Sale"/>
    <s v="Unknown"/>
  </r>
  <r>
    <n v="5515"/>
    <x v="51"/>
    <x v="51"/>
    <d v="2025-08-24T00:00:00"/>
    <x v="1"/>
    <s v="Throw Pillow"/>
    <x v="1"/>
    <n v="-1"/>
    <n v="22"/>
    <n v="-22"/>
    <s v="Return"/>
    <s v="Paypal"/>
  </r>
  <r>
    <n v="5516"/>
    <x v="44"/>
    <x v="44"/>
    <d v="2025-06-29T00:00:00"/>
    <x v="8"/>
    <s v="Table Lamp"/>
    <x v="3"/>
    <n v="1"/>
    <n v="48"/>
    <n v="48"/>
    <s v="Sale"/>
    <s v="Credit Card"/>
  </r>
  <r>
    <n v="5517"/>
    <x v="67"/>
    <x v="66"/>
    <d v="2025-04-12T00:00:00"/>
    <x v="6"/>
    <s v="Wall Mirror"/>
    <x v="1"/>
    <n v="3"/>
    <n v="65"/>
    <n v="195"/>
    <s v="Sale"/>
    <s v="Paypal"/>
  </r>
  <r>
    <n v="5518"/>
    <x v="38"/>
    <x v="38"/>
    <d v="2025-01-30T00:00:00"/>
    <x v="9"/>
    <s v="Throw Pillow"/>
    <x v="1"/>
    <n v="1"/>
    <n v="19"/>
    <n v="19"/>
    <s v="Sale"/>
    <s v="Credit Card"/>
  </r>
  <r>
    <n v="5519"/>
    <x v="33"/>
    <x v="33"/>
    <d v="2025-08-01T00:00:00"/>
    <x v="1"/>
    <s v="Floor Lamp"/>
    <x v="3"/>
    <n v="1"/>
    <n v="89"/>
    <n v="89"/>
    <s v="Sale"/>
    <s v="Paypal"/>
  </r>
  <r>
    <n v="5520"/>
    <x v="34"/>
    <x v="34"/>
    <d v="2025-09-05T00:00:00"/>
    <x v="11"/>
    <s v="Cutting Board"/>
    <x v="2"/>
    <n v="1"/>
    <n v="19"/>
    <n v="19"/>
    <s v="Sale"/>
    <s v="Paypal"/>
  </r>
  <r>
    <n v="5521"/>
    <x v="98"/>
    <x v="95"/>
    <d v="2025-05-27T00:00:00"/>
    <x v="2"/>
    <s v="Wall Mirror"/>
    <x v="1"/>
    <n v="1"/>
    <n v="65"/>
    <n v="65"/>
    <s v="Sale"/>
    <s v="Paypal"/>
  </r>
  <r>
    <n v="5522"/>
    <x v="10"/>
    <x v="10"/>
    <d v="2025-07-07T00:00:00"/>
    <x v="10"/>
    <s v="Cotton Bedsheet Set"/>
    <x v="0"/>
    <n v="3"/>
    <n v="55"/>
    <n v="165"/>
    <s v="Sale"/>
    <s v="Credit Card"/>
  </r>
  <r>
    <n v="5523"/>
    <x v="60"/>
    <x v="59"/>
    <d v="2025-07-13T00:00:00"/>
    <x v="10"/>
    <s v="Ceramic Mug Set"/>
    <x v="2"/>
    <n v="1"/>
    <n v="24"/>
    <n v="24"/>
    <s v="Sale"/>
    <s v="Credit Card"/>
  </r>
  <r>
    <n v="5524"/>
    <x v="18"/>
    <x v="18"/>
    <d v="2025-02-26T00:00:00"/>
    <x v="7"/>
    <s v="Throw Pillow"/>
    <x v="1"/>
    <n v="2"/>
    <n v="22"/>
    <n v="44"/>
    <s v="Sale"/>
    <s v="Credit Card"/>
  </r>
  <r>
    <n v="5525"/>
    <x v="18"/>
    <x v="18"/>
    <d v="2025-03-30T00:00:00"/>
    <x v="3"/>
    <s v="Memory Foam Pillow"/>
    <x v="0"/>
    <n v="2"/>
    <n v="32"/>
    <n v="64"/>
    <s v="Sale"/>
    <s v="Paypal"/>
  </r>
  <r>
    <n v="5526"/>
    <x v="33"/>
    <x v="33"/>
    <d v="2025-04-07T00:00:00"/>
    <x v="6"/>
    <s v="Floor Lamp"/>
    <x v="3"/>
    <n v="2"/>
    <n v="89.144230769230774"/>
    <n v="178.28846153846155"/>
    <s v="Sale"/>
    <s v="Credit Card"/>
  </r>
  <r>
    <n v="5527"/>
    <x v="50"/>
    <x v="50"/>
    <d v="2025-09-05T00:00:00"/>
    <x v="11"/>
    <s v="Table Lamp"/>
    <x v="3"/>
    <n v="2"/>
    <n v="48"/>
    <n v="96"/>
    <s v="Sale"/>
    <s v="Credit Card"/>
  </r>
  <r>
    <n v="5528"/>
    <x v="65"/>
    <x v="64"/>
    <d v="2025-01-29T00:00:00"/>
    <x v="9"/>
    <s v="Wool Blanket"/>
    <x v="0"/>
    <n v="2"/>
    <n v="70"/>
    <n v="140"/>
    <s v="Sale"/>
    <s v="Paypal"/>
  </r>
  <r>
    <n v="5529"/>
    <x v="60"/>
    <x v="59"/>
    <d v="2025-02-09T00:00:00"/>
    <x v="7"/>
    <s v="Throw Pillow"/>
    <x v="1"/>
    <n v="2"/>
    <n v="22"/>
    <n v="44"/>
    <s v="Sale"/>
    <s v="Credit Card"/>
  </r>
  <r>
    <n v="5530"/>
    <x v="4"/>
    <x v="4"/>
    <d v="2025-11-20T00:00:00"/>
    <x v="0"/>
    <s v="Memory Foam Pillow"/>
    <x v="0"/>
    <n v="1"/>
    <n v="32"/>
    <n v="32"/>
    <s v="Sale"/>
    <s v="Credit Card"/>
  </r>
  <r>
    <n v="5531"/>
    <x v="92"/>
    <x v="89"/>
    <d v="2025-01-09T00:00:00"/>
    <x v="9"/>
    <s v="Cutting Board"/>
    <x v="2"/>
    <n v="1"/>
    <n v="19"/>
    <n v="19"/>
    <s v="Sale"/>
    <s v="Debit Card"/>
  </r>
  <r>
    <n v="5532"/>
    <x v="28"/>
    <x v="28"/>
    <d v="2025-01-13T00:00:00"/>
    <x v="9"/>
    <s v="Wool Blanket"/>
    <x v="0"/>
    <n v="3"/>
    <n v="67"/>
    <n v="201"/>
    <s v="Sale"/>
    <s v="Unknown"/>
  </r>
  <r>
    <n v="5533"/>
    <x v="3"/>
    <x v="3"/>
    <d v="2025-03-13T00:00:00"/>
    <x v="3"/>
    <s v="Non-Stick Pan Set"/>
    <x v="2"/>
    <n v="1"/>
    <n v="60"/>
    <n v="60"/>
    <s v="Sale"/>
    <s v="Debit Card"/>
  </r>
  <r>
    <n v="5534"/>
    <x v="73"/>
    <x v="72"/>
    <d v="2025-04-04T00:00:00"/>
    <x v="6"/>
    <s v="Ceramic Mug Set"/>
    <x v="2"/>
    <n v="1"/>
    <n v="27"/>
    <n v="27"/>
    <s v="Sale"/>
    <s v="Credit Card"/>
  </r>
  <r>
    <n v="5535"/>
    <x v="46"/>
    <x v="46"/>
    <d v="2025-05-27T00:00:00"/>
    <x v="2"/>
    <s v="Ceramic Vase"/>
    <x v="1"/>
    <n v="1"/>
    <n v="28"/>
    <n v="28"/>
    <s v="Sale"/>
    <s v="Paypal"/>
  </r>
  <r>
    <n v="5536"/>
    <x v="41"/>
    <x v="41"/>
    <d v="2025-07-25T00:00:00"/>
    <x v="10"/>
    <s v="Throw Pillow"/>
    <x v="1"/>
    <n v="3"/>
    <n v="22"/>
    <n v="66"/>
    <s v="Sale"/>
    <s v="Credit Card"/>
  </r>
  <r>
    <n v="5537"/>
    <x v="30"/>
    <x v="30"/>
    <d v="2025-02-09T00:00:00"/>
    <x v="7"/>
    <s v="Throw Pillow"/>
    <x v="1"/>
    <n v="2"/>
    <n v="22"/>
    <n v="44"/>
    <s v="Sale"/>
    <s v="Paypal"/>
  </r>
  <r>
    <n v="5538"/>
    <x v="46"/>
    <x v="46"/>
    <d v="2025-08-29T00:00:00"/>
    <x v="1"/>
    <s v="Table Lamp"/>
    <x v="3"/>
    <n v="1"/>
    <n v="45"/>
    <n v="45"/>
    <s v="Sale"/>
    <s v="Debit Card"/>
  </r>
  <r>
    <n v="5539"/>
    <x v="16"/>
    <x v="16"/>
    <d v="2025-01-04T00:00:00"/>
    <x v="9"/>
    <s v="Cotton Bedsheet Set"/>
    <x v="0"/>
    <n v="2"/>
    <n v="52"/>
    <n v="104"/>
    <s v="Sale"/>
    <s v="Paypal"/>
  </r>
  <r>
    <n v="5540"/>
    <x v="6"/>
    <x v="6"/>
    <d v="2025-03-21T00:00:00"/>
    <x v="3"/>
    <s v="Ceramic Vase"/>
    <x v="1"/>
    <n v="2"/>
    <n v="28"/>
    <n v="56"/>
    <s v="Sale"/>
    <s v="Paypal"/>
  </r>
  <r>
    <n v="5541"/>
    <x v="14"/>
    <x v="14"/>
    <d v="2025-10-15T00:00:00"/>
    <x v="4"/>
    <s v="Table Lamp"/>
    <x v="3"/>
    <n v="1"/>
    <n v="45"/>
    <n v="45"/>
    <s v="Sale"/>
    <s v="Paypal"/>
  </r>
  <r>
    <n v="5542"/>
    <x v="96"/>
    <x v="93"/>
    <d v="2025-06-14T00:00:00"/>
    <x v="8"/>
    <s v="Non-Stick Pan Set"/>
    <x v="2"/>
    <n v="1"/>
    <n v="60"/>
    <n v="60"/>
    <s v="Sale"/>
    <s v="Credit Card"/>
  </r>
  <r>
    <n v="5543"/>
    <x v="102"/>
    <x v="98"/>
    <d v="2025-07-29T00:00:00"/>
    <x v="10"/>
    <s v="Memory Foam Pillow"/>
    <x v="0"/>
    <n v="2"/>
    <n v="32"/>
    <n v="64"/>
    <s v="Sale"/>
    <s v="Debit Card"/>
  </r>
  <r>
    <n v="5544"/>
    <x v="0"/>
    <x v="0"/>
    <d v="2025-01-27T00:00:00"/>
    <x v="9"/>
    <s v="Throw Pillow"/>
    <x v="1"/>
    <n v="-1"/>
    <n v="19"/>
    <n v="-19"/>
    <s v="Return"/>
    <s v="Debit Card"/>
  </r>
  <r>
    <n v="5545"/>
    <x v="101"/>
    <x v="97"/>
    <d v="2025-12-03T00:00:00"/>
    <x v="5"/>
    <s v="Wall Mirror"/>
    <x v="1"/>
    <n v="1"/>
    <n v="68"/>
    <n v="68"/>
    <s v="Sale"/>
    <s v="Debit Card"/>
  </r>
  <r>
    <n v="5546"/>
    <x v="28"/>
    <x v="28"/>
    <d v="2025-09-20T00:00:00"/>
    <x v="11"/>
    <s v="Cutting Board"/>
    <x v="2"/>
    <n v="2"/>
    <n v="19"/>
    <n v="38"/>
    <s v="Sale"/>
    <s v="Paypal"/>
  </r>
  <r>
    <n v="5547"/>
    <x v="22"/>
    <x v="22"/>
    <d v="2025-08-12T00:00:00"/>
    <x v="1"/>
    <s v="Table Lamp"/>
    <x v="3"/>
    <n v="2"/>
    <n v="45"/>
    <n v="90"/>
    <s v="Sale"/>
    <s v="Paypal"/>
  </r>
  <r>
    <n v="5548"/>
    <x v="12"/>
    <x v="12"/>
    <d v="2025-05-11T00:00:00"/>
    <x v="2"/>
    <s v="Cutting Board"/>
    <x v="2"/>
    <n v="1"/>
    <n v="19"/>
    <n v="19"/>
    <s v="Sale"/>
    <s v="Debit Card"/>
  </r>
  <r>
    <n v="5549"/>
    <x v="42"/>
    <x v="42"/>
    <d v="2025-12-25T00:00:00"/>
    <x v="5"/>
    <s v="Throw Pillow"/>
    <x v="1"/>
    <n v="2"/>
    <n v="22"/>
    <n v="44"/>
    <s v="Sale"/>
    <s v="Credit Card"/>
  </r>
  <r>
    <n v="5550"/>
    <x v="32"/>
    <x v="32"/>
    <d v="2025-06-24T00:00:00"/>
    <x v="8"/>
    <s v="Memory Foam Pillow"/>
    <x v="0"/>
    <n v="1"/>
    <n v="32"/>
    <n v="32"/>
    <s v="Sale"/>
    <s v="Unknown"/>
  </r>
  <r>
    <n v="5551"/>
    <x v="68"/>
    <x v="67"/>
    <d v="2025-07-29T00:00:00"/>
    <x v="10"/>
    <s v="Wool Blanket"/>
    <x v="0"/>
    <n v="1"/>
    <n v="70"/>
    <n v="70"/>
    <s v="Sale"/>
    <s v="Credit Card"/>
  </r>
  <r>
    <n v="5552"/>
    <x v="73"/>
    <x v="72"/>
    <d v="2025-07-06T00:00:00"/>
    <x v="10"/>
    <s v="Memory Foam Pillow"/>
    <x v="0"/>
    <n v="1"/>
    <n v="32"/>
    <n v="32"/>
    <s v="Sale"/>
    <s v="Credit Card"/>
  </r>
  <r>
    <n v="5553"/>
    <x v="50"/>
    <x v="50"/>
    <d v="2025-07-27T00:00:00"/>
    <x v="10"/>
    <s v="Wall Mirror"/>
    <x v="1"/>
    <n v="3"/>
    <n v="62"/>
    <n v="186"/>
    <s v="Sale"/>
    <s v="Debit Card"/>
  </r>
  <r>
    <n v="5554"/>
    <x v="91"/>
    <x v="88"/>
    <d v="2025-02-07T00:00:00"/>
    <x v="7"/>
    <s v="Wool Blanket"/>
    <x v="0"/>
    <n v="3"/>
    <n v="70"/>
    <n v="210"/>
    <s v="Sale"/>
    <s v="Credit Card"/>
  </r>
  <r>
    <n v="5555"/>
    <x v="64"/>
    <x v="63"/>
    <d v="2025-12-13T00:00:00"/>
    <x v="5"/>
    <s v="Ceramic Vase"/>
    <x v="1"/>
    <n v="2"/>
    <n v="28"/>
    <n v="56"/>
    <s v="Sale"/>
    <s v="Paypal"/>
  </r>
  <r>
    <n v="5556"/>
    <x v="9"/>
    <x v="9"/>
    <d v="2025-11-21T00:00:00"/>
    <x v="0"/>
    <s v="Table Lamp"/>
    <x v="3"/>
    <n v="3"/>
    <n v="48"/>
    <n v="144"/>
    <s v="Sale"/>
    <s v="Debit Card"/>
  </r>
  <r>
    <n v="5557"/>
    <x v="28"/>
    <x v="28"/>
    <d v="2025-03-25T00:00:00"/>
    <x v="3"/>
    <s v="Floor Lamp"/>
    <x v="3"/>
    <n v="1"/>
    <n v="89"/>
    <n v="89"/>
    <s v="Sale"/>
    <s v="Paypal"/>
  </r>
  <r>
    <n v="5558"/>
    <x v="76"/>
    <x v="46"/>
    <d v="2025-01-10T00:00:00"/>
    <x v="9"/>
    <s v="Non-Stick Pan Set"/>
    <x v="2"/>
    <n v="3"/>
    <n v="63"/>
    <n v="189"/>
    <s v="Sale"/>
    <s v="Credit Card"/>
  </r>
  <r>
    <n v="5559"/>
    <x v="25"/>
    <x v="25"/>
    <d v="2025-03-30T00:00:00"/>
    <x v="3"/>
    <s v="Ceramic Vase"/>
    <x v="1"/>
    <n v="3"/>
    <n v="28"/>
    <n v="84"/>
    <s v="Sale"/>
    <s v="Paypal"/>
  </r>
  <r>
    <n v="5560"/>
    <x v="100"/>
    <x v="96"/>
    <d v="2025-12-31T00:00:00"/>
    <x v="5"/>
    <s v="Floor Lamp"/>
    <x v="3"/>
    <n v="1"/>
    <n v="86"/>
    <n v="86"/>
    <s v="Sale"/>
    <s v="Credit Card"/>
  </r>
  <r>
    <n v="5561"/>
    <x v="41"/>
    <x v="41"/>
    <d v="2025-08-29T00:00:00"/>
    <x v="1"/>
    <s v="Wall Mirror"/>
    <x v="1"/>
    <n v="1"/>
    <n v="68"/>
    <n v="68"/>
    <s v="Sale"/>
    <s v="Debit Card"/>
  </r>
  <r>
    <n v="5562"/>
    <x v="83"/>
    <x v="80"/>
    <d v="2025-03-09T00:00:00"/>
    <x v="3"/>
    <s v="Cutting Board"/>
    <x v="2"/>
    <n v="1"/>
    <n v="19.095238095238095"/>
    <n v="19.095238095238095"/>
    <s v="Sale"/>
    <s v="Paypal"/>
  </r>
  <r>
    <n v="5563"/>
    <x v="14"/>
    <x v="14"/>
    <d v="2025-02-02T00:00:00"/>
    <x v="7"/>
    <s v="Throw Pillow"/>
    <x v="1"/>
    <n v="3"/>
    <n v="22"/>
    <n v="66"/>
    <s v="Sale"/>
    <s v="Debit Card"/>
  </r>
  <r>
    <n v="5564"/>
    <x v="43"/>
    <x v="43"/>
    <d v="2025-03-14T00:00:00"/>
    <x v="3"/>
    <s v="Memory Foam Pillow"/>
    <x v="0"/>
    <n v="2"/>
    <n v="35"/>
    <n v="70"/>
    <s v="Sale"/>
    <s v="Debit Card"/>
  </r>
  <r>
    <n v="5565"/>
    <x v="106"/>
    <x v="102"/>
    <d v="2025-06-01T00:00:00"/>
    <x v="8"/>
    <s v="Cotton Bedsheet Set"/>
    <x v="0"/>
    <n v="1"/>
    <n v="55"/>
    <n v="55"/>
    <s v="Sale"/>
    <s v="Credit Card"/>
  </r>
  <r>
    <n v="5566"/>
    <x v="33"/>
    <x v="33"/>
    <d v="2025-03-19T00:00:00"/>
    <x v="3"/>
    <s v="Non-Stick Pan Set"/>
    <x v="2"/>
    <n v="3"/>
    <n v="60"/>
    <n v="180"/>
    <s v="Sale"/>
    <s v="Paypal"/>
  </r>
  <r>
    <n v="5567"/>
    <x v="67"/>
    <x v="66"/>
    <d v="2025-08-30T00:00:00"/>
    <x v="1"/>
    <s v="Ceramic Mug Set"/>
    <x v="2"/>
    <n v="1"/>
    <n v="21"/>
    <n v="21"/>
    <s v="Sale"/>
    <s v="Credit Card"/>
  </r>
  <r>
    <n v="5568"/>
    <x v="82"/>
    <x v="79"/>
    <d v="2025-08-23T00:00:00"/>
    <x v="1"/>
    <s v="Ceramic Mug Set"/>
    <x v="2"/>
    <n v="1"/>
    <n v="27"/>
    <n v="27"/>
    <s v="Sale"/>
    <s v="Debit Card"/>
  </r>
  <r>
    <n v="5569"/>
    <x v="61"/>
    <x v="60"/>
    <d v="2025-04-28T00:00:00"/>
    <x v="6"/>
    <s v="Ceramic Vase"/>
    <x v="1"/>
    <n v="1"/>
    <n v="31"/>
    <n v="31"/>
    <s v="Sale"/>
    <s v="Debit Card"/>
  </r>
  <r>
    <n v="5570"/>
    <x v="20"/>
    <x v="20"/>
    <d v="2025-08-21T00:00:00"/>
    <x v="1"/>
    <s v="Cutting Board"/>
    <x v="2"/>
    <n v="1"/>
    <n v="19"/>
    <n v="19"/>
    <s v="Sale"/>
    <s v="Paypal"/>
  </r>
  <r>
    <n v="5571"/>
    <x v="39"/>
    <x v="39"/>
    <d v="2025-04-26T00:00:00"/>
    <x v="6"/>
    <s v="Ceramic Vase"/>
    <x v="1"/>
    <n v="1"/>
    <n v="28"/>
    <n v="28"/>
    <s v="Sale"/>
    <s v="Paypal"/>
  </r>
  <r>
    <n v="5572"/>
    <x v="27"/>
    <x v="27"/>
    <d v="2025-01-29T00:00:00"/>
    <x v="9"/>
    <s v="Floor Lamp"/>
    <x v="3"/>
    <n v="1"/>
    <n v="89"/>
    <n v="89"/>
    <s v="Sale"/>
    <s v="Paypal"/>
  </r>
  <r>
    <n v="5573"/>
    <x v="6"/>
    <x v="6"/>
    <d v="2025-03-31T00:00:00"/>
    <x v="3"/>
    <s v="Wall Mirror"/>
    <x v="1"/>
    <n v="2"/>
    <n v="62"/>
    <n v="124"/>
    <s v="Sale"/>
    <s v="Credit Card"/>
  </r>
  <r>
    <n v="5574"/>
    <x v="45"/>
    <x v="45"/>
    <d v="2025-09-24T00:00:00"/>
    <x v="11"/>
    <s v="Wool Blanket"/>
    <x v="0"/>
    <n v="3"/>
    <n v="70"/>
    <n v="210"/>
    <s v="Sale"/>
    <s v="Credit Card"/>
  </r>
  <r>
    <n v="5575"/>
    <x v="44"/>
    <x v="44"/>
    <d v="2025-05-02T00:00:00"/>
    <x v="2"/>
    <s v="Ceramic Mug Set"/>
    <x v="2"/>
    <n v="2"/>
    <n v="24"/>
    <n v="48"/>
    <s v="Sale"/>
    <s v="Debit Card"/>
  </r>
  <r>
    <n v="5576"/>
    <x v="50"/>
    <x v="50"/>
    <d v="2025-08-19T00:00:00"/>
    <x v="1"/>
    <s v="Table Lamp"/>
    <x v="3"/>
    <n v="1"/>
    <n v="45"/>
    <n v="45"/>
    <s v="Sale"/>
    <s v="Paypal"/>
  </r>
  <r>
    <n v="5577"/>
    <x v="105"/>
    <x v="101"/>
    <d v="2025-06-11T00:00:00"/>
    <x v="8"/>
    <s v="Cutting Board"/>
    <x v="2"/>
    <n v="1"/>
    <n v="19"/>
    <n v="19"/>
    <s v="Sale"/>
    <s v="Paypal"/>
  </r>
  <r>
    <n v="5578"/>
    <x v="16"/>
    <x v="16"/>
    <d v="2025-03-08T00:00:00"/>
    <x v="3"/>
    <s v="Wool Blanket"/>
    <x v="0"/>
    <n v="2"/>
    <n v="73"/>
    <n v="146"/>
    <s v="Sale"/>
    <s v="Debit Card"/>
  </r>
  <r>
    <n v="5579"/>
    <x v="33"/>
    <x v="33"/>
    <d v="2025-06-24T00:00:00"/>
    <x v="8"/>
    <s v="Ceramic Mug Set"/>
    <x v="2"/>
    <n v="2"/>
    <n v="23.742857142857144"/>
    <n v="47.485714285714288"/>
    <s v="Sale"/>
    <s v="Debit Card"/>
  </r>
  <r>
    <n v="5580"/>
    <x v="60"/>
    <x v="59"/>
    <d v="2025-01-27T00:00:00"/>
    <x v="9"/>
    <s v="Cutting Board"/>
    <x v="2"/>
    <n v="1"/>
    <n v="19"/>
    <n v="19"/>
    <s v="Sale"/>
    <s v="Debit Card"/>
  </r>
  <r>
    <n v="5581"/>
    <x v="90"/>
    <x v="87"/>
    <d v="2025-03-25T00:00:00"/>
    <x v="3"/>
    <s v="String Lights"/>
    <x v="3"/>
    <n v="1"/>
    <n v="18"/>
    <n v="18"/>
    <s v="Sale"/>
    <s v="Credit Card"/>
  </r>
  <r>
    <n v="5582"/>
    <x v="70"/>
    <x v="69"/>
    <d v="2025-07-05T00:00:00"/>
    <x v="10"/>
    <s v="String Lights"/>
    <x v="3"/>
    <n v="1"/>
    <n v="17.804347826086957"/>
    <n v="17.804347826086957"/>
    <s v="Sale"/>
    <s v="Credit Card"/>
  </r>
  <r>
    <n v="5583"/>
    <x v="14"/>
    <x v="14"/>
    <d v="2025-07-17T00:00:00"/>
    <x v="10"/>
    <s v="Cutting Board"/>
    <x v="2"/>
    <n v="1"/>
    <n v="19.095238095238095"/>
    <n v="19.095238095238095"/>
    <s v="Sale"/>
    <s v="Credit Card"/>
  </r>
  <r>
    <n v="5584"/>
    <x v="71"/>
    <x v="70"/>
    <d v="2025-04-14T00:00:00"/>
    <x v="6"/>
    <s v="Cutting Board"/>
    <x v="2"/>
    <n v="3"/>
    <n v="19"/>
    <n v="57"/>
    <s v="Sale"/>
    <s v="Paypal"/>
  </r>
  <r>
    <n v="5585"/>
    <x v="97"/>
    <x v="94"/>
    <d v="2025-01-15T00:00:00"/>
    <x v="9"/>
    <s v="Table Lamp"/>
    <x v="3"/>
    <n v="2"/>
    <n v="45"/>
    <n v="90"/>
    <s v="Sale"/>
    <s v="Paypal"/>
  </r>
  <r>
    <n v="5586"/>
    <x v="79"/>
    <x v="23"/>
    <d v="2025-03-30T00:00:00"/>
    <x v="3"/>
    <s v="String Lights"/>
    <x v="3"/>
    <n v="3"/>
    <n v="18"/>
    <n v="54"/>
    <s v="Sale"/>
    <s v="Credit Card"/>
  </r>
  <r>
    <n v="5587"/>
    <x v="42"/>
    <x v="42"/>
    <d v="2025-04-29T00:00:00"/>
    <x v="6"/>
    <s v="Ceramic Vase"/>
    <x v="1"/>
    <n v="1"/>
    <n v="28"/>
    <n v="28"/>
    <s v="Sale"/>
    <s v="Credit Card"/>
  </r>
  <r>
    <n v="5588"/>
    <x v="79"/>
    <x v="23"/>
    <d v="2025-12-06T00:00:00"/>
    <x v="5"/>
    <s v="Table Lamp"/>
    <x v="3"/>
    <n v="1"/>
    <n v="45"/>
    <n v="45"/>
    <s v="Sale"/>
    <s v="Credit Card"/>
  </r>
  <r>
    <n v="5589"/>
    <x v="104"/>
    <x v="100"/>
    <d v="2025-02-26T00:00:00"/>
    <x v="7"/>
    <s v="Floor Lamp"/>
    <x v="3"/>
    <n v="1"/>
    <n v="89"/>
    <n v="89"/>
    <s v="Sale"/>
    <s v="Debit Card"/>
  </r>
  <r>
    <n v="5590"/>
    <x v="25"/>
    <x v="25"/>
    <d v="2025-03-29T00:00:00"/>
    <x v="3"/>
    <s v="Ceramic Vase"/>
    <x v="1"/>
    <n v="-1"/>
    <n v="28"/>
    <n v="-28"/>
    <s v="Return"/>
    <s v="Credit Card"/>
  </r>
  <r>
    <n v="5591"/>
    <x v="65"/>
    <x v="64"/>
    <d v="2025-03-10T00:00:00"/>
    <x v="3"/>
    <s v="Floor Lamp"/>
    <x v="3"/>
    <n v="-2"/>
    <n v="89"/>
    <n v="-178"/>
    <s v="Return"/>
    <s v="Debit Card"/>
  </r>
  <r>
    <n v="5592"/>
    <x v="78"/>
    <x v="76"/>
    <d v="2025-06-13T00:00:00"/>
    <x v="8"/>
    <s v="Wall Mirror"/>
    <x v="1"/>
    <n v="3"/>
    <n v="68"/>
    <n v="204"/>
    <s v="Sale"/>
    <s v="Paypal"/>
  </r>
  <r>
    <n v="5593"/>
    <x v="47"/>
    <x v="47"/>
    <d v="2025-08-29T00:00:00"/>
    <x v="1"/>
    <s v="String Lights"/>
    <x v="3"/>
    <n v="3"/>
    <n v="18"/>
    <n v="54"/>
    <s v="Sale"/>
    <s v="Debit Card"/>
  </r>
  <r>
    <n v="5594"/>
    <x v="11"/>
    <x v="11"/>
    <d v="2025-02-21T00:00:00"/>
    <x v="7"/>
    <s v="Throw Pillow"/>
    <x v="1"/>
    <n v="1"/>
    <n v="19"/>
    <n v="19"/>
    <s v="Sale"/>
    <s v="Debit Card"/>
  </r>
  <r>
    <n v="5595"/>
    <x v="90"/>
    <x v="87"/>
    <d v="2025-04-02T00:00:00"/>
    <x v="6"/>
    <s v="Non-Stick Pan Set"/>
    <x v="2"/>
    <n v="3"/>
    <n v="57"/>
    <n v="171"/>
    <s v="Sale"/>
    <s v="Debit Card"/>
  </r>
  <r>
    <n v="5596"/>
    <x v="49"/>
    <x v="49"/>
    <d v="2025-02-09T00:00:00"/>
    <x v="7"/>
    <s v="Floor Lamp"/>
    <x v="3"/>
    <n v="1"/>
    <n v="92"/>
    <n v="92"/>
    <s v="Sale"/>
    <s v="Debit Card"/>
  </r>
  <r>
    <n v="5597"/>
    <x v="51"/>
    <x v="51"/>
    <d v="2025-06-30T00:00:00"/>
    <x v="8"/>
    <s v="Floor Lamp"/>
    <x v="3"/>
    <n v="2"/>
    <n v="89.144230769230774"/>
    <n v="178.28846153846155"/>
    <s v="Sale"/>
    <s v="Credit Card"/>
  </r>
  <r>
    <n v="5598"/>
    <x v="105"/>
    <x v="101"/>
    <d v="2025-01-07T00:00:00"/>
    <x v="9"/>
    <s v="Cotton Bedsheet Set"/>
    <x v="0"/>
    <n v="1"/>
    <n v="55"/>
    <n v="55"/>
    <s v="Sale"/>
    <s v="Debit Card"/>
  </r>
  <r>
    <n v="5599"/>
    <x v="12"/>
    <x v="12"/>
    <d v="2025-12-02T00:00:00"/>
    <x v="5"/>
    <s v="Throw Pillow"/>
    <x v="1"/>
    <n v="1"/>
    <n v="25"/>
    <n v="25"/>
    <s v="Sale"/>
    <s v="Credit Card"/>
  </r>
  <r>
    <n v="5600"/>
    <x v="20"/>
    <x v="20"/>
    <d v="2025-08-08T00:00:00"/>
    <x v="1"/>
    <s v="Wall Mirror"/>
    <x v="1"/>
    <n v="1"/>
    <n v="68"/>
    <n v="68"/>
    <s v="Sale"/>
    <s v="Credit Card"/>
  </r>
  <r>
    <n v="5601"/>
    <x v="58"/>
    <x v="42"/>
    <d v="2025-11-06T00:00:00"/>
    <x v="0"/>
    <s v="Cutting Board"/>
    <x v="2"/>
    <n v="1"/>
    <n v="19"/>
    <n v="19"/>
    <s v="Sale"/>
    <s v="Paypal"/>
  </r>
  <r>
    <n v="5602"/>
    <x v="104"/>
    <x v="100"/>
    <d v="2025-12-30T00:00:00"/>
    <x v="5"/>
    <s v="Ceramic Mug Set"/>
    <x v="2"/>
    <n v="2"/>
    <n v="24"/>
    <n v="48"/>
    <s v="Sale"/>
    <s v="Debit Card"/>
  </r>
  <r>
    <n v="5603"/>
    <x v="50"/>
    <x v="50"/>
    <d v="2025-06-04T00:00:00"/>
    <x v="8"/>
    <s v="Cutting Board"/>
    <x v="2"/>
    <n v="2"/>
    <n v="22"/>
    <n v="44"/>
    <s v="Sale"/>
    <s v="Paypal"/>
  </r>
  <r>
    <n v="5604"/>
    <x v="104"/>
    <x v="100"/>
    <d v="2025-03-26T00:00:00"/>
    <x v="3"/>
    <s v="Wool Blanket"/>
    <x v="0"/>
    <n v="1"/>
    <n v="73"/>
    <n v="73"/>
    <s v="Sale"/>
    <s v="Credit Card"/>
  </r>
  <r>
    <n v="5605"/>
    <x v="61"/>
    <x v="60"/>
    <d v="2025-09-16T00:00:00"/>
    <x v="11"/>
    <s v="Table Lamp"/>
    <x v="3"/>
    <n v="2"/>
    <n v="45"/>
    <n v="90"/>
    <s v="Sale"/>
    <s v="Paypal"/>
  </r>
  <r>
    <n v="5606"/>
    <x v="22"/>
    <x v="22"/>
    <d v="2025-03-15T00:00:00"/>
    <x v="3"/>
    <s v="Table Lamp"/>
    <x v="3"/>
    <n v="3"/>
    <n v="45"/>
    <n v="135"/>
    <s v="Sale"/>
    <s v="Paypal"/>
  </r>
  <r>
    <n v="5607"/>
    <x v="88"/>
    <x v="85"/>
    <d v="2025-05-13T00:00:00"/>
    <x v="2"/>
    <s v="Cutting Board"/>
    <x v="2"/>
    <n v="1"/>
    <n v="19"/>
    <n v="19"/>
    <s v="Sale"/>
    <s v="Unknown"/>
  </r>
  <r>
    <n v="5608"/>
    <x v="67"/>
    <x v="66"/>
    <d v="2025-06-24T00:00:00"/>
    <x v="8"/>
    <s v="Ceramic Vase"/>
    <x v="1"/>
    <n v="3"/>
    <n v="28"/>
    <n v="84"/>
    <s v="Sale"/>
    <s v="Paypal"/>
  </r>
  <r>
    <n v="5609"/>
    <x v="74"/>
    <x v="73"/>
    <d v="2025-04-29T00:00:00"/>
    <x v="6"/>
    <s v="Wall Mirror"/>
    <x v="1"/>
    <n v="1"/>
    <n v="68"/>
    <n v="68"/>
    <s v="Sale"/>
    <s v="Debit Card"/>
  </r>
  <r>
    <n v="5610"/>
    <x v="17"/>
    <x v="17"/>
    <d v="2025-11-01T00:00:00"/>
    <x v="0"/>
    <s v="Cutting Board"/>
    <x v="2"/>
    <n v="1"/>
    <n v="19"/>
    <n v="19"/>
    <s v="Sale"/>
    <s v="Credit Card"/>
  </r>
  <r>
    <n v="5611"/>
    <x v="57"/>
    <x v="57"/>
    <d v="2025-02-14T00:00:00"/>
    <x v="7"/>
    <s v="Memory Foam Pillow"/>
    <x v="0"/>
    <n v="2"/>
    <n v="32"/>
    <n v="64"/>
    <s v="Sale"/>
    <s v="Credit Card"/>
  </r>
  <r>
    <n v="5612"/>
    <x v="21"/>
    <x v="21"/>
    <d v="2025-04-21T00:00:00"/>
    <x v="6"/>
    <s v="Ceramic Mug Set"/>
    <x v="2"/>
    <n v="2"/>
    <n v="23.742857142857144"/>
    <n v="47.485714285714288"/>
    <s v="Sale"/>
    <s v="Paypal"/>
  </r>
  <r>
    <n v="5613"/>
    <x v="81"/>
    <x v="78"/>
    <d v="2025-02-07T00:00:00"/>
    <x v="7"/>
    <s v="Cotton Bedsheet Set"/>
    <x v="0"/>
    <n v="1"/>
    <n v="55"/>
    <n v="55"/>
    <s v="Sale"/>
    <s v="Credit Card"/>
  </r>
  <r>
    <n v="5614"/>
    <x v="109"/>
    <x v="104"/>
    <d v="2025-09-04T00:00:00"/>
    <x v="11"/>
    <s v="Wall Mirror"/>
    <x v="1"/>
    <n v="1"/>
    <n v="68"/>
    <n v="68"/>
    <s v="Sale"/>
    <s v="Credit Card"/>
  </r>
  <r>
    <n v="5615"/>
    <x v="38"/>
    <x v="38"/>
    <d v="2025-10-31T00:00:00"/>
    <x v="4"/>
    <s v="Memory Foam Pillow"/>
    <x v="0"/>
    <n v="2"/>
    <n v="32"/>
    <n v="64"/>
    <s v="Sale"/>
    <s v="Credit Card"/>
  </r>
  <r>
    <n v="5616"/>
    <x v="87"/>
    <x v="84"/>
    <d v="2025-03-16T00:00:00"/>
    <x v="3"/>
    <s v="Wool Blanket"/>
    <x v="0"/>
    <n v="1"/>
    <n v="69.878787878787875"/>
    <n v="69.878787878787875"/>
    <s v="Sale"/>
    <s v="Credit Card"/>
  </r>
  <r>
    <n v="5617"/>
    <x v="49"/>
    <x v="49"/>
    <d v="2025-01-07T00:00:00"/>
    <x v="9"/>
    <s v="Throw Pillow"/>
    <x v="1"/>
    <n v="1"/>
    <n v="22"/>
    <n v="22"/>
    <s v="Sale"/>
    <s v="Debit Card"/>
  </r>
  <r>
    <n v="5618"/>
    <x v="103"/>
    <x v="99"/>
    <d v="2025-10-21T00:00:00"/>
    <x v="4"/>
    <s v="Memory Foam Pillow"/>
    <x v="0"/>
    <n v="1"/>
    <n v="32"/>
    <n v="32"/>
    <s v="Sale"/>
    <s v="Credit Card"/>
  </r>
  <r>
    <n v="5619"/>
    <x v="29"/>
    <x v="29"/>
    <d v="2025-03-22T00:00:00"/>
    <x v="3"/>
    <s v="Floor Lamp"/>
    <x v="3"/>
    <n v="3"/>
    <n v="89"/>
    <n v="267"/>
    <s v="Sale"/>
    <s v="Debit Card"/>
  </r>
  <r>
    <n v="5620"/>
    <x v="89"/>
    <x v="86"/>
    <d v="2025-06-17T00:00:00"/>
    <x v="8"/>
    <s v="Cotton Bedsheet Set"/>
    <x v="0"/>
    <n v="1"/>
    <n v="55"/>
    <n v="55"/>
    <s v="Sale"/>
    <s v="Debit Card"/>
  </r>
  <r>
    <n v="5621"/>
    <x v="95"/>
    <x v="92"/>
    <d v="2025-03-01T00:00:00"/>
    <x v="3"/>
    <s v="Floor Lamp"/>
    <x v="3"/>
    <n v="1"/>
    <n v="92"/>
    <n v="92"/>
    <s v="Sale"/>
    <s v="Credit Card"/>
  </r>
  <r>
    <n v="5622"/>
    <x v="107"/>
    <x v="5"/>
    <d v="2025-07-06T00:00:00"/>
    <x v="10"/>
    <s v="Floor Lamp"/>
    <x v="3"/>
    <n v="1"/>
    <n v="92"/>
    <n v="92"/>
    <s v="Sale"/>
    <s v="Debit Card"/>
  </r>
  <r>
    <n v="5623"/>
    <x v="38"/>
    <x v="38"/>
    <d v="2025-06-20T00:00:00"/>
    <x v="8"/>
    <s v="Throw Pillow"/>
    <x v="1"/>
    <n v="2"/>
    <n v="25"/>
    <n v="50"/>
    <s v="Sale"/>
    <s v="Credit Card"/>
  </r>
  <r>
    <n v="5624"/>
    <x v="34"/>
    <x v="34"/>
    <d v="2025-04-02T00:00:00"/>
    <x v="6"/>
    <s v="Cotton Bedsheet Set"/>
    <x v="0"/>
    <n v="3"/>
    <n v="58"/>
    <n v="174"/>
    <s v="Sale"/>
    <s v="Debit Card"/>
  </r>
  <r>
    <n v="5625"/>
    <x v="69"/>
    <x v="68"/>
    <d v="2025-03-24T00:00:00"/>
    <x v="3"/>
    <s v="Memory Foam Pillow"/>
    <x v="0"/>
    <n v="1"/>
    <n v="29"/>
    <n v="29"/>
    <s v="Sale"/>
    <s v="Unknown"/>
  </r>
  <r>
    <n v="5626"/>
    <x v="2"/>
    <x v="2"/>
    <d v="2025-03-17T00:00:00"/>
    <x v="3"/>
    <s v="Wall Mirror"/>
    <x v="1"/>
    <n v="1"/>
    <n v="65"/>
    <n v="65"/>
    <s v="Sale"/>
    <s v="Debit Card"/>
  </r>
  <r>
    <n v="5627"/>
    <x v="92"/>
    <x v="89"/>
    <d v="2025-02-24T00:00:00"/>
    <x v="7"/>
    <s v="Cutting Board"/>
    <x v="2"/>
    <n v="2"/>
    <n v="22"/>
    <n v="44"/>
    <s v="Sale"/>
    <s v="Credit Card"/>
  </r>
  <r>
    <n v="5628"/>
    <x v="82"/>
    <x v="79"/>
    <d v="2025-01-21T00:00:00"/>
    <x v="9"/>
    <s v="Table Lamp"/>
    <x v="3"/>
    <n v="3"/>
    <n v="45"/>
    <n v="135"/>
    <s v="Sale"/>
    <s v="Debit Card"/>
  </r>
  <r>
    <n v="5629"/>
    <x v="81"/>
    <x v="78"/>
    <d v="2025-04-02T00:00:00"/>
    <x v="6"/>
    <s v="Cutting Board"/>
    <x v="2"/>
    <n v="1"/>
    <n v="16"/>
    <n v="16"/>
    <s v="Sale"/>
    <s v="Paypal"/>
  </r>
  <r>
    <n v="5630"/>
    <x v="92"/>
    <x v="89"/>
    <d v="2025-12-01T00:00:00"/>
    <x v="5"/>
    <s v="Ceramic Vase"/>
    <x v="1"/>
    <n v="3"/>
    <n v="28"/>
    <n v="84"/>
    <s v="Sale"/>
    <s v="Paypal"/>
  </r>
  <r>
    <n v="5631"/>
    <x v="44"/>
    <x v="44"/>
    <d v="2025-12-04T00:00:00"/>
    <x v="5"/>
    <s v="Wall Mirror"/>
    <x v="1"/>
    <n v="-3"/>
    <n v="65"/>
    <n v="-195"/>
    <s v="Return"/>
    <s v="Credit Card"/>
  </r>
  <r>
    <n v="5632"/>
    <x v="79"/>
    <x v="23"/>
    <d v="2025-07-29T00:00:00"/>
    <x v="10"/>
    <s v="Cotton Bedsheet Set"/>
    <x v="0"/>
    <n v="2"/>
    <n v="55"/>
    <n v="110"/>
    <s v="Sale"/>
    <s v="Debit Card"/>
  </r>
  <r>
    <n v="5633"/>
    <x v="70"/>
    <x v="69"/>
    <d v="2025-03-26T00:00:00"/>
    <x v="3"/>
    <s v="Wall Mirror"/>
    <x v="1"/>
    <n v="-1"/>
    <n v="65"/>
    <n v="-65"/>
    <s v="Return"/>
    <s v="Credit Card"/>
  </r>
  <r>
    <n v="5634"/>
    <x v="7"/>
    <x v="7"/>
    <d v="2025-12-15T00:00:00"/>
    <x v="5"/>
    <s v="Non-Stick Pan Set"/>
    <x v="2"/>
    <n v="2"/>
    <n v="63"/>
    <n v="126"/>
    <s v="Sale"/>
    <s v="Credit Card"/>
  </r>
  <r>
    <n v="5635"/>
    <x v="32"/>
    <x v="32"/>
    <d v="2025-04-11T00:00:00"/>
    <x v="6"/>
    <s v="Ceramic Vase"/>
    <x v="1"/>
    <n v="3"/>
    <n v="28"/>
    <n v="84"/>
    <s v="Sale"/>
    <s v="Credit Card"/>
  </r>
  <r>
    <n v="5636"/>
    <x v="45"/>
    <x v="45"/>
    <d v="2025-09-22T00:00:00"/>
    <x v="11"/>
    <s v="Wool Blanket"/>
    <x v="0"/>
    <n v="2"/>
    <n v="70"/>
    <n v="140"/>
    <s v="Sale"/>
    <s v="Paypal"/>
  </r>
  <r>
    <n v="5637"/>
    <x v="64"/>
    <x v="63"/>
    <d v="2025-01-03T00:00:00"/>
    <x v="9"/>
    <s v="Ceramic Mug Set"/>
    <x v="2"/>
    <n v="1"/>
    <n v="24"/>
    <n v="24"/>
    <s v="Sale"/>
    <s v="Paypal"/>
  </r>
  <r>
    <n v="5638"/>
    <x v="104"/>
    <x v="100"/>
    <d v="2025-06-12T00:00:00"/>
    <x v="8"/>
    <s v="Cutting Board"/>
    <x v="2"/>
    <n v="1"/>
    <n v="19"/>
    <n v="19"/>
    <s v="Sale"/>
    <s v="Debit Card"/>
  </r>
  <r>
    <n v="5639"/>
    <x v="104"/>
    <x v="100"/>
    <d v="2025-05-18T00:00:00"/>
    <x v="2"/>
    <s v="Table Lamp"/>
    <x v="3"/>
    <n v="3"/>
    <n v="48"/>
    <n v="144"/>
    <s v="Sale"/>
    <s v="Debit Card"/>
  </r>
  <r>
    <n v="5640"/>
    <x v="9"/>
    <x v="9"/>
    <d v="2025-05-15T00:00:00"/>
    <x v="2"/>
    <s v="Wool Blanket"/>
    <x v="0"/>
    <n v="1"/>
    <n v="69.878787878787875"/>
    <n v="69.878787878787875"/>
    <s v="Sale"/>
    <s v="Debit Card"/>
  </r>
  <r>
    <n v="5641"/>
    <x v="89"/>
    <x v="86"/>
    <d v="2025-09-09T00:00:00"/>
    <x v="11"/>
    <s v="Throw Pillow"/>
    <x v="1"/>
    <n v="1"/>
    <n v="22"/>
    <n v="22"/>
    <s v="Sale"/>
    <s v="Debit Card"/>
  </r>
  <r>
    <n v="5642"/>
    <x v="87"/>
    <x v="84"/>
    <d v="2025-08-07T00:00:00"/>
    <x v="1"/>
    <s v="Wool Blanket"/>
    <x v="0"/>
    <n v="1"/>
    <n v="73"/>
    <n v="73"/>
    <s v="Sale"/>
    <s v="Credit Card"/>
  </r>
  <r>
    <n v="5643"/>
    <x v="75"/>
    <x v="74"/>
    <d v="2025-07-11T00:00:00"/>
    <x v="10"/>
    <s v="Throw Pillow"/>
    <x v="1"/>
    <n v="2"/>
    <n v="22"/>
    <n v="44"/>
    <s v="Sale"/>
    <s v="Debit Card"/>
  </r>
  <r>
    <n v="5644"/>
    <x v="34"/>
    <x v="34"/>
    <d v="2025-01-19T00:00:00"/>
    <x v="9"/>
    <s v="Throw Pillow"/>
    <x v="1"/>
    <n v="3"/>
    <n v="22"/>
    <n v="66"/>
    <s v="Sale"/>
    <s v="Debit Card"/>
  </r>
  <r>
    <n v="5645"/>
    <x v="14"/>
    <x v="14"/>
    <d v="2025-07-09T00:00:00"/>
    <x v="10"/>
    <s v="Floor Lamp"/>
    <x v="3"/>
    <n v="2"/>
    <n v="92"/>
    <n v="184"/>
    <s v="Sale"/>
    <s v="Paypal"/>
  </r>
  <r>
    <n v="5646"/>
    <x v="64"/>
    <x v="63"/>
    <d v="2025-05-23T00:00:00"/>
    <x v="2"/>
    <s v="Ceramic Mug Set"/>
    <x v="2"/>
    <n v="3"/>
    <n v="24"/>
    <n v="72"/>
    <s v="Sale"/>
    <s v="Credit Card"/>
  </r>
  <r>
    <n v="5647"/>
    <x v="36"/>
    <x v="36"/>
    <d v="2025-03-16T00:00:00"/>
    <x v="3"/>
    <s v="Cutting Board"/>
    <x v="2"/>
    <n v="1"/>
    <n v="22"/>
    <n v="22"/>
    <s v="Sale"/>
    <s v="Debit Card"/>
  </r>
  <r>
    <n v="5648"/>
    <x v="35"/>
    <x v="35"/>
    <d v="2025-08-05T00:00:00"/>
    <x v="1"/>
    <s v="Cotton Bedsheet Set"/>
    <x v="0"/>
    <n v="2"/>
    <n v="52"/>
    <n v="104"/>
    <s v="Sale"/>
    <s v="Credit Card"/>
  </r>
  <r>
    <n v="5649"/>
    <x v="67"/>
    <x v="66"/>
    <d v="2025-01-18T00:00:00"/>
    <x v="9"/>
    <s v="Throw Pillow"/>
    <x v="1"/>
    <n v="2"/>
    <n v="25"/>
    <n v="50"/>
    <s v="Sale"/>
    <s v="Debit Card"/>
  </r>
  <r>
    <n v="5650"/>
    <x v="31"/>
    <x v="31"/>
    <d v="2025-11-08T00:00:00"/>
    <x v="0"/>
    <s v="String Lights"/>
    <x v="3"/>
    <n v="1"/>
    <n v="15"/>
    <n v="15"/>
    <s v="Sale"/>
    <s v="Paypal"/>
  </r>
  <r>
    <n v="5651"/>
    <x v="14"/>
    <x v="14"/>
    <d v="2025-03-26T00:00:00"/>
    <x v="3"/>
    <s v="String Lights"/>
    <x v="3"/>
    <n v="1"/>
    <n v="18"/>
    <n v="18"/>
    <s v="Sale"/>
    <s v="Debit Card"/>
  </r>
  <r>
    <n v="5652"/>
    <x v="61"/>
    <x v="60"/>
    <d v="2025-03-24T00:00:00"/>
    <x v="3"/>
    <s v="Table Lamp"/>
    <x v="3"/>
    <n v="1"/>
    <n v="45"/>
    <n v="45"/>
    <s v="Sale"/>
    <s v="Paypal"/>
  </r>
  <r>
    <n v="5653"/>
    <x v="60"/>
    <x v="59"/>
    <d v="2025-08-29T00:00:00"/>
    <x v="1"/>
    <s v="Cotton Bedsheet Set"/>
    <x v="0"/>
    <n v="-3"/>
    <n v="52"/>
    <n v="-156"/>
    <s v="Return"/>
    <s v="Paypal"/>
  </r>
  <r>
    <n v="5654"/>
    <x v="28"/>
    <x v="28"/>
    <d v="2025-09-04T00:00:00"/>
    <x v="11"/>
    <s v="Memory Foam Pillow"/>
    <x v="0"/>
    <n v="1"/>
    <n v="32.154639175257735"/>
    <n v="32.154639175257735"/>
    <s v="Sale"/>
    <s v="Paypal"/>
  </r>
  <r>
    <n v="5655"/>
    <x v="15"/>
    <x v="15"/>
    <d v="2025-03-27T00:00:00"/>
    <x v="3"/>
    <s v="Cotton Bedsheet Set"/>
    <x v="0"/>
    <n v="2"/>
    <n v="55"/>
    <n v="110"/>
    <s v="Sale"/>
    <s v="Paypal"/>
  </r>
  <r>
    <n v="5656"/>
    <x v="34"/>
    <x v="34"/>
    <d v="2025-11-10T00:00:00"/>
    <x v="0"/>
    <s v="Throw Pillow"/>
    <x v="1"/>
    <n v="2"/>
    <n v="22"/>
    <n v="44"/>
    <s v="Sale"/>
    <s v="Credit Card"/>
  </r>
  <r>
    <n v="5657"/>
    <x v="34"/>
    <x v="34"/>
    <d v="2025-02-27T00:00:00"/>
    <x v="7"/>
    <s v="Cotton Bedsheet Set"/>
    <x v="0"/>
    <n v="2"/>
    <n v="58"/>
    <n v="116"/>
    <s v="Sale"/>
    <s v="Credit Card"/>
  </r>
  <r>
    <n v="5658"/>
    <x v="91"/>
    <x v="88"/>
    <d v="2025-02-04T00:00:00"/>
    <x v="7"/>
    <s v="Wool Blanket"/>
    <x v="0"/>
    <n v="1"/>
    <n v="70"/>
    <n v="70"/>
    <s v="Sale"/>
    <s v="Credit Card"/>
  </r>
  <r>
    <n v="5659"/>
    <x v="69"/>
    <x v="68"/>
    <d v="2025-11-19T00:00:00"/>
    <x v="0"/>
    <s v="Memory Foam Pillow"/>
    <x v="0"/>
    <n v="2"/>
    <n v="32"/>
    <n v="64"/>
    <s v="Sale"/>
    <s v="Paypal"/>
  </r>
  <r>
    <n v="5660"/>
    <x v="12"/>
    <x v="12"/>
    <d v="2025-12-09T00:00:00"/>
    <x v="5"/>
    <s v="Ceramic Mug Set"/>
    <x v="2"/>
    <n v="1"/>
    <n v="24"/>
    <n v="24"/>
    <s v="Sale"/>
    <s v="Debit Card"/>
  </r>
  <r>
    <n v="5661"/>
    <x v="31"/>
    <x v="31"/>
    <d v="2025-05-06T00:00:00"/>
    <x v="2"/>
    <s v="Cutting Board"/>
    <x v="2"/>
    <n v="2"/>
    <n v="16"/>
    <n v="32"/>
    <s v="Sale"/>
    <s v="Paypal"/>
  </r>
  <r>
    <n v="5662"/>
    <x v="50"/>
    <x v="50"/>
    <d v="2025-12-06T00:00:00"/>
    <x v="5"/>
    <s v="Wool Blanket"/>
    <x v="0"/>
    <n v="1"/>
    <n v="67"/>
    <n v="67"/>
    <s v="Sale"/>
    <s v="Credit Card"/>
  </r>
  <r>
    <n v="5663"/>
    <x v="84"/>
    <x v="81"/>
    <d v="2025-10-25T00:00:00"/>
    <x v="4"/>
    <s v="Ceramic Mug Set"/>
    <x v="2"/>
    <n v="1"/>
    <n v="21"/>
    <n v="21"/>
    <s v="Sale"/>
    <s v="Debit Card"/>
  </r>
  <r>
    <n v="5664"/>
    <x v="15"/>
    <x v="15"/>
    <d v="2025-12-21T00:00:00"/>
    <x v="5"/>
    <s v="Non-Stick Pan Set"/>
    <x v="2"/>
    <n v="2"/>
    <n v="60"/>
    <n v="120"/>
    <s v="Sale"/>
    <s v="Credit Card"/>
  </r>
  <r>
    <n v="5665"/>
    <x v="91"/>
    <x v="88"/>
    <d v="2025-04-02T00:00:00"/>
    <x v="6"/>
    <s v="Table Lamp"/>
    <x v="3"/>
    <n v="1"/>
    <n v="45"/>
    <n v="45"/>
    <s v="Sale"/>
    <s v="Paypal"/>
  </r>
  <r>
    <n v="5666"/>
    <x v="32"/>
    <x v="32"/>
    <d v="2025-09-21T00:00:00"/>
    <x v="11"/>
    <s v="Cutting Board"/>
    <x v="2"/>
    <n v="3"/>
    <n v="19"/>
    <n v="57"/>
    <s v="Sale"/>
    <s v="Credit Card"/>
  </r>
  <r>
    <n v="5667"/>
    <x v="72"/>
    <x v="71"/>
    <d v="2025-08-06T00:00:00"/>
    <x v="1"/>
    <s v="Cutting Board"/>
    <x v="2"/>
    <n v="3"/>
    <n v="19"/>
    <n v="57"/>
    <s v="Sale"/>
    <s v="Credit Card"/>
  </r>
  <r>
    <n v="5668"/>
    <x v="8"/>
    <x v="8"/>
    <d v="2025-01-12T00:00:00"/>
    <x v="9"/>
    <s v="Ceramic Mug Set"/>
    <x v="2"/>
    <n v="1"/>
    <n v="24"/>
    <n v="24"/>
    <s v="Sale"/>
    <s v="Paypal"/>
  </r>
  <r>
    <n v="5669"/>
    <x v="34"/>
    <x v="34"/>
    <d v="2025-07-07T00:00:00"/>
    <x v="10"/>
    <s v="Cutting Board"/>
    <x v="2"/>
    <n v="1"/>
    <n v="19"/>
    <n v="19"/>
    <s v="Sale"/>
    <s v="Paypal"/>
  </r>
  <r>
    <n v="5670"/>
    <x v="39"/>
    <x v="39"/>
    <d v="2025-03-18T00:00:00"/>
    <x v="3"/>
    <s v="Wall Mirror"/>
    <x v="1"/>
    <n v="2"/>
    <n v="62"/>
    <n v="124"/>
    <s v="Sale"/>
    <s v="Paypal"/>
  </r>
  <r>
    <n v="5671"/>
    <x v="13"/>
    <x v="13"/>
    <d v="2025-02-19T00:00:00"/>
    <x v="7"/>
    <s v="Non-Stick Pan Set"/>
    <x v="2"/>
    <n v="2"/>
    <n v="60"/>
    <n v="120"/>
    <s v="Sale"/>
    <s v="Debit Card"/>
  </r>
  <r>
    <n v="5672"/>
    <x v="61"/>
    <x v="60"/>
    <d v="2025-08-05T00:00:00"/>
    <x v="1"/>
    <s v="Table Lamp"/>
    <x v="3"/>
    <n v="1"/>
    <n v="42"/>
    <n v="42"/>
    <s v="Sale"/>
    <s v="Paypal"/>
  </r>
  <r>
    <n v="5673"/>
    <x v="86"/>
    <x v="83"/>
    <d v="2025-02-09T00:00:00"/>
    <x v="7"/>
    <s v="Throw Pillow"/>
    <x v="1"/>
    <n v="2"/>
    <n v="22"/>
    <n v="44"/>
    <s v="Sale"/>
    <s v="Paypal"/>
  </r>
  <r>
    <n v="5674"/>
    <x v="3"/>
    <x v="3"/>
    <d v="2025-08-20T00:00:00"/>
    <x v="1"/>
    <s v="Ceramic Vase"/>
    <x v="1"/>
    <n v="1"/>
    <n v="31"/>
    <n v="31"/>
    <s v="Sale"/>
    <s v="Credit Card"/>
  </r>
  <r>
    <n v="5675"/>
    <x v="14"/>
    <x v="14"/>
    <d v="2025-06-19T00:00:00"/>
    <x v="8"/>
    <s v="Throw Pillow"/>
    <x v="1"/>
    <n v="1"/>
    <n v="19"/>
    <n v="19"/>
    <s v="Sale"/>
    <s v="Credit Card"/>
  </r>
  <r>
    <n v="5676"/>
    <x v="50"/>
    <x v="50"/>
    <d v="2025-05-06T00:00:00"/>
    <x v="2"/>
    <s v="Memory Foam Pillow"/>
    <x v="0"/>
    <n v="1"/>
    <n v="32"/>
    <n v="32"/>
    <s v="Sale"/>
    <s v="Credit Card"/>
  </r>
  <r>
    <n v="5677"/>
    <x v="70"/>
    <x v="69"/>
    <d v="2025-08-08T00:00:00"/>
    <x v="1"/>
    <s v="Wool Blanket"/>
    <x v="0"/>
    <n v="2"/>
    <n v="67"/>
    <n v="134"/>
    <s v="Sale"/>
    <s v="Debit Card"/>
  </r>
  <r>
    <n v="5678"/>
    <x v="9"/>
    <x v="9"/>
    <d v="2025-03-22T00:00:00"/>
    <x v="3"/>
    <s v="Cutting Board"/>
    <x v="2"/>
    <n v="1"/>
    <n v="22"/>
    <n v="22"/>
    <s v="Sale"/>
    <s v="Credit Card"/>
  </r>
  <r>
    <n v="5679"/>
    <x v="44"/>
    <x v="44"/>
    <d v="2025-08-04T00:00:00"/>
    <x v="1"/>
    <s v="Wool Blanket"/>
    <x v="0"/>
    <n v="1"/>
    <n v="70"/>
    <n v="70"/>
    <s v="Sale"/>
    <s v="Credit Card"/>
  </r>
  <r>
    <n v="5680"/>
    <x v="14"/>
    <x v="14"/>
    <d v="2025-08-21T00:00:00"/>
    <x v="1"/>
    <s v="Ceramic Mug Set"/>
    <x v="2"/>
    <n v="1"/>
    <n v="24"/>
    <n v="24"/>
    <s v="Sale"/>
    <s v="Debit Card"/>
  </r>
  <r>
    <n v="5681"/>
    <x v="71"/>
    <x v="70"/>
    <d v="2025-12-04T00:00:00"/>
    <x v="5"/>
    <s v="Throw Pillow"/>
    <x v="1"/>
    <n v="1"/>
    <n v="25"/>
    <n v="25"/>
    <s v="Sale"/>
    <s v="Debit Card"/>
  </r>
  <r>
    <n v="5682"/>
    <x v="55"/>
    <x v="55"/>
    <d v="2025-05-17T00:00:00"/>
    <x v="2"/>
    <s v="Table Lamp"/>
    <x v="3"/>
    <n v="1"/>
    <n v="42"/>
    <n v="42"/>
    <s v="Sale"/>
    <s v="Debit Card"/>
  </r>
  <r>
    <n v="5683"/>
    <x v="78"/>
    <x v="76"/>
    <d v="2025-02-05T00:00:00"/>
    <x v="7"/>
    <s v="Cotton Bedsheet Set"/>
    <x v="0"/>
    <n v="1"/>
    <n v="54.794117647058826"/>
    <n v="54.794117647058826"/>
    <s v="Sale"/>
    <s v="Debit Card"/>
  </r>
  <r>
    <n v="5684"/>
    <x v="24"/>
    <x v="24"/>
    <d v="2025-07-15T00:00:00"/>
    <x v="10"/>
    <s v="Throw Pillow"/>
    <x v="1"/>
    <n v="1"/>
    <n v="22"/>
    <n v="22"/>
    <s v="Sale"/>
    <s v="Paypal"/>
  </r>
  <r>
    <n v="5685"/>
    <x v="4"/>
    <x v="4"/>
    <d v="2025-05-30T00:00:00"/>
    <x v="2"/>
    <s v="Memory Foam Pillow"/>
    <x v="0"/>
    <n v="2"/>
    <n v="32.154639175257735"/>
    <n v="64.30927835051547"/>
    <s v="Sale"/>
    <s v="Credit Card"/>
  </r>
  <r>
    <n v="5686"/>
    <x v="38"/>
    <x v="38"/>
    <d v="2025-03-07T00:00:00"/>
    <x v="3"/>
    <s v="Cotton Bedsheet Set"/>
    <x v="0"/>
    <n v="3"/>
    <n v="55"/>
    <n v="165"/>
    <s v="Sale"/>
    <s v="Debit Card"/>
  </r>
  <r>
    <n v="5687"/>
    <x v="98"/>
    <x v="95"/>
    <d v="2025-02-27T00:00:00"/>
    <x v="7"/>
    <s v="Throw Pillow"/>
    <x v="1"/>
    <n v="1"/>
    <n v="19"/>
    <n v="19"/>
    <s v="Sale"/>
    <s v="Debit Card"/>
  </r>
  <r>
    <n v="5688"/>
    <x v="21"/>
    <x v="21"/>
    <d v="2025-07-07T00:00:00"/>
    <x v="10"/>
    <s v="Cutting Board"/>
    <x v="2"/>
    <n v="3"/>
    <n v="19"/>
    <n v="57"/>
    <s v="Sale"/>
    <s v="Credit Card"/>
  </r>
  <r>
    <n v="5689"/>
    <x v="100"/>
    <x v="96"/>
    <d v="2025-03-09T00:00:00"/>
    <x v="3"/>
    <s v="Ceramic Vase"/>
    <x v="1"/>
    <n v="2"/>
    <n v="28"/>
    <n v="56"/>
    <s v="Sale"/>
    <s v="Debit Card"/>
  </r>
  <r>
    <n v="5690"/>
    <x v="81"/>
    <x v="78"/>
    <d v="2025-03-01T00:00:00"/>
    <x v="3"/>
    <s v="Floor Lamp"/>
    <x v="3"/>
    <n v="2"/>
    <n v="86"/>
    <n v="172"/>
    <s v="Sale"/>
    <s v="Credit Card"/>
  </r>
  <r>
    <n v="5691"/>
    <x v="103"/>
    <x v="99"/>
    <d v="2025-07-01T00:00:00"/>
    <x v="10"/>
    <s v="Ceramic Vase"/>
    <x v="1"/>
    <n v="1"/>
    <n v="31"/>
    <n v="31"/>
    <s v="Sale"/>
    <s v="Debit Card"/>
  </r>
  <r>
    <n v="5692"/>
    <x v="45"/>
    <x v="45"/>
    <d v="2025-09-30T00:00:00"/>
    <x v="11"/>
    <s v="Non-Stick Pan Set"/>
    <x v="2"/>
    <n v="1"/>
    <n v="63"/>
    <n v="63"/>
    <s v="Sale"/>
    <s v="Debit Card"/>
  </r>
  <r>
    <n v="5693"/>
    <x v="97"/>
    <x v="94"/>
    <d v="2025-11-07T00:00:00"/>
    <x v="0"/>
    <s v="Wall Mirror"/>
    <x v="1"/>
    <n v="2"/>
    <n v="68"/>
    <n v="136"/>
    <s v="Sale"/>
    <s v="Paypal"/>
  </r>
  <r>
    <n v="5694"/>
    <x v="75"/>
    <x v="74"/>
    <d v="2025-09-15T00:00:00"/>
    <x v="11"/>
    <s v="Ceramic Mug Set"/>
    <x v="2"/>
    <n v="2"/>
    <n v="21"/>
    <n v="42"/>
    <s v="Sale"/>
    <s v="Debit Card"/>
  </r>
  <r>
    <n v="5695"/>
    <x v="72"/>
    <x v="71"/>
    <d v="2025-01-23T00:00:00"/>
    <x v="9"/>
    <s v="Wall Mirror"/>
    <x v="1"/>
    <n v="-1"/>
    <n v="62"/>
    <n v="-62"/>
    <s v="Return"/>
    <s v="Debit Card"/>
  </r>
  <r>
    <n v="5696"/>
    <x v="74"/>
    <x v="73"/>
    <d v="2025-08-05T00:00:00"/>
    <x v="1"/>
    <s v="Memory Foam Pillow"/>
    <x v="0"/>
    <n v="2"/>
    <n v="32"/>
    <n v="64"/>
    <s v="Sale"/>
    <s v="Debit Card"/>
  </r>
  <r>
    <n v="5697"/>
    <x v="16"/>
    <x v="16"/>
    <d v="2025-05-09T00:00:00"/>
    <x v="2"/>
    <s v="Floor Lamp"/>
    <x v="3"/>
    <n v="3"/>
    <n v="89"/>
    <n v="267"/>
    <s v="Sale"/>
    <s v="Debit Card"/>
  </r>
  <r>
    <n v="5698"/>
    <x v="70"/>
    <x v="69"/>
    <d v="2025-08-21T00:00:00"/>
    <x v="1"/>
    <s v="Floor Lamp"/>
    <x v="3"/>
    <n v="-1"/>
    <n v="89.144230769230774"/>
    <n v="-89.144230769230774"/>
    <s v="Return"/>
    <s v="Paypal"/>
  </r>
  <r>
    <n v="5699"/>
    <x v="45"/>
    <x v="45"/>
    <d v="2025-02-12T00:00:00"/>
    <x v="7"/>
    <s v="Cotton Bedsheet Set"/>
    <x v="0"/>
    <n v="3"/>
    <n v="55"/>
    <n v="165"/>
    <s v="Sale"/>
    <s v="Debit Card"/>
  </r>
  <r>
    <n v="5700"/>
    <x v="5"/>
    <x v="5"/>
    <d v="2025-06-24T00:00:00"/>
    <x v="8"/>
    <s v="Ceramic Vase"/>
    <x v="1"/>
    <n v="2"/>
    <n v="25"/>
    <n v="50"/>
    <s v="Sale"/>
    <s v="Paypal"/>
  </r>
  <r>
    <n v="5701"/>
    <x v="97"/>
    <x v="94"/>
    <d v="2025-08-30T00:00:00"/>
    <x v="1"/>
    <s v="String Lights"/>
    <x v="3"/>
    <n v="3"/>
    <n v="18"/>
    <n v="54"/>
    <s v="Sale"/>
    <s v="Debit Card"/>
  </r>
  <r>
    <n v="5702"/>
    <x v="41"/>
    <x v="41"/>
    <d v="2025-09-07T00:00:00"/>
    <x v="11"/>
    <s v="Floor Lamp"/>
    <x v="3"/>
    <n v="3"/>
    <n v="89"/>
    <n v="267"/>
    <s v="Sale"/>
    <s v="Credit Card"/>
  </r>
  <r>
    <n v="5703"/>
    <x v="69"/>
    <x v="68"/>
    <d v="2025-03-21T00:00:00"/>
    <x v="3"/>
    <s v="Cotton Bedsheet Set"/>
    <x v="0"/>
    <n v="1"/>
    <n v="55"/>
    <n v="55"/>
    <s v="Sale"/>
    <s v="Debit Card"/>
  </r>
  <r>
    <n v="5704"/>
    <x v="75"/>
    <x v="74"/>
    <d v="2025-12-12T00:00:00"/>
    <x v="5"/>
    <s v="Ceramic Vase"/>
    <x v="1"/>
    <n v="1"/>
    <n v="25"/>
    <n v="25"/>
    <s v="Sale"/>
    <s v="Credit Card"/>
  </r>
  <r>
    <n v="5705"/>
    <x v="106"/>
    <x v="102"/>
    <d v="2025-03-19T00:00:00"/>
    <x v="3"/>
    <s v="Table Lamp"/>
    <x v="3"/>
    <n v="2"/>
    <n v="42"/>
    <n v="84"/>
    <s v="Sale"/>
    <s v="Credit Card"/>
  </r>
  <r>
    <n v="5706"/>
    <x v="50"/>
    <x v="50"/>
    <d v="2025-01-11T00:00:00"/>
    <x v="9"/>
    <s v="Cotton Bedsheet Set"/>
    <x v="0"/>
    <n v="1"/>
    <n v="55"/>
    <n v="55"/>
    <s v="Sale"/>
    <s v="Credit Card"/>
  </r>
  <r>
    <n v="5707"/>
    <x v="45"/>
    <x v="45"/>
    <d v="2025-07-10T00:00:00"/>
    <x v="10"/>
    <s v="Ceramic Vase"/>
    <x v="1"/>
    <n v="1"/>
    <n v="28"/>
    <n v="28"/>
    <s v="Sale"/>
    <s v="Paypal"/>
  </r>
  <r>
    <n v="5708"/>
    <x v="20"/>
    <x v="20"/>
    <d v="2025-04-16T00:00:00"/>
    <x v="6"/>
    <s v="Table Lamp"/>
    <x v="3"/>
    <n v="2"/>
    <n v="48"/>
    <n v="96"/>
    <s v="Sale"/>
    <s v="Debit Card"/>
  </r>
  <r>
    <n v="5709"/>
    <x v="60"/>
    <x v="59"/>
    <d v="2025-12-29T00:00:00"/>
    <x v="5"/>
    <s v="Table Lamp"/>
    <x v="3"/>
    <n v="-1"/>
    <n v="45"/>
    <n v="-45"/>
    <s v="Return"/>
    <s v="Unknown"/>
  </r>
  <r>
    <n v="5710"/>
    <x v="16"/>
    <x v="16"/>
    <d v="2025-06-16T00:00:00"/>
    <x v="8"/>
    <s v="Non-Stick Pan Set"/>
    <x v="2"/>
    <n v="2"/>
    <n v="60"/>
    <n v="120"/>
    <s v="Sale"/>
    <s v="Paypal"/>
  </r>
  <r>
    <n v="5711"/>
    <x v="32"/>
    <x v="32"/>
    <d v="2025-02-08T00:00:00"/>
    <x v="7"/>
    <s v="Floor Lamp"/>
    <x v="3"/>
    <n v="1"/>
    <n v="89"/>
    <n v="89"/>
    <s v="Sale"/>
    <s v="Credit Card"/>
  </r>
  <r>
    <n v="5712"/>
    <x v="6"/>
    <x v="6"/>
    <d v="2025-08-05T00:00:00"/>
    <x v="1"/>
    <s v="Ceramic Mug Set"/>
    <x v="2"/>
    <n v="1"/>
    <n v="27"/>
    <n v="27"/>
    <s v="Sale"/>
    <s v="Debit Card"/>
  </r>
  <r>
    <n v="5713"/>
    <x v="16"/>
    <x v="16"/>
    <d v="2025-09-10T00:00:00"/>
    <x v="11"/>
    <s v="Wool Blanket"/>
    <x v="0"/>
    <n v="1"/>
    <n v="70"/>
    <n v="70"/>
    <s v="Sale"/>
    <s v="Credit Card"/>
  </r>
  <r>
    <n v="5714"/>
    <x v="76"/>
    <x v="46"/>
    <d v="2025-06-12T00:00:00"/>
    <x v="8"/>
    <s v="Ceramic Vase"/>
    <x v="1"/>
    <n v="2"/>
    <n v="28"/>
    <n v="56"/>
    <s v="Sale"/>
    <s v="Paypal"/>
  </r>
  <r>
    <n v="5715"/>
    <x v="82"/>
    <x v="79"/>
    <d v="2025-08-10T00:00:00"/>
    <x v="1"/>
    <s v="Memory Foam Pillow"/>
    <x v="0"/>
    <n v="1"/>
    <n v="29"/>
    <n v="29"/>
    <s v="Sale"/>
    <s v="Credit Card"/>
  </r>
  <r>
    <n v="5716"/>
    <x v="93"/>
    <x v="90"/>
    <d v="2025-04-19T00:00:00"/>
    <x v="6"/>
    <s v="Memory Foam Pillow"/>
    <x v="0"/>
    <n v="1"/>
    <n v="29"/>
    <n v="29"/>
    <s v="Sale"/>
    <s v="Debit Card"/>
  </r>
  <r>
    <n v="5717"/>
    <x v="57"/>
    <x v="57"/>
    <d v="2025-07-30T00:00:00"/>
    <x v="10"/>
    <s v="Cotton Bedsheet Set"/>
    <x v="0"/>
    <n v="1"/>
    <n v="55"/>
    <n v="55"/>
    <s v="Sale"/>
    <s v="Debit Card"/>
  </r>
  <r>
    <n v="5718"/>
    <x v="21"/>
    <x v="21"/>
    <d v="2025-09-19T00:00:00"/>
    <x v="11"/>
    <s v="Throw Pillow"/>
    <x v="1"/>
    <n v="1"/>
    <n v="22"/>
    <n v="22"/>
    <s v="Sale"/>
    <s v="Paypal"/>
  </r>
  <r>
    <n v="5719"/>
    <x v="32"/>
    <x v="32"/>
    <d v="2025-03-07T00:00:00"/>
    <x v="3"/>
    <s v="Cotton Bedsheet Set"/>
    <x v="0"/>
    <n v="2"/>
    <n v="58"/>
    <n v="116"/>
    <s v="Sale"/>
    <s v="Debit Card"/>
  </r>
  <r>
    <n v="5720"/>
    <x v="10"/>
    <x v="10"/>
    <d v="2025-11-13T00:00:00"/>
    <x v="0"/>
    <s v="Throw Pillow"/>
    <x v="1"/>
    <n v="1"/>
    <n v="22"/>
    <n v="22"/>
    <s v="Sale"/>
    <s v="Paypal"/>
  </r>
  <r>
    <n v="5721"/>
    <x v="55"/>
    <x v="55"/>
    <d v="2025-02-28T00:00:00"/>
    <x v="7"/>
    <s v="Ceramic Mug Set"/>
    <x v="2"/>
    <n v="1"/>
    <n v="24"/>
    <n v="24"/>
    <s v="Sale"/>
    <s v="Paypal"/>
  </r>
  <r>
    <n v="5722"/>
    <x v="49"/>
    <x v="49"/>
    <d v="2025-03-24T00:00:00"/>
    <x v="3"/>
    <s v="Ceramic Vase"/>
    <x v="1"/>
    <n v="3"/>
    <n v="31"/>
    <n v="93"/>
    <s v="Sale"/>
    <s v="Credit Card"/>
  </r>
  <r>
    <n v="5723"/>
    <x v="108"/>
    <x v="103"/>
    <d v="2025-03-30T00:00:00"/>
    <x v="3"/>
    <s v="Table Lamp"/>
    <x v="3"/>
    <n v="1"/>
    <n v="45"/>
    <n v="45"/>
    <s v="Sale"/>
    <s v="Credit Card"/>
  </r>
  <r>
    <n v="5724"/>
    <x v="104"/>
    <x v="100"/>
    <d v="2025-06-14T00:00:00"/>
    <x v="8"/>
    <s v="Table Lamp"/>
    <x v="3"/>
    <n v="3"/>
    <n v="42"/>
    <n v="126"/>
    <s v="Sale"/>
    <s v="Paypal"/>
  </r>
  <r>
    <n v="5725"/>
    <x v="99"/>
    <x v="89"/>
    <d v="2025-02-04T00:00:00"/>
    <x v="7"/>
    <s v="Wall Mirror"/>
    <x v="1"/>
    <n v="3"/>
    <n v="65"/>
    <n v="195"/>
    <s v="Sale"/>
    <s v="Debit Card"/>
  </r>
  <r>
    <n v="5726"/>
    <x v="52"/>
    <x v="52"/>
    <d v="2025-04-12T00:00:00"/>
    <x v="6"/>
    <s v="Wall Mirror"/>
    <x v="1"/>
    <n v="1"/>
    <n v="68"/>
    <n v="68"/>
    <s v="Sale"/>
    <s v="Debit Card"/>
  </r>
  <r>
    <n v="5727"/>
    <x v="38"/>
    <x v="38"/>
    <d v="2025-11-12T00:00:00"/>
    <x v="0"/>
    <s v="Cutting Board"/>
    <x v="2"/>
    <n v="1"/>
    <n v="19"/>
    <n v="19"/>
    <s v="Sale"/>
    <s v="Debit Card"/>
  </r>
  <r>
    <n v="5728"/>
    <x v="41"/>
    <x v="41"/>
    <d v="2025-11-12T00:00:00"/>
    <x v="0"/>
    <s v="Wool Blanket"/>
    <x v="0"/>
    <n v="3"/>
    <n v="70"/>
    <n v="210"/>
    <s v="Sale"/>
    <s v="Paypal"/>
  </r>
  <r>
    <n v="5729"/>
    <x v="1"/>
    <x v="1"/>
    <d v="2025-10-09T00:00:00"/>
    <x v="4"/>
    <s v="String Lights"/>
    <x v="3"/>
    <n v="2"/>
    <n v="18"/>
    <n v="36"/>
    <s v="Sale"/>
    <s v="Credit Card"/>
  </r>
  <r>
    <n v="5730"/>
    <x v="52"/>
    <x v="52"/>
    <d v="2025-01-17T00:00:00"/>
    <x v="9"/>
    <s v="Non-Stick Pan Set"/>
    <x v="2"/>
    <n v="-1"/>
    <n v="57"/>
    <n v="-57"/>
    <s v="Return"/>
    <s v="Credit Card"/>
  </r>
  <r>
    <n v="5731"/>
    <x v="29"/>
    <x v="29"/>
    <d v="2025-08-14T00:00:00"/>
    <x v="1"/>
    <s v="Table Lamp"/>
    <x v="3"/>
    <n v="3"/>
    <n v="45"/>
    <n v="135"/>
    <s v="Sale"/>
    <s v="Paypal"/>
  </r>
  <r>
    <n v="5732"/>
    <x v="41"/>
    <x v="41"/>
    <d v="2025-11-21T00:00:00"/>
    <x v="0"/>
    <s v="String Lights"/>
    <x v="3"/>
    <n v="2"/>
    <n v="15"/>
    <n v="30"/>
    <s v="Sale"/>
    <s v="Debit Card"/>
  </r>
  <r>
    <n v="5733"/>
    <x v="33"/>
    <x v="33"/>
    <d v="2025-01-12T00:00:00"/>
    <x v="9"/>
    <s v="Throw Pillow"/>
    <x v="1"/>
    <n v="1"/>
    <n v="22"/>
    <n v="22"/>
    <s v="Sale"/>
    <s v="Debit Card"/>
  </r>
  <r>
    <n v="5734"/>
    <x v="75"/>
    <x v="74"/>
    <d v="2025-02-14T00:00:00"/>
    <x v="7"/>
    <s v="Floor Lamp"/>
    <x v="3"/>
    <n v="2"/>
    <n v="92"/>
    <n v="184"/>
    <s v="Sale"/>
    <s v="Credit Card"/>
  </r>
  <r>
    <n v="5735"/>
    <x v="51"/>
    <x v="51"/>
    <d v="2025-04-27T00:00:00"/>
    <x v="6"/>
    <s v="Floor Lamp"/>
    <x v="3"/>
    <n v="1"/>
    <n v="92"/>
    <n v="92"/>
    <s v="Sale"/>
    <s v="Credit Card"/>
  </r>
  <r>
    <n v="5736"/>
    <x v="12"/>
    <x v="12"/>
    <d v="2025-08-26T00:00:00"/>
    <x v="1"/>
    <s v="Wool Blanket"/>
    <x v="0"/>
    <n v="2"/>
    <n v="70"/>
    <n v="140"/>
    <s v="Sale"/>
    <s v="Debit Card"/>
  </r>
  <r>
    <n v="5737"/>
    <x v="63"/>
    <x v="62"/>
    <d v="2025-05-07T00:00:00"/>
    <x v="2"/>
    <s v="Wool Blanket"/>
    <x v="0"/>
    <n v="3"/>
    <n v="70"/>
    <n v="210"/>
    <s v="Sale"/>
    <s v="Paypal"/>
  </r>
  <r>
    <n v="5738"/>
    <x v="60"/>
    <x v="59"/>
    <d v="2025-08-14T00:00:00"/>
    <x v="1"/>
    <s v="Table Lamp"/>
    <x v="3"/>
    <n v="2"/>
    <n v="48"/>
    <n v="96"/>
    <s v="Sale"/>
    <s v="Credit Card"/>
  </r>
  <r>
    <n v="5739"/>
    <x v="29"/>
    <x v="29"/>
    <d v="2025-12-29T00:00:00"/>
    <x v="5"/>
    <s v="Cutting Board"/>
    <x v="2"/>
    <n v="2"/>
    <n v="19"/>
    <n v="38"/>
    <s v="Sale"/>
    <s v="Unknown"/>
  </r>
  <r>
    <n v="5740"/>
    <x v="51"/>
    <x v="51"/>
    <d v="2025-07-27T00:00:00"/>
    <x v="10"/>
    <s v="Ceramic Mug Set"/>
    <x v="2"/>
    <n v="2"/>
    <n v="24"/>
    <n v="48"/>
    <s v="Sale"/>
    <s v="Credit Card"/>
  </r>
  <r>
    <n v="5741"/>
    <x v="43"/>
    <x v="43"/>
    <d v="2025-04-12T00:00:00"/>
    <x v="6"/>
    <s v="Table Lamp"/>
    <x v="3"/>
    <n v="1"/>
    <n v="48"/>
    <n v="48"/>
    <s v="Sale"/>
    <s v="Unknown"/>
  </r>
  <r>
    <n v="5742"/>
    <x v="81"/>
    <x v="78"/>
    <d v="2025-04-03T00:00:00"/>
    <x v="6"/>
    <s v="Ceramic Mug Set"/>
    <x v="2"/>
    <n v="1"/>
    <n v="24"/>
    <n v="24"/>
    <s v="Sale"/>
    <s v="Debit Card"/>
  </r>
  <r>
    <n v="5743"/>
    <x v="65"/>
    <x v="64"/>
    <d v="2025-04-06T00:00:00"/>
    <x v="6"/>
    <s v="Ceramic Vase"/>
    <x v="1"/>
    <n v="1"/>
    <n v="31"/>
    <n v="31"/>
    <s v="Sale"/>
    <s v="Debit Card"/>
  </r>
  <r>
    <n v="5744"/>
    <x v="86"/>
    <x v="83"/>
    <d v="2025-05-30T00:00:00"/>
    <x v="2"/>
    <s v="Wall Mirror"/>
    <x v="1"/>
    <n v="3"/>
    <n v="65"/>
    <n v="195"/>
    <s v="Sale"/>
    <s v="Debit Card"/>
  </r>
  <r>
    <n v="5745"/>
    <x v="20"/>
    <x v="20"/>
    <d v="2025-04-07T00:00:00"/>
    <x v="6"/>
    <s v="Cotton Bedsheet Set"/>
    <x v="0"/>
    <n v="1"/>
    <n v="55"/>
    <n v="55"/>
    <s v="Sale"/>
    <s v="Debit Card"/>
  </r>
  <r>
    <n v="5746"/>
    <x v="58"/>
    <x v="42"/>
    <d v="2025-11-08T00:00:00"/>
    <x v="0"/>
    <s v="Ceramic Mug Set"/>
    <x v="2"/>
    <n v="1"/>
    <n v="24"/>
    <n v="24"/>
    <s v="Sale"/>
    <s v="Debit Card"/>
  </r>
  <r>
    <n v="5747"/>
    <x v="91"/>
    <x v="88"/>
    <d v="2025-03-24T00:00:00"/>
    <x v="3"/>
    <s v="Table Lamp"/>
    <x v="3"/>
    <n v="2"/>
    <n v="48"/>
    <n v="96"/>
    <s v="Sale"/>
    <s v="Debit Card"/>
  </r>
  <r>
    <n v="5748"/>
    <x v="43"/>
    <x v="43"/>
    <d v="2025-02-20T00:00:00"/>
    <x v="7"/>
    <s v="Memory Foam Pillow"/>
    <x v="0"/>
    <n v="1"/>
    <n v="32"/>
    <n v="32"/>
    <s v="Sale"/>
    <s v="Paypal"/>
  </r>
  <r>
    <n v="5749"/>
    <x v="65"/>
    <x v="64"/>
    <d v="2025-06-06T00:00:00"/>
    <x v="8"/>
    <s v="Table Lamp"/>
    <x v="3"/>
    <n v="2"/>
    <n v="45"/>
    <n v="90"/>
    <s v="Sale"/>
    <s v="Debit Card"/>
  </r>
  <r>
    <n v="5750"/>
    <x v="44"/>
    <x v="44"/>
    <d v="2025-02-03T00:00:00"/>
    <x v="7"/>
    <s v="Memory Foam Pillow"/>
    <x v="0"/>
    <n v="3"/>
    <n v="32"/>
    <n v="96"/>
    <s v="Sale"/>
    <s v="Unknown"/>
  </r>
  <r>
    <n v="5751"/>
    <x v="4"/>
    <x v="4"/>
    <d v="2025-02-21T00:00:00"/>
    <x v="7"/>
    <s v="Cutting Board"/>
    <x v="2"/>
    <n v="2"/>
    <n v="16"/>
    <n v="32"/>
    <s v="Sale"/>
    <s v="Paypal"/>
  </r>
  <r>
    <n v="5752"/>
    <x v="109"/>
    <x v="104"/>
    <d v="2025-05-10T00:00:00"/>
    <x v="2"/>
    <s v="Floor Lamp"/>
    <x v="3"/>
    <n v="1"/>
    <n v="89"/>
    <n v="89"/>
    <s v="Sale"/>
    <s v="Credit Card"/>
  </r>
  <r>
    <n v="5753"/>
    <x v="62"/>
    <x v="61"/>
    <d v="2025-04-25T00:00:00"/>
    <x v="6"/>
    <s v="Memory Foam Pillow"/>
    <x v="0"/>
    <n v="1"/>
    <n v="32"/>
    <n v="32"/>
    <s v="Sale"/>
    <s v="Credit Card"/>
  </r>
  <r>
    <n v="5754"/>
    <x v="53"/>
    <x v="53"/>
    <d v="2025-02-25T00:00:00"/>
    <x v="7"/>
    <s v="String Lights"/>
    <x v="3"/>
    <n v="3"/>
    <n v="18"/>
    <n v="54"/>
    <s v="Sale"/>
    <s v="Paypal"/>
  </r>
  <r>
    <n v="5755"/>
    <x v="81"/>
    <x v="78"/>
    <d v="2025-10-06T00:00:00"/>
    <x v="4"/>
    <s v="Ceramic Vase"/>
    <x v="1"/>
    <n v="2"/>
    <n v="31"/>
    <n v="62"/>
    <s v="Sale"/>
    <s v="Debit Card"/>
  </r>
  <r>
    <n v="5756"/>
    <x v="83"/>
    <x v="80"/>
    <d v="2025-11-13T00:00:00"/>
    <x v="0"/>
    <s v="Throw Pillow"/>
    <x v="1"/>
    <n v="3"/>
    <n v="22"/>
    <n v="66"/>
    <s v="Sale"/>
    <s v="Debit Card"/>
  </r>
  <r>
    <n v="5757"/>
    <x v="100"/>
    <x v="96"/>
    <d v="2025-07-28T00:00:00"/>
    <x v="10"/>
    <s v="Cotton Bedsheet Set"/>
    <x v="0"/>
    <n v="3"/>
    <n v="52"/>
    <n v="156"/>
    <s v="Sale"/>
    <s v="Credit Card"/>
  </r>
  <r>
    <n v="5758"/>
    <x v="91"/>
    <x v="88"/>
    <d v="2025-10-13T00:00:00"/>
    <x v="4"/>
    <s v="Table Lamp"/>
    <x v="3"/>
    <n v="1"/>
    <n v="45"/>
    <n v="45"/>
    <s v="Sale"/>
    <s v="Credit Card"/>
  </r>
  <r>
    <n v="5759"/>
    <x v="14"/>
    <x v="14"/>
    <d v="2025-09-07T00:00:00"/>
    <x v="11"/>
    <s v="Ceramic Mug Set"/>
    <x v="2"/>
    <n v="1"/>
    <n v="24"/>
    <n v="24"/>
    <s v="Sale"/>
    <s v="Credit Card"/>
  </r>
  <r>
    <n v="5760"/>
    <x v="20"/>
    <x v="20"/>
    <d v="2025-04-15T00:00:00"/>
    <x v="6"/>
    <s v="Ceramic Mug Set"/>
    <x v="2"/>
    <n v="3"/>
    <n v="24"/>
    <n v="72"/>
    <s v="Sale"/>
    <s v="Debit Card"/>
  </r>
  <r>
    <n v="5761"/>
    <x v="31"/>
    <x v="31"/>
    <d v="2025-07-15T00:00:00"/>
    <x v="10"/>
    <s v="Ceramic Vase"/>
    <x v="1"/>
    <n v="3"/>
    <n v="28"/>
    <n v="84"/>
    <s v="Sale"/>
    <s v="Debit Card"/>
  </r>
  <r>
    <n v="5762"/>
    <x v="33"/>
    <x v="33"/>
    <d v="2025-01-25T00:00:00"/>
    <x v="9"/>
    <s v="Wall Mirror"/>
    <x v="1"/>
    <n v="1"/>
    <n v="62"/>
    <n v="62"/>
    <s v="Sale"/>
    <s v="Paypal"/>
  </r>
  <r>
    <n v="5763"/>
    <x v="64"/>
    <x v="63"/>
    <d v="2025-03-01T00:00:00"/>
    <x v="3"/>
    <s v="Wall Mirror"/>
    <x v="1"/>
    <n v="3"/>
    <n v="62"/>
    <n v="186"/>
    <s v="Sale"/>
    <s v="Debit Card"/>
  </r>
  <r>
    <n v="5764"/>
    <x v="34"/>
    <x v="34"/>
    <d v="2025-02-04T00:00:00"/>
    <x v="7"/>
    <s v="Cutting Board"/>
    <x v="2"/>
    <n v="3"/>
    <n v="22"/>
    <n v="66"/>
    <s v="Sale"/>
    <s v="Credit Card"/>
  </r>
  <r>
    <n v="5765"/>
    <x v="92"/>
    <x v="89"/>
    <d v="2025-08-26T00:00:00"/>
    <x v="1"/>
    <s v="Wool Blanket"/>
    <x v="0"/>
    <n v="2"/>
    <n v="70"/>
    <n v="140"/>
    <s v="Sale"/>
    <s v="Credit Card"/>
  </r>
  <r>
    <n v="5766"/>
    <x v="30"/>
    <x v="30"/>
    <d v="2025-04-13T00:00:00"/>
    <x v="6"/>
    <s v="Cotton Bedsheet Set"/>
    <x v="0"/>
    <n v="2"/>
    <n v="55"/>
    <n v="110"/>
    <s v="Sale"/>
    <s v="Credit Card"/>
  </r>
  <r>
    <n v="5767"/>
    <x v="87"/>
    <x v="84"/>
    <d v="2025-11-30T00:00:00"/>
    <x v="0"/>
    <s v="Ceramic Vase"/>
    <x v="1"/>
    <n v="1"/>
    <n v="28"/>
    <n v="28"/>
    <s v="Sale"/>
    <s v="Credit Card"/>
  </r>
  <r>
    <n v="5768"/>
    <x v="10"/>
    <x v="10"/>
    <d v="2025-05-22T00:00:00"/>
    <x v="2"/>
    <s v="Non-Stick Pan Set"/>
    <x v="2"/>
    <n v="1"/>
    <n v="63"/>
    <n v="63"/>
    <s v="Sale"/>
    <s v="Credit Card"/>
  </r>
  <r>
    <n v="5769"/>
    <x v="103"/>
    <x v="99"/>
    <d v="2025-05-02T00:00:00"/>
    <x v="2"/>
    <s v="Floor Lamp"/>
    <x v="3"/>
    <n v="2"/>
    <n v="86"/>
    <n v="172"/>
    <s v="Sale"/>
    <s v="Credit Card"/>
  </r>
  <r>
    <n v="5770"/>
    <x v="52"/>
    <x v="52"/>
    <d v="2025-06-12T00:00:00"/>
    <x v="8"/>
    <s v="Memory Foam Pillow"/>
    <x v="0"/>
    <n v="2"/>
    <n v="32"/>
    <n v="64"/>
    <s v="Sale"/>
    <s v="Credit Card"/>
  </r>
  <r>
    <n v="5771"/>
    <x v="25"/>
    <x v="25"/>
    <d v="2025-07-27T00:00:00"/>
    <x v="10"/>
    <s v="Throw Pillow"/>
    <x v="1"/>
    <n v="2"/>
    <n v="22.047244094488189"/>
    <n v="44.094488188976378"/>
    <s v="Sale"/>
    <s v="Paypal"/>
  </r>
  <r>
    <n v="5772"/>
    <x v="25"/>
    <x v="25"/>
    <d v="2025-02-15T00:00:00"/>
    <x v="7"/>
    <s v="Memory Foam Pillow"/>
    <x v="0"/>
    <n v="1"/>
    <n v="32"/>
    <n v="32"/>
    <s v="Sale"/>
    <s v="Debit Card"/>
  </r>
  <r>
    <n v="5773"/>
    <x v="109"/>
    <x v="104"/>
    <d v="2025-10-11T00:00:00"/>
    <x v="4"/>
    <s v="Throw Pillow"/>
    <x v="1"/>
    <n v="2"/>
    <n v="25"/>
    <n v="50"/>
    <s v="Sale"/>
    <s v="Debit Card"/>
  </r>
  <r>
    <n v="5774"/>
    <x v="42"/>
    <x v="42"/>
    <d v="2025-08-14T00:00:00"/>
    <x v="1"/>
    <s v="Cotton Bedsheet Set"/>
    <x v="0"/>
    <n v="2"/>
    <n v="55"/>
    <n v="110"/>
    <s v="Sale"/>
    <s v="Paypal"/>
  </r>
  <r>
    <n v="5775"/>
    <x v="63"/>
    <x v="62"/>
    <d v="2025-06-10T00:00:00"/>
    <x v="8"/>
    <s v="Throw Pillow"/>
    <x v="1"/>
    <n v="1"/>
    <n v="25"/>
    <n v="25"/>
    <s v="Sale"/>
    <s v="Credit Card"/>
  </r>
  <r>
    <n v="5776"/>
    <x v="106"/>
    <x v="102"/>
    <d v="2025-10-20T00:00:00"/>
    <x v="4"/>
    <s v="Throw Pillow"/>
    <x v="1"/>
    <n v="2"/>
    <n v="22"/>
    <n v="44"/>
    <s v="Sale"/>
    <s v="Debit Card"/>
  </r>
  <r>
    <n v="5777"/>
    <x v="95"/>
    <x v="92"/>
    <d v="2025-08-12T00:00:00"/>
    <x v="1"/>
    <s v="Non-Stick Pan Set"/>
    <x v="2"/>
    <n v="1"/>
    <n v="60"/>
    <n v="60"/>
    <s v="Sale"/>
    <s v="Debit Card"/>
  </r>
  <r>
    <n v="5778"/>
    <x v="5"/>
    <x v="5"/>
    <d v="2025-11-23T00:00:00"/>
    <x v="0"/>
    <s v="Floor Lamp"/>
    <x v="3"/>
    <n v="1"/>
    <n v="92"/>
    <n v="92"/>
    <s v="Sale"/>
    <s v="Paypal"/>
  </r>
  <r>
    <n v="5779"/>
    <x v="34"/>
    <x v="34"/>
    <d v="2025-12-06T00:00:00"/>
    <x v="5"/>
    <s v="Throw Pillow"/>
    <x v="1"/>
    <n v="3"/>
    <n v="22"/>
    <n v="66"/>
    <s v="Sale"/>
    <s v="Credit Card"/>
  </r>
  <r>
    <n v="5780"/>
    <x v="50"/>
    <x v="50"/>
    <d v="2025-11-01T00:00:00"/>
    <x v="0"/>
    <s v="Floor Lamp"/>
    <x v="3"/>
    <n v="2"/>
    <n v="89"/>
    <n v="178"/>
    <s v="Sale"/>
    <s v="Paypal"/>
  </r>
  <r>
    <n v="5781"/>
    <x v="5"/>
    <x v="5"/>
    <d v="2025-03-07T00:00:00"/>
    <x v="3"/>
    <s v="Ceramic Mug Set"/>
    <x v="2"/>
    <n v="1"/>
    <n v="24"/>
    <n v="24"/>
    <s v="Sale"/>
    <s v="Debit Card"/>
  </r>
  <r>
    <n v="5782"/>
    <x v="14"/>
    <x v="14"/>
    <d v="2025-11-12T00:00:00"/>
    <x v="0"/>
    <s v="Cutting Board"/>
    <x v="2"/>
    <n v="2"/>
    <n v="19"/>
    <n v="38"/>
    <s v="Sale"/>
    <s v="Debit Card"/>
  </r>
  <r>
    <n v="5783"/>
    <x v="73"/>
    <x v="72"/>
    <d v="2025-05-04T00:00:00"/>
    <x v="2"/>
    <s v="Throw Pillow"/>
    <x v="1"/>
    <n v="3"/>
    <n v="25"/>
    <n v="75"/>
    <s v="Sale"/>
    <s v="Credit Card"/>
  </r>
  <r>
    <n v="5784"/>
    <x v="84"/>
    <x v="81"/>
    <d v="2025-07-20T00:00:00"/>
    <x v="10"/>
    <s v="Cotton Bedsheet Set"/>
    <x v="0"/>
    <n v="1"/>
    <n v="55"/>
    <n v="55"/>
    <s v="Sale"/>
    <s v="Credit Card"/>
  </r>
  <r>
    <n v="5785"/>
    <x v="73"/>
    <x v="72"/>
    <d v="2025-07-24T00:00:00"/>
    <x v="10"/>
    <s v="Non-Stick Pan Set"/>
    <x v="2"/>
    <n v="1"/>
    <n v="60"/>
    <n v="60"/>
    <s v="Sale"/>
    <s v="Paypal"/>
  </r>
  <r>
    <n v="5786"/>
    <x v="17"/>
    <x v="17"/>
    <d v="2025-02-11T00:00:00"/>
    <x v="7"/>
    <s v="Ceramic Vase"/>
    <x v="1"/>
    <n v="3"/>
    <n v="25"/>
    <n v="75"/>
    <s v="Sale"/>
    <s v="Debit Card"/>
  </r>
  <r>
    <n v="5787"/>
    <x v="32"/>
    <x v="32"/>
    <d v="2025-08-24T00:00:00"/>
    <x v="1"/>
    <s v="Floor Lamp"/>
    <x v="3"/>
    <n v="1"/>
    <n v="89"/>
    <n v="89"/>
    <s v="Sale"/>
    <s v="Paypal"/>
  </r>
  <r>
    <n v="5788"/>
    <x v="78"/>
    <x v="76"/>
    <d v="2025-12-09T00:00:00"/>
    <x v="5"/>
    <s v="Wool Blanket"/>
    <x v="0"/>
    <n v="1"/>
    <n v="67"/>
    <n v="67"/>
    <s v="Sale"/>
    <s v="Credit Card"/>
  </r>
  <r>
    <n v="5789"/>
    <x v="97"/>
    <x v="94"/>
    <d v="2025-09-26T00:00:00"/>
    <x v="11"/>
    <s v="Throw Pillow"/>
    <x v="1"/>
    <n v="1"/>
    <n v="25"/>
    <n v="25"/>
    <s v="Sale"/>
    <s v="Debit Card"/>
  </r>
  <r>
    <n v="5790"/>
    <x v="62"/>
    <x v="61"/>
    <d v="2025-05-17T00:00:00"/>
    <x v="2"/>
    <s v="Throw Pillow"/>
    <x v="1"/>
    <n v="2"/>
    <n v="19"/>
    <n v="38"/>
    <s v="Sale"/>
    <s v="Credit Card"/>
  </r>
  <r>
    <n v="5791"/>
    <x v="17"/>
    <x v="17"/>
    <d v="2025-08-14T00:00:00"/>
    <x v="1"/>
    <s v="Ceramic Vase"/>
    <x v="1"/>
    <n v="1"/>
    <n v="25"/>
    <n v="25"/>
    <s v="Sale"/>
    <s v="Debit Card"/>
  </r>
  <r>
    <n v="5792"/>
    <x v="6"/>
    <x v="6"/>
    <d v="2025-10-31T00:00:00"/>
    <x v="4"/>
    <s v="Ceramic Vase"/>
    <x v="1"/>
    <n v="2"/>
    <n v="28"/>
    <n v="56"/>
    <s v="Sale"/>
    <s v="Paypal"/>
  </r>
  <r>
    <n v="5793"/>
    <x v="105"/>
    <x v="101"/>
    <d v="2025-04-20T00:00:00"/>
    <x v="6"/>
    <s v="Floor Lamp"/>
    <x v="3"/>
    <n v="1"/>
    <n v="92"/>
    <n v="92"/>
    <s v="Sale"/>
    <s v="Paypal"/>
  </r>
  <r>
    <n v="5794"/>
    <x v="85"/>
    <x v="82"/>
    <d v="2025-12-31T00:00:00"/>
    <x v="5"/>
    <s v="Ceramic Mug Set"/>
    <x v="2"/>
    <n v="2"/>
    <n v="24"/>
    <n v="48"/>
    <s v="Sale"/>
    <s v="Paypal"/>
  </r>
  <r>
    <n v="5795"/>
    <x v="17"/>
    <x v="17"/>
    <d v="2025-06-27T00:00:00"/>
    <x v="8"/>
    <s v="Floor Lamp"/>
    <x v="3"/>
    <n v="1"/>
    <n v="89"/>
    <n v="89"/>
    <s v="Sale"/>
    <s v="Paypal"/>
  </r>
  <r>
    <n v="5796"/>
    <x v="65"/>
    <x v="64"/>
    <d v="2025-05-29T00:00:00"/>
    <x v="2"/>
    <s v="Table Lamp"/>
    <x v="3"/>
    <n v="1"/>
    <n v="48"/>
    <n v="48"/>
    <s v="Sale"/>
    <s v="Unknown"/>
  </r>
  <r>
    <n v="5797"/>
    <x v="55"/>
    <x v="55"/>
    <d v="2025-12-28T00:00:00"/>
    <x v="5"/>
    <s v="Floor Lamp"/>
    <x v="3"/>
    <n v="3"/>
    <n v="89"/>
    <n v="267"/>
    <s v="Sale"/>
    <s v="Unknown"/>
  </r>
  <r>
    <n v="5798"/>
    <x v="17"/>
    <x v="17"/>
    <d v="2025-10-18T00:00:00"/>
    <x v="4"/>
    <s v="Memory Foam Pillow"/>
    <x v="0"/>
    <n v="1"/>
    <n v="32.154639175257735"/>
    <n v="32.154639175257735"/>
    <s v="Sale"/>
    <s v="Paypal"/>
  </r>
  <r>
    <n v="5799"/>
    <x v="63"/>
    <x v="62"/>
    <d v="2025-12-13T00:00:00"/>
    <x v="5"/>
    <s v="Ceramic Mug Set"/>
    <x v="2"/>
    <n v="1"/>
    <n v="24"/>
    <n v="24"/>
    <s v="Sale"/>
    <s v="Debit Card"/>
  </r>
  <r>
    <n v="5800"/>
    <x v="55"/>
    <x v="55"/>
    <d v="2025-06-20T00:00:00"/>
    <x v="8"/>
    <s v="Table Lamp"/>
    <x v="3"/>
    <n v="2"/>
    <n v="42"/>
    <n v="84"/>
    <s v="Sale"/>
    <s v="Credit Card"/>
  </r>
  <r>
    <n v="5801"/>
    <x v="100"/>
    <x v="96"/>
    <d v="2025-02-08T00:00:00"/>
    <x v="7"/>
    <s v="Memory Foam Pillow"/>
    <x v="0"/>
    <n v="2"/>
    <n v="29"/>
    <n v="58"/>
    <s v="Sale"/>
    <s v="Debit Card"/>
  </r>
  <r>
    <n v="5802"/>
    <x v="0"/>
    <x v="0"/>
    <d v="2025-02-14T00:00:00"/>
    <x v="7"/>
    <s v="Wool Blanket"/>
    <x v="0"/>
    <n v="1"/>
    <n v="70"/>
    <n v="70"/>
    <s v="Sale"/>
    <s v="Paypal"/>
  </r>
  <r>
    <n v="5803"/>
    <x v="97"/>
    <x v="94"/>
    <d v="2025-11-19T00:00:00"/>
    <x v="0"/>
    <s v="Floor Lamp"/>
    <x v="3"/>
    <n v="2"/>
    <n v="89"/>
    <n v="178"/>
    <s v="Sale"/>
    <s v="Debit Card"/>
  </r>
  <r>
    <n v="5804"/>
    <x v="16"/>
    <x v="16"/>
    <d v="2025-08-09T00:00:00"/>
    <x v="1"/>
    <s v="Non-Stick Pan Set"/>
    <x v="2"/>
    <n v="1"/>
    <n v="60"/>
    <n v="60"/>
    <s v="Sale"/>
    <s v="Credit Card"/>
  </r>
  <r>
    <n v="5805"/>
    <x v="82"/>
    <x v="79"/>
    <d v="2025-05-08T00:00:00"/>
    <x v="2"/>
    <s v="Ceramic Vase"/>
    <x v="1"/>
    <n v="3"/>
    <n v="28"/>
    <n v="84"/>
    <s v="Sale"/>
    <s v="Paypal"/>
  </r>
  <r>
    <n v="5806"/>
    <x v="104"/>
    <x v="100"/>
    <d v="2025-06-11T00:00:00"/>
    <x v="8"/>
    <s v="Non-Stick Pan Set"/>
    <x v="2"/>
    <n v="2"/>
    <n v="60"/>
    <n v="120"/>
    <s v="Sale"/>
    <s v="Credit Card"/>
  </r>
  <r>
    <n v="5807"/>
    <x v="99"/>
    <x v="89"/>
    <d v="2025-07-12T00:00:00"/>
    <x v="10"/>
    <s v="Wool Blanket"/>
    <x v="0"/>
    <n v="2"/>
    <n v="67"/>
    <n v="134"/>
    <s v="Sale"/>
    <s v="Credit Card"/>
  </r>
  <r>
    <n v="5808"/>
    <x v="51"/>
    <x v="51"/>
    <d v="2025-09-16T00:00:00"/>
    <x v="11"/>
    <s v="Cotton Bedsheet Set"/>
    <x v="0"/>
    <n v="1"/>
    <n v="58"/>
    <n v="58"/>
    <s v="Sale"/>
    <s v="Credit Card"/>
  </r>
  <r>
    <n v="5809"/>
    <x v="88"/>
    <x v="85"/>
    <d v="2025-07-12T00:00:00"/>
    <x v="10"/>
    <s v="Cotton Bedsheet Set"/>
    <x v="0"/>
    <n v="3"/>
    <n v="52"/>
    <n v="156"/>
    <s v="Sale"/>
    <s v="Debit Card"/>
  </r>
  <r>
    <n v="5810"/>
    <x v="91"/>
    <x v="88"/>
    <d v="2025-07-13T00:00:00"/>
    <x v="10"/>
    <s v="Memory Foam Pillow"/>
    <x v="0"/>
    <n v="1"/>
    <n v="35"/>
    <n v="35"/>
    <s v="Sale"/>
    <s v="Debit Card"/>
  </r>
  <r>
    <n v="5811"/>
    <x v="93"/>
    <x v="90"/>
    <d v="2025-01-05T00:00:00"/>
    <x v="9"/>
    <s v="Wool Blanket"/>
    <x v="0"/>
    <n v="2"/>
    <n v="67"/>
    <n v="134"/>
    <s v="Sale"/>
    <s v="Unknown"/>
  </r>
  <r>
    <n v="5812"/>
    <x v="35"/>
    <x v="35"/>
    <d v="2025-10-25T00:00:00"/>
    <x v="4"/>
    <s v="Cutting Board"/>
    <x v="2"/>
    <n v="2"/>
    <n v="19"/>
    <n v="38"/>
    <s v="Sale"/>
    <s v="Debit Card"/>
  </r>
  <r>
    <n v="5813"/>
    <x v="31"/>
    <x v="31"/>
    <d v="2025-01-08T00:00:00"/>
    <x v="9"/>
    <s v="Ceramic Mug Set"/>
    <x v="2"/>
    <n v="1"/>
    <n v="21"/>
    <n v="21"/>
    <s v="Sale"/>
    <s v="Debit Card"/>
  </r>
  <r>
    <n v="5814"/>
    <x v="21"/>
    <x v="21"/>
    <d v="2025-02-05T00:00:00"/>
    <x v="7"/>
    <s v="Floor Lamp"/>
    <x v="3"/>
    <n v="1"/>
    <n v="92"/>
    <n v="92"/>
    <s v="Sale"/>
    <s v="Paypal"/>
  </r>
  <r>
    <n v="5815"/>
    <x v="87"/>
    <x v="84"/>
    <d v="2025-02-21T00:00:00"/>
    <x v="7"/>
    <s v="Wall Mirror"/>
    <x v="1"/>
    <n v="1"/>
    <n v="68"/>
    <n v="68"/>
    <s v="Sale"/>
    <s v="Paypal"/>
  </r>
  <r>
    <n v="5816"/>
    <x v="25"/>
    <x v="25"/>
    <d v="2025-03-31T00:00:00"/>
    <x v="3"/>
    <s v="Memory Foam Pillow"/>
    <x v="0"/>
    <n v="1"/>
    <n v="29"/>
    <n v="29"/>
    <s v="Sale"/>
    <s v="Credit Card"/>
  </r>
  <r>
    <n v="5817"/>
    <x v="40"/>
    <x v="40"/>
    <d v="2025-03-25T00:00:00"/>
    <x v="3"/>
    <s v="Throw Pillow"/>
    <x v="1"/>
    <n v="2"/>
    <n v="25"/>
    <n v="50"/>
    <s v="Sale"/>
    <s v="Debit Card"/>
  </r>
  <r>
    <n v="5818"/>
    <x v="55"/>
    <x v="55"/>
    <d v="2025-03-21T00:00:00"/>
    <x v="3"/>
    <s v="Throw Pillow"/>
    <x v="1"/>
    <n v="1"/>
    <n v="22"/>
    <n v="22"/>
    <s v="Sale"/>
    <s v="Paypal"/>
  </r>
  <r>
    <n v="5819"/>
    <x v="32"/>
    <x v="32"/>
    <d v="2025-08-24T00:00:00"/>
    <x v="1"/>
    <s v="Throw Pillow"/>
    <x v="1"/>
    <n v="2"/>
    <n v="22.047244094488189"/>
    <n v="44.094488188976378"/>
    <s v="Sale"/>
    <s v="Debit Card"/>
  </r>
  <r>
    <n v="5820"/>
    <x v="30"/>
    <x v="30"/>
    <d v="2025-01-28T00:00:00"/>
    <x v="9"/>
    <s v="Ceramic Vase"/>
    <x v="1"/>
    <n v="1"/>
    <n v="28"/>
    <n v="28"/>
    <s v="Sale"/>
    <s v="Paypal"/>
  </r>
  <r>
    <n v="5821"/>
    <x v="95"/>
    <x v="92"/>
    <d v="2025-12-28T00:00:00"/>
    <x v="5"/>
    <s v="String Lights"/>
    <x v="3"/>
    <n v="3"/>
    <n v="17.804347826086957"/>
    <n v="53.413043478260875"/>
    <s v="Sale"/>
    <s v="Debit Card"/>
  </r>
  <r>
    <n v="5822"/>
    <x v="4"/>
    <x v="4"/>
    <d v="2025-11-06T00:00:00"/>
    <x v="0"/>
    <s v="Floor Lamp"/>
    <x v="3"/>
    <n v="1"/>
    <n v="92"/>
    <n v="92"/>
    <s v="Sale"/>
    <s v="Paypal"/>
  </r>
  <r>
    <n v="5823"/>
    <x v="64"/>
    <x v="63"/>
    <d v="2025-01-11T00:00:00"/>
    <x v="9"/>
    <s v="Cutting Board"/>
    <x v="2"/>
    <n v="1"/>
    <n v="19"/>
    <n v="19"/>
    <s v="Sale"/>
    <s v="Debit Card"/>
  </r>
  <r>
    <n v="5824"/>
    <x v="60"/>
    <x v="59"/>
    <d v="2025-05-25T00:00:00"/>
    <x v="2"/>
    <s v="Cutting Board"/>
    <x v="2"/>
    <n v="1"/>
    <n v="19"/>
    <n v="19"/>
    <s v="Sale"/>
    <s v="Credit Card"/>
  </r>
  <r>
    <n v="5825"/>
    <x v="81"/>
    <x v="78"/>
    <d v="2025-04-03T00:00:00"/>
    <x v="6"/>
    <s v="Cotton Bedsheet Set"/>
    <x v="0"/>
    <n v="1"/>
    <n v="52"/>
    <n v="52"/>
    <s v="Sale"/>
    <s v="Unknown"/>
  </r>
  <r>
    <n v="5826"/>
    <x v="49"/>
    <x v="49"/>
    <d v="2025-03-06T00:00:00"/>
    <x v="3"/>
    <s v="Throw Pillow"/>
    <x v="1"/>
    <n v="2"/>
    <n v="19"/>
    <n v="38"/>
    <s v="Sale"/>
    <s v="Credit Card"/>
  </r>
  <r>
    <n v="5827"/>
    <x v="19"/>
    <x v="19"/>
    <d v="2025-06-24T00:00:00"/>
    <x v="8"/>
    <s v="Cotton Bedsheet Set"/>
    <x v="0"/>
    <n v="1"/>
    <n v="58"/>
    <n v="58"/>
    <s v="Sale"/>
    <s v="Credit Card"/>
  </r>
  <r>
    <n v="5828"/>
    <x v="54"/>
    <x v="54"/>
    <d v="2025-12-25T00:00:00"/>
    <x v="5"/>
    <s v="String Lights"/>
    <x v="3"/>
    <n v="2"/>
    <n v="15"/>
    <n v="30"/>
    <s v="Sale"/>
    <s v="Debit Card"/>
  </r>
  <r>
    <n v="5829"/>
    <x v="31"/>
    <x v="31"/>
    <d v="2025-03-02T00:00:00"/>
    <x v="3"/>
    <s v="Cutting Board"/>
    <x v="2"/>
    <n v="2"/>
    <n v="19"/>
    <n v="38"/>
    <s v="Sale"/>
    <s v="Paypal"/>
  </r>
  <r>
    <n v="5830"/>
    <x v="12"/>
    <x v="12"/>
    <d v="2025-04-09T00:00:00"/>
    <x v="6"/>
    <s v="Ceramic Mug Set"/>
    <x v="2"/>
    <n v="2"/>
    <n v="27"/>
    <n v="54"/>
    <s v="Sale"/>
    <s v="Credit Card"/>
  </r>
  <r>
    <n v="5831"/>
    <x v="33"/>
    <x v="33"/>
    <d v="2025-08-16T00:00:00"/>
    <x v="1"/>
    <s v="Non-Stick Pan Set"/>
    <x v="2"/>
    <n v="1"/>
    <n v="60"/>
    <n v="60"/>
    <s v="Sale"/>
    <s v="Credit Card"/>
  </r>
  <r>
    <n v="5832"/>
    <x v="30"/>
    <x v="30"/>
    <d v="2025-12-25T00:00:00"/>
    <x v="5"/>
    <s v="Wool Blanket"/>
    <x v="0"/>
    <n v="2"/>
    <n v="70"/>
    <n v="140"/>
    <s v="Sale"/>
    <s v="Credit Card"/>
  </r>
  <r>
    <n v="5833"/>
    <x v="32"/>
    <x v="32"/>
    <d v="2025-06-25T00:00:00"/>
    <x v="8"/>
    <s v="Cotton Bedsheet Set"/>
    <x v="0"/>
    <n v="3"/>
    <n v="52"/>
    <n v="156"/>
    <s v="Sale"/>
    <s v="Credit Card"/>
  </r>
  <r>
    <n v="5834"/>
    <x v="73"/>
    <x v="72"/>
    <d v="2025-07-06T00:00:00"/>
    <x v="10"/>
    <s v="Wall Mirror"/>
    <x v="1"/>
    <n v="2"/>
    <n v="65"/>
    <n v="130"/>
    <s v="Sale"/>
    <s v="Credit Card"/>
  </r>
  <r>
    <n v="5835"/>
    <x v="59"/>
    <x v="58"/>
    <d v="2025-05-28T00:00:00"/>
    <x v="2"/>
    <s v="Memory Foam Pillow"/>
    <x v="0"/>
    <n v="2"/>
    <n v="35"/>
    <n v="70"/>
    <s v="Sale"/>
    <s v="Unknown"/>
  </r>
  <r>
    <n v="5836"/>
    <x v="35"/>
    <x v="35"/>
    <d v="2025-09-01T00:00:00"/>
    <x v="11"/>
    <s v="Wool Blanket"/>
    <x v="0"/>
    <n v="3"/>
    <n v="67"/>
    <n v="201"/>
    <s v="Sale"/>
    <s v="Debit Card"/>
  </r>
  <r>
    <n v="5837"/>
    <x v="32"/>
    <x v="32"/>
    <d v="2025-08-07T00:00:00"/>
    <x v="1"/>
    <s v="Table Lamp"/>
    <x v="3"/>
    <n v="2"/>
    <n v="45"/>
    <n v="90"/>
    <s v="Sale"/>
    <s v="Debit Card"/>
  </r>
  <r>
    <n v="5838"/>
    <x v="25"/>
    <x v="25"/>
    <d v="2025-02-17T00:00:00"/>
    <x v="7"/>
    <s v="Ceramic Mug Set"/>
    <x v="2"/>
    <n v="3"/>
    <n v="24"/>
    <n v="72"/>
    <s v="Sale"/>
    <s v="Paypal"/>
  </r>
  <r>
    <n v="5839"/>
    <x v="83"/>
    <x v="80"/>
    <d v="2025-10-23T00:00:00"/>
    <x v="4"/>
    <s v="String Lights"/>
    <x v="3"/>
    <n v="3"/>
    <n v="18"/>
    <n v="54"/>
    <s v="Sale"/>
    <s v="Credit Card"/>
  </r>
  <r>
    <n v="5840"/>
    <x v="58"/>
    <x v="42"/>
    <d v="2025-06-07T00:00:00"/>
    <x v="8"/>
    <s v="Throw Pillow"/>
    <x v="1"/>
    <n v="2"/>
    <n v="22"/>
    <n v="44"/>
    <s v="Sale"/>
    <s v="Paypal"/>
  </r>
  <r>
    <n v="5841"/>
    <x v="83"/>
    <x v="80"/>
    <d v="2025-03-29T00:00:00"/>
    <x v="3"/>
    <s v="Ceramic Mug Set"/>
    <x v="2"/>
    <n v="3"/>
    <n v="23.742857142857144"/>
    <n v="71.228571428571428"/>
    <s v="Sale"/>
    <s v="Debit Card"/>
  </r>
  <r>
    <n v="5842"/>
    <x v="77"/>
    <x v="75"/>
    <d v="2025-11-06T00:00:00"/>
    <x v="0"/>
    <s v="Cotton Bedsheet Set"/>
    <x v="0"/>
    <n v="3"/>
    <n v="55"/>
    <n v="165"/>
    <s v="Sale"/>
    <s v="Paypal"/>
  </r>
  <r>
    <n v="5843"/>
    <x v="50"/>
    <x v="50"/>
    <d v="2025-12-05T00:00:00"/>
    <x v="5"/>
    <s v="Table Lamp"/>
    <x v="3"/>
    <n v="1"/>
    <n v="42"/>
    <n v="42"/>
    <s v="Sale"/>
    <s v="Credit Card"/>
  </r>
  <r>
    <n v="5844"/>
    <x v="35"/>
    <x v="35"/>
    <d v="2025-02-05T00:00:00"/>
    <x v="7"/>
    <s v="Table Lamp"/>
    <x v="3"/>
    <n v="1"/>
    <n v="45"/>
    <n v="45"/>
    <s v="Sale"/>
    <s v="Paypal"/>
  </r>
  <r>
    <n v="5845"/>
    <x v="90"/>
    <x v="87"/>
    <d v="2025-02-03T00:00:00"/>
    <x v="7"/>
    <s v="Ceramic Vase"/>
    <x v="1"/>
    <n v="3"/>
    <n v="28"/>
    <n v="84"/>
    <s v="Sale"/>
    <s v="Credit Card"/>
  </r>
  <r>
    <n v="5846"/>
    <x v="103"/>
    <x v="99"/>
    <d v="2025-04-06T00:00:00"/>
    <x v="6"/>
    <s v="Wool Blanket"/>
    <x v="0"/>
    <n v="1"/>
    <n v="70"/>
    <n v="70"/>
    <s v="Sale"/>
    <s v="Debit Card"/>
  </r>
  <r>
    <n v="5847"/>
    <x v="106"/>
    <x v="102"/>
    <d v="2025-03-05T00:00:00"/>
    <x v="3"/>
    <s v="Table Lamp"/>
    <x v="3"/>
    <n v="1"/>
    <n v="45"/>
    <n v="45"/>
    <s v="Sale"/>
    <s v="Debit Card"/>
  </r>
  <r>
    <n v="5848"/>
    <x v="49"/>
    <x v="49"/>
    <d v="2025-05-23T00:00:00"/>
    <x v="2"/>
    <s v="Ceramic Mug Set"/>
    <x v="2"/>
    <n v="2"/>
    <n v="24"/>
    <n v="48"/>
    <s v="Sale"/>
    <s v="Credit Card"/>
  </r>
  <r>
    <n v="5849"/>
    <x v="95"/>
    <x v="92"/>
    <d v="2025-08-21T00:00:00"/>
    <x v="1"/>
    <s v="Wall Mirror"/>
    <x v="1"/>
    <n v="1"/>
    <n v="68"/>
    <n v="68"/>
    <s v="Sale"/>
    <s v="Paypal"/>
  </r>
  <r>
    <n v="5850"/>
    <x v="33"/>
    <x v="33"/>
    <d v="2025-05-06T00:00:00"/>
    <x v="2"/>
    <s v="Table Lamp"/>
    <x v="3"/>
    <n v="3"/>
    <n v="45"/>
    <n v="135"/>
    <s v="Sale"/>
    <s v="Debit Card"/>
  </r>
  <r>
    <n v="5851"/>
    <x v="4"/>
    <x v="4"/>
    <d v="2025-12-10T00:00:00"/>
    <x v="5"/>
    <s v="Throw Pillow"/>
    <x v="1"/>
    <n v="2"/>
    <n v="22"/>
    <n v="44"/>
    <s v="Sale"/>
    <s v="Credit Card"/>
  </r>
  <r>
    <n v="5852"/>
    <x v="76"/>
    <x v="46"/>
    <d v="2025-12-20T00:00:00"/>
    <x v="5"/>
    <s v="Memory Foam Pillow"/>
    <x v="0"/>
    <n v="3"/>
    <n v="32"/>
    <n v="96"/>
    <s v="Sale"/>
    <s v="Paypal"/>
  </r>
  <r>
    <n v="5853"/>
    <x v="91"/>
    <x v="88"/>
    <d v="2025-04-23T00:00:00"/>
    <x v="6"/>
    <s v="Cutting Board"/>
    <x v="2"/>
    <n v="1"/>
    <n v="19"/>
    <n v="19"/>
    <s v="Sale"/>
    <s v="Paypal"/>
  </r>
  <r>
    <n v="5854"/>
    <x v="94"/>
    <x v="91"/>
    <d v="2025-07-13T00:00:00"/>
    <x v="10"/>
    <s v="Cutting Board"/>
    <x v="2"/>
    <n v="1"/>
    <n v="22"/>
    <n v="22"/>
    <s v="Sale"/>
    <s v="Debit Card"/>
  </r>
  <r>
    <n v="5855"/>
    <x v="110"/>
    <x v="105"/>
    <d v="2025-11-06T00:00:00"/>
    <x v="0"/>
    <s v="Ceramic Mug Set"/>
    <x v="2"/>
    <n v="1"/>
    <n v="24"/>
    <n v="24"/>
    <s v="Sale"/>
    <s v="Credit Card"/>
  </r>
  <r>
    <n v="5856"/>
    <x v="16"/>
    <x v="16"/>
    <d v="2025-04-22T00:00:00"/>
    <x v="6"/>
    <s v="Memory Foam Pillow"/>
    <x v="0"/>
    <n v="2"/>
    <n v="29"/>
    <n v="58"/>
    <s v="Sale"/>
    <s v="Unknown"/>
  </r>
  <r>
    <n v="5857"/>
    <x v="3"/>
    <x v="3"/>
    <d v="2025-12-03T00:00:00"/>
    <x v="5"/>
    <s v="Cutting Board"/>
    <x v="2"/>
    <n v="3"/>
    <n v="22"/>
    <n v="66"/>
    <s v="Sale"/>
    <s v="Unknown"/>
  </r>
  <r>
    <n v="5858"/>
    <x v="54"/>
    <x v="54"/>
    <d v="2025-11-03T00:00:00"/>
    <x v="0"/>
    <s v="Memory Foam Pillow"/>
    <x v="0"/>
    <n v="3"/>
    <n v="32"/>
    <n v="96"/>
    <s v="Sale"/>
    <s v="Debit Card"/>
  </r>
  <r>
    <n v="5859"/>
    <x v="85"/>
    <x v="82"/>
    <d v="2025-01-06T00:00:00"/>
    <x v="9"/>
    <s v="Throw Pillow"/>
    <x v="1"/>
    <n v="3"/>
    <n v="22"/>
    <n v="66"/>
    <s v="Sale"/>
    <s v="Paypal"/>
  </r>
  <r>
    <n v="5860"/>
    <x v="0"/>
    <x v="0"/>
    <d v="2025-05-27T00:00:00"/>
    <x v="2"/>
    <s v="Cutting Board"/>
    <x v="2"/>
    <n v="1"/>
    <n v="22"/>
    <n v="22"/>
    <s v="Sale"/>
    <s v="Debit Card"/>
  </r>
  <r>
    <n v="5861"/>
    <x v="77"/>
    <x v="75"/>
    <d v="2025-07-31T00:00:00"/>
    <x v="10"/>
    <s v="Wool Blanket"/>
    <x v="0"/>
    <n v="3"/>
    <n v="70"/>
    <n v="210"/>
    <s v="Sale"/>
    <s v="Debit Card"/>
  </r>
  <r>
    <n v="5862"/>
    <x v="73"/>
    <x v="72"/>
    <d v="2025-01-07T00:00:00"/>
    <x v="9"/>
    <s v="Cutting Board"/>
    <x v="2"/>
    <n v="1"/>
    <n v="19"/>
    <n v="19"/>
    <s v="Sale"/>
    <s v="Credit Card"/>
  </r>
  <r>
    <n v="5863"/>
    <x v="14"/>
    <x v="14"/>
    <d v="2025-01-13T00:00:00"/>
    <x v="9"/>
    <s v="String Lights"/>
    <x v="3"/>
    <n v="1"/>
    <n v="15"/>
    <n v="15"/>
    <s v="Sale"/>
    <s v="Unknown"/>
  </r>
  <r>
    <n v="5864"/>
    <x v="46"/>
    <x v="46"/>
    <d v="2025-01-03T00:00:00"/>
    <x v="9"/>
    <s v="String Lights"/>
    <x v="3"/>
    <n v="1"/>
    <n v="15"/>
    <n v="15"/>
    <s v="Sale"/>
    <s v="Credit Card"/>
  </r>
  <r>
    <n v="5865"/>
    <x v="77"/>
    <x v="75"/>
    <d v="2025-10-24T00:00:00"/>
    <x v="4"/>
    <s v="Throw Pillow"/>
    <x v="1"/>
    <n v="-2"/>
    <n v="22"/>
    <n v="-44"/>
    <s v="Return"/>
    <s v="Unknown"/>
  </r>
  <r>
    <n v="5866"/>
    <x v="83"/>
    <x v="80"/>
    <d v="2025-05-15T00:00:00"/>
    <x v="2"/>
    <s v="Non-Stick Pan Set"/>
    <x v="2"/>
    <n v="2"/>
    <n v="60"/>
    <n v="120"/>
    <s v="Sale"/>
    <s v="Paypal"/>
  </r>
  <r>
    <n v="5867"/>
    <x v="35"/>
    <x v="35"/>
    <d v="2025-11-08T00:00:00"/>
    <x v="0"/>
    <s v="Floor Lamp"/>
    <x v="3"/>
    <n v="1"/>
    <n v="89"/>
    <n v="89"/>
    <s v="Sale"/>
    <s v="Paypal"/>
  </r>
  <r>
    <n v="5868"/>
    <x v="12"/>
    <x v="12"/>
    <d v="2025-05-02T00:00:00"/>
    <x v="2"/>
    <s v="Wool Blanket"/>
    <x v="0"/>
    <n v="2"/>
    <n v="70"/>
    <n v="140"/>
    <s v="Sale"/>
    <s v="Debit Card"/>
  </r>
  <r>
    <n v="5869"/>
    <x v="3"/>
    <x v="3"/>
    <d v="2025-04-09T00:00:00"/>
    <x v="6"/>
    <s v="Ceramic Vase"/>
    <x v="1"/>
    <n v="2"/>
    <n v="31"/>
    <n v="62"/>
    <s v="Sale"/>
    <s v="Credit Card"/>
  </r>
  <r>
    <n v="5870"/>
    <x v="20"/>
    <x v="20"/>
    <d v="2025-01-22T00:00:00"/>
    <x v="9"/>
    <s v="String Lights"/>
    <x v="3"/>
    <n v="1"/>
    <n v="18"/>
    <n v="18"/>
    <s v="Sale"/>
    <s v="Paypal"/>
  </r>
  <r>
    <n v="5871"/>
    <x v="50"/>
    <x v="50"/>
    <d v="2025-03-31T00:00:00"/>
    <x v="3"/>
    <s v="Wool Blanket"/>
    <x v="0"/>
    <n v="2"/>
    <n v="73"/>
    <n v="146"/>
    <s v="Sale"/>
    <s v="Paypal"/>
  </r>
  <r>
    <n v="5872"/>
    <x v="62"/>
    <x v="61"/>
    <d v="2025-10-26T00:00:00"/>
    <x v="4"/>
    <s v="Table Lamp"/>
    <x v="3"/>
    <n v="2"/>
    <n v="42"/>
    <n v="84"/>
    <s v="Sale"/>
    <s v="Credit Card"/>
  </r>
  <r>
    <n v="5873"/>
    <x v="68"/>
    <x v="67"/>
    <d v="2025-11-01T00:00:00"/>
    <x v="0"/>
    <s v="String Lights"/>
    <x v="3"/>
    <n v="2"/>
    <n v="18"/>
    <n v="36"/>
    <s v="Sale"/>
    <s v="Debit Card"/>
  </r>
  <r>
    <n v="5874"/>
    <x v="78"/>
    <x v="76"/>
    <d v="2025-04-25T00:00:00"/>
    <x v="6"/>
    <s v="Memory Foam Pillow"/>
    <x v="0"/>
    <n v="1"/>
    <n v="32"/>
    <n v="32"/>
    <s v="Sale"/>
    <s v="Paypal"/>
  </r>
  <r>
    <n v="5875"/>
    <x v="27"/>
    <x v="27"/>
    <d v="2025-12-06T00:00:00"/>
    <x v="5"/>
    <s v="Ceramic Mug Set"/>
    <x v="2"/>
    <n v="3"/>
    <n v="21"/>
    <n v="63"/>
    <s v="Sale"/>
    <s v="Paypal"/>
  </r>
  <r>
    <n v="5876"/>
    <x v="36"/>
    <x v="36"/>
    <d v="2025-11-17T00:00:00"/>
    <x v="0"/>
    <s v="Floor Lamp"/>
    <x v="3"/>
    <n v="2"/>
    <n v="89"/>
    <n v="178"/>
    <s v="Sale"/>
    <s v="Debit Card"/>
  </r>
  <r>
    <n v="5877"/>
    <x v="56"/>
    <x v="56"/>
    <d v="2025-01-13T00:00:00"/>
    <x v="9"/>
    <s v="Wool Blanket"/>
    <x v="0"/>
    <n v="2"/>
    <n v="70"/>
    <n v="140"/>
    <s v="Sale"/>
    <s v="Debit Card"/>
  </r>
  <r>
    <n v="5878"/>
    <x v="37"/>
    <x v="37"/>
    <d v="2025-08-06T00:00:00"/>
    <x v="1"/>
    <s v="Non-Stick Pan Set"/>
    <x v="2"/>
    <n v="3"/>
    <n v="57"/>
    <n v="171"/>
    <s v="Sale"/>
    <s v="Paypal"/>
  </r>
  <r>
    <n v="5879"/>
    <x v="70"/>
    <x v="69"/>
    <d v="2025-01-23T00:00:00"/>
    <x v="9"/>
    <s v="Cutting Board"/>
    <x v="2"/>
    <n v="1"/>
    <n v="22"/>
    <n v="22"/>
    <s v="Sale"/>
    <s v="Paypal"/>
  </r>
  <r>
    <n v="5880"/>
    <x v="73"/>
    <x v="72"/>
    <d v="2025-05-21T00:00:00"/>
    <x v="2"/>
    <s v="Floor Lamp"/>
    <x v="3"/>
    <n v="2"/>
    <n v="92"/>
    <n v="184"/>
    <s v="Sale"/>
    <s v="Debit Card"/>
  </r>
  <r>
    <n v="5881"/>
    <x v="96"/>
    <x v="93"/>
    <d v="2025-04-17T00:00:00"/>
    <x v="6"/>
    <s v="Memory Foam Pillow"/>
    <x v="0"/>
    <n v="1"/>
    <n v="32"/>
    <n v="32"/>
    <s v="Sale"/>
    <s v="Paypal"/>
  </r>
  <r>
    <n v="5882"/>
    <x v="18"/>
    <x v="18"/>
    <d v="2025-07-05T00:00:00"/>
    <x v="10"/>
    <s v="Cotton Bedsheet Set"/>
    <x v="0"/>
    <n v="2"/>
    <n v="55"/>
    <n v="110"/>
    <s v="Sale"/>
    <s v="Paypal"/>
  </r>
  <r>
    <n v="5883"/>
    <x v="44"/>
    <x v="44"/>
    <d v="2025-10-27T00:00:00"/>
    <x v="4"/>
    <s v="Memory Foam Pillow"/>
    <x v="0"/>
    <n v="2"/>
    <n v="32"/>
    <n v="64"/>
    <s v="Sale"/>
    <s v="Paypal"/>
  </r>
  <r>
    <n v="5884"/>
    <x v="66"/>
    <x v="65"/>
    <d v="2025-07-26T00:00:00"/>
    <x v="10"/>
    <s v="Wool Blanket"/>
    <x v="0"/>
    <n v="2"/>
    <n v="70"/>
    <n v="140"/>
    <s v="Sale"/>
    <s v="Credit Card"/>
  </r>
  <r>
    <n v="5885"/>
    <x v="6"/>
    <x v="6"/>
    <d v="2025-08-24T00:00:00"/>
    <x v="1"/>
    <s v="Throw Pillow"/>
    <x v="1"/>
    <n v="2"/>
    <n v="19"/>
    <n v="38"/>
    <s v="Sale"/>
    <s v="Paypal"/>
  </r>
  <r>
    <n v="5886"/>
    <x v="46"/>
    <x v="46"/>
    <d v="2025-01-09T00:00:00"/>
    <x v="9"/>
    <s v="Wall Mirror"/>
    <x v="1"/>
    <n v="1"/>
    <n v="65"/>
    <n v="65"/>
    <s v="Sale"/>
    <s v="Credit Card"/>
  </r>
  <r>
    <n v="5887"/>
    <x v="40"/>
    <x v="40"/>
    <d v="2025-04-03T00:00:00"/>
    <x v="6"/>
    <s v="Cotton Bedsheet Set"/>
    <x v="0"/>
    <n v="1"/>
    <n v="55"/>
    <n v="55"/>
    <s v="Sale"/>
    <s v="Credit Card"/>
  </r>
  <r>
    <n v="5888"/>
    <x v="62"/>
    <x v="61"/>
    <d v="2025-11-21T00:00:00"/>
    <x v="0"/>
    <s v="Cutting Board"/>
    <x v="2"/>
    <n v="1"/>
    <n v="22"/>
    <n v="22"/>
    <s v="Sale"/>
    <s v="Credit Card"/>
  </r>
  <r>
    <n v="5889"/>
    <x v="21"/>
    <x v="21"/>
    <d v="2025-06-26T00:00:00"/>
    <x v="8"/>
    <s v="Ceramic Vase"/>
    <x v="1"/>
    <n v="1"/>
    <n v="25"/>
    <n v="25"/>
    <s v="Sale"/>
    <s v="Credit Card"/>
  </r>
  <r>
    <n v="5890"/>
    <x v="44"/>
    <x v="44"/>
    <d v="2025-06-21T00:00:00"/>
    <x v="8"/>
    <s v="Throw Pillow"/>
    <x v="1"/>
    <n v="3"/>
    <n v="19"/>
    <n v="57"/>
    <s v="Sale"/>
    <s v="Paypal"/>
  </r>
  <r>
    <n v="5891"/>
    <x v="57"/>
    <x v="57"/>
    <d v="2025-10-23T00:00:00"/>
    <x v="4"/>
    <s v="Memory Foam Pillow"/>
    <x v="0"/>
    <n v="2"/>
    <n v="32.154639175257735"/>
    <n v="64.30927835051547"/>
    <s v="Sale"/>
    <s v="Credit Card"/>
  </r>
  <r>
    <n v="5892"/>
    <x v="24"/>
    <x v="24"/>
    <d v="2025-04-02T00:00:00"/>
    <x v="6"/>
    <s v="Cotton Bedsheet Set"/>
    <x v="0"/>
    <n v="1"/>
    <n v="58"/>
    <n v="58"/>
    <s v="Sale"/>
    <s v="Paypal"/>
  </r>
  <r>
    <n v="5893"/>
    <x v="71"/>
    <x v="70"/>
    <d v="2025-07-08T00:00:00"/>
    <x v="10"/>
    <s v="Wall Mirror"/>
    <x v="1"/>
    <n v="1"/>
    <n v="65"/>
    <n v="65"/>
    <s v="Sale"/>
    <s v="Credit Card"/>
  </r>
  <r>
    <n v="5894"/>
    <x v="85"/>
    <x v="82"/>
    <d v="2025-02-28T00:00:00"/>
    <x v="7"/>
    <s v="String Lights"/>
    <x v="3"/>
    <n v="2"/>
    <n v="18"/>
    <n v="36"/>
    <s v="Sale"/>
    <s v="Debit Card"/>
  </r>
  <r>
    <n v="5895"/>
    <x v="16"/>
    <x v="16"/>
    <d v="2025-10-17T00:00:00"/>
    <x v="4"/>
    <s v="Table Lamp"/>
    <x v="3"/>
    <n v="1"/>
    <n v="42"/>
    <n v="42"/>
    <s v="Sale"/>
    <s v="Credit Card"/>
  </r>
  <r>
    <n v="5896"/>
    <x v="37"/>
    <x v="37"/>
    <d v="2025-01-30T00:00:00"/>
    <x v="9"/>
    <s v="String Lights"/>
    <x v="3"/>
    <n v="3"/>
    <n v="18"/>
    <n v="54"/>
    <s v="Sale"/>
    <s v="Debit Card"/>
  </r>
  <r>
    <n v="5897"/>
    <x v="81"/>
    <x v="78"/>
    <d v="2025-08-16T00:00:00"/>
    <x v="1"/>
    <s v="Memory Foam Pillow"/>
    <x v="0"/>
    <n v="1"/>
    <n v="32"/>
    <n v="32"/>
    <s v="Sale"/>
    <s v="Credit Card"/>
  </r>
  <r>
    <n v="5898"/>
    <x v="81"/>
    <x v="78"/>
    <d v="2025-12-28T00:00:00"/>
    <x v="5"/>
    <s v="Non-Stick Pan Set"/>
    <x v="2"/>
    <n v="1"/>
    <n v="57"/>
    <n v="57"/>
    <s v="Sale"/>
    <s v="Credit Card"/>
  </r>
  <r>
    <n v="5899"/>
    <x v="27"/>
    <x v="27"/>
    <d v="2025-07-12T00:00:00"/>
    <x v="10"/>
    <s v="Memory Foam Pillow"/>
    <x v="0"/>
    <n v="2"/>
    <n v="32"/>
    <n v="64"/>
    <s v="Sale"/>
    <s v="Credit Card"/>
  </r>
  <r>
    <n v="5900"/>
    <x v="0"/>
    <x v="0"/>
    <d v="2025-09-15T00:00:00"/>
    <x v="11"/>
    <s v="Table Lamp"/>
    <x v="3"/>
    <n v="2"/>
    <n v="45"/>
    <n v="90"/>
    <s v="Sale"/>
    <s v="Paypal"/>
  </r>
  <r>
    <n v="5901"/>
    <x v="91"/>
    <x v="88"/>
    <d v="2025-02-16T00:00:00"/>
    <x v="7"/>
    <s v="String Lights"/>
    <x v="3"/>
    <n v="2"/>
    <n v="18"/>
    <n v="36"/>
    <s v="Sale"/>
    <s v="Debit Card"/>
  </r>
  <r>
    <n v="5902"/>
    <x v="33"/>
    <x v="33"/>
    <d v="2025-11-07T00:00:00"/>
    <x v="0"/>
    <s v="String Lights"/>
    <x v="3"/>
    <n v="1"/>
    <n v="18"/>
    <n v="18"/>
    <s v="Sale"/>
    <s v="Debit Card"/>
  </r>
  <r>
    <n v="5903"/>
    <x v="108"/>
    <x v="103"/>
    <d v="2025-01-18T00:00:00"/>
    <x v="9"/>
    <s v="String Lights"/>
    <x v="3"/>
    <n v="1"/>
    <n v="18"/>
    <n v="18"/>
    <s v="Sale"/>
    <s v="Paypal"/>
  </r>
  <r>
    <n v="5904"/>
    <x v="12"/>
    <x v="12"/>
    <d v="2025-10-02T00:00:00"/>
    <x v="4"/>
    <s v="Floor Lamp"/>
    <x v="3"/>
    <n v="2"/>
    <n v="89"/>
    <n v="178"/>
    <s v="Sale"/>
    <s v="Credit Card"/>
  </r>
  <r>
    <n v="5905"/>
    <x v="45"/>
    <x v="45"/>
    <d v="2025-03-21T00:00:00"/>
    <x v="3"/>
    <s v="Cutting Board"/>
    <x v="2"/>
    <n v="1"/>
    <n v="19.095238095238095"/>
    <n v="19.095238095238095"/>
    <s v="Sale"/>
    <s v="Paypal"/>
  </r>
  <r>
    <n v="5906"/>
    <x v="84"/>
    <x v="81"/>
    <d v="2025-03-09T00:00:00"/>
    <x v="3"/>
    <s v="Memory Foam Pillow"/>
    <x v="0"/>
    <n v="3"/>
    <n v="32"/>
    <n v="96"/>
    <s v="Sale"/>
    <s v="Debit Card"/>
  </r>
  <r>
    <n v="5907"/>
    <x v="49"/>
    <x v="49"/>
    <d v="2025-07-22T00:00:00"/>
    <x v="10"/>
    <s v="Memory Foam Pillow"/>
    <x v="0"/>
    <n v="1"/>
    <n v="29"/>
    <n v="29"/>
    <s v="Sale"/>
    <s v="Paypal"/>
  </r>
  <r>
    <n v="5908"/>
    <x v="7"/>
    <x v="7"/>
    <d v="2025-12-16T00:00:00"/>
    <x v="5"/>
    <s v="String Lights"/>
    <x v="3"/>
    <n v="2"/>
    <n v="18"/>
    <n v="36"/>
    <s v="Sale"/>
    <s v="Debit Card"/>
  </r>
  <r>
    <n v="5909"/>
    <x v="12"/>
    <x v="12"/>
    <d v="2025-09-20T00:00:00"/>
    <x v="11"/>
    <s v="Memory Foam Pillow"/>
    <x v="0"/>
    <n v="1"/>
    <n v="32"/>
    <n v="32"/>
    <s v="Sale"/>
    <s v="Debit Card"/>
  </r>
  <r>
    <n v="5910"/>
    <x v="110"/>
    <x v="105"/>
    <d v="2025-05-16T00:00:00"/>
    <x v="2"/>
    <s v="Wool Blanket"/>
    <x v="0"/>
    <n v="1"/>
    <n v="70"/>
    <n v="70"/>
    <s v="Sale"/>
    <s v="Debit Card"/>
  </r>
  <r>
    <n v="5911"/>
    <x v="67"/>
    <x v="66"/>
    <d v="2025-02-25T00:00:00"/>
    <x v="7"/>
    <s v="Table Lamp"/>
    <x v="3"/>
    <n v="2"/>
    <n v="45"/>
    <n v="90"/>
    <s v="Sale"/>
    <s v="Unknown"/>
  </r>
  <r>
    <n v="5912"/>
    <x v="42"/>
    <x v="42"/>
    <d v="2025-06-27T00:00:00"/>
    <x v="8"/>
    <s v="Floor Lamp"/>
    <x v="3"/>
    <n v="3"/>
    <n v="92"/>
    <n v="276"/>
    <s v="Sale"/>
    <s v="Paypal"/>
  </r>
  <r>
    <n v="5913"/>
    <x v="36"/>
    <x v="36"/>
    <d v="2025-03-26T00:00:00"/>
    <x v="3"/>
    <s v="Ceramic Vase"/>
    <x v="1"/>
    <n v="2"/>
    <n v="25"/>
    <n v="50"/>
    <s v="Sale"/>
    <s v="Paypal"/>
  </r>
  <r>
    <n v="5914"/>
    <x v="6"/>
    <x v="6"/>
    <d v="2025-06-10T00:00:00"/>
    <x v="8"/>
    <s v="Memory Foam Pillow"/>
    <x v="0"/>
    <n v="2"/>
    <n v="29"/>
    <n v="58"/>
    <s v="Sale"/>
    <s v="Credit Card"/>
  </r>
  <r>
    <n v="5915"/>
    <x v="71"/>
    <x v="70"/>
    <d v="2025-02-07T00:00:00"/>
    <x v="7"/>
    <s v="Ceramic Mug Set"/>
    <x v="2"/>
    <n v="3"/>
    <n v="23.742857142857144"/>
    <n v="71.228571428571428"/>
    <s v="Sale"/>
    <s v="Paypal"/>
  </r>
  <r>
    <n v="5916"/>
    <x v="9"/>
    <x v="9"/>
    <d v="2025-12-16T00:00:00"/>
    <x v="5"/>
    <s v="Cutting Board"/>
    <x v="2"/>
    <n v="1"/>
    <n v="19"/>
    <n v="19"/>
    <s v="Sale"/>
    <s v="Paypal"/>
  </r>
  <r>
    <n v="5917"/>
    <x v="86"/>
    <x v="83"/>
    <d v="2025-02-13T00:00:00"/>
    <x v="7"/>
    <s v="Ceramic Vase"/>
    <x v="1"/>
    <n v="1"/>
    <n v="31"/>
    <n v="31"/>
    <s v="Sale"/>
    <s v="Debit Card"/>
  </r>
  <r>
    <n v="5918"/>
    <x v="26"/>
    <x v="26"/>
    <d v="2025-11-17T00:00:00"/>
    <x v="0"/>
    <s v="Table Lamp"/>
    <x v="3"/>
    <n v="1"/>
    <n v="48"/>
    <n v="48"/>
    <s v="Sale"/>
    <s v="Paypal"/>
  </r>
  <r>
    <n v="5919"/>
    <x v="91"/>
    <x v="88"/>
    <d v="2025-10-11T00:00:00"/>
    <x v="4"/>
    <s v="Throw Pillow"/>
    <x v="1"/>
    <n v="1"/>
    <n v="22"/>
    <n v="22"/>
    <s v="Sale"/>
    <s v="Paypal"/>
  </r>
  <r>
    <n v="5920"/>
    <x v="5"/>
    <x v="5"/>
    <d v="2025-03-08T00:00:00"/>
    <x v="3"/>
    <s v="Cutting Board"/>
    <x v="2"/>
    <n v="1"/>
    <n v="16"/>
    <n v="16"/>
    <s v="Sale"/>
    <s v="Credit Card"/>
  </r>
  <r>
    <n v="5921"/>
    <x v="28"/>
    <x v="28"/>
    <d v="2025-03-15T00:00:00"/>
    <x v="3"/>
    <s v="String Lights"/>
    <x v="3"/>
    <n v="2"/>
    <n v="15"/>
    <n v="30"/>
    <s v="Sale"/>
    <s v="Debit Card"/>
  </r>
  <r>
    <n v="5922"/>
    <x v="31"/>
    <x v="31"/>
    <d v="2025-02-25T00:00:00"/>
    <x v="7"/>
    <s v="Cutting Board"/>
    <x v="2"/>
    <n v="2"/>
    <n v="19"/>
    <n v="38"/>
    <s v="Sale"/>
    <s v="Debit Card"/>
  </r>
  <r>
    <n v="5923"/>
    <x v="100"/>
    <x v="96"/>
    <d v="2025-08-18T00:00:00"/>
    <x v="1"/>
    <s v="Wall Mirror"/>
    <x v="1"/>
    <n v="2"/>
    <n v="65"/>
    <n v="130"/>
    <s v="Sale"/>
    <s v="Debit Card"/>
  </r>
  <r>
    <n v="5924"/>
    <x v="48"/>
    <x v="48"/>
    <d v="2025-10-10T00:00:00"/>
    <x v="4"/>
    <s v="Wall Mirror"/>
    <x v="1"/>
    <n v="2"/>
    <n v="65"/>
    <n v="130"/>
    <s v="Sale"/>
    <s v="Credit Card"/>
  </r>
  <r>
    <n v="5925"/>
    <x v="7"/>
    <x v="7"/>
    <d v="2025-07-11T00:00:00"/>
    <x v="10"/>
    <s v="String Lights"/>
    <x v="3"/>
    <n v="3"/>
    <n v="15"/>
    <n v="45"/>
    <s v="Sale"/>
    <s v="Paypal"/>
  </r>
  <r>
    <n v="5926"/>
    <x v="77"/>
    <x v="75"/>
    <d v="2025-02-19T00:00:00"/>
    <x v="7"/>
    <s v="Non-Stick Pan Set"/>
    <x v="2"/>
    <n v="1"/>
    <n v="60"/>
    <n v="60"/>
    <s v="Sale"/>
    <s v="Paypal"/>
  </r>
  <r>
    <n v="5927"/>
    <x v="60"/>
    <x v="59"/>
    <d v="2025-03-04T00:00:00"/>
    <x v="3"/>
    <s v="Throw Pillow"/>
    <x v="1"/>
    <n v="1"/>
    <n v="22"/>
    <n v="22"/>
    <s v="Sale"/>
    <s v="Unknown"/>
  </r>
  <r>
    <n v="5928"/>
    <x v="10"/>
    <x v="10"/>
    <d v="2025-12-21T00:00:00"/>
    <x v="5"/>
    <s v="Floor Lamp"/>
    <x v="3"/>
    <n v="1"/>
    <n v="89"/>
    <n v="89"/>
    <s v="Sale"/>
    <s v="Credit Card"/>
  </r>
  <r>
    <n v="5929"/>
    <x v="47"/>
    <x v="47"/>
    <d v="2025-01-23T00:00:00"/>
    <x v="9"/>
    <s v="Ceramic Mug Set"/>
    <x v="2"/>
    <n v="1"/>
    <n v="24"/>
    <n v="24"/>
    <s v="Sale"/>
    <s v="Debit Card"/>
  </r>
  <r>
    <n v="5930"/>
    <x v="15"/>
    <x v="15"/>
    <d v="2025-06-30T00:00:00"/>
    <x v="8"/>
    <s v="Ceramic Vase"/>
    <x v="1"/>
    <n v="3"/>
    <n v="28"/>
    <n v="84"/>
    <s v="Sale"/>
    <s v="Credit Card"/>
  </r>
  <r>
    <n v="5931"/>
    <x v="75"/>
    <x v="74"/>
    <d v="2025-06-02T00:00:00"/>
    <x v="8"/>
    <s v="Wall Mirror"/>
    <x v="1"/>
    <n v="3"/>
    <n v="62"/>
    <n v="186"/>
    <s v="Sale"/>
    <s v="Debit Card"/>
  </r>
  <r>
    <n v="5932"/>
    <x v="65"/>
    <x v="64"/>
    <d v="2025-01-21T00:00:00"/>
    <x v="9"/>
    <s v="Ceramic Vase"/>
    <x v="1"/>
    <n v="2"/>
    <n v="31"/>
    <n v="62"/>
    <s v="Sale"/>
    <s v="Paypal"/>
  </r>
  <r>
    <n v="5933"/>
    <x v="54"/>
    <x v="54"/>
    <d v="2025-03-10T00:00:00"/>
    <x v="3"/>
    <s v="Throw Pillow"/>
    <x v="1"/>
    <n v="-1"/>
    <n v="22"/>
    <n v="-22"/>
    <s v="Return"/>
    <s v="Debit Card"/>
  </r>
  <r>
    <n v="5934"/>
    <x v="29"/>
    <x v="29"/>
    <d v="2025-01-01T00:00:00"/>
    <x v="9"/>
    <s v="Cutting Board"/>
    <x v="2"/>
    <n v="1"/>
    <n v="19"/>
    <n v="19"/>
    <s v="Sale"/>
    <s v="Paypal"/>
  </r>
  <r>
    <n v="5935"/>
    <x v="104"/>
    <x v="100"/>
    <d v="2025-03-18T00:00:00"/>
    <x v="3"/>
    <s v="Wool Blanket"/>
    <x v="0"/>
    <n v="2"/>
    <n v="73"/>
    <n v="146"/>
    <s v="Sale"/>
    <s v="Debit Card"/>
  </r>
  <r>
    <n v="5936"/>
    <x v="57"/>
    <x v="57"/>
    <d v="2025-12-15T00:00:00"/>
    <x v="5"/>
    <s v="Table Lamp"/>
    <x v="3"/>
    <n v="1"/>
    <n v="48"/>
    <n v="48"/>
    <s v="Sale"/>
    <s v="Credit Card"/>
  </r>
  <r>
    <n v="5937"/>
    <x v="8"/>
    <x v="8"/>
    <d v="2025-06-03T00:00:00"/>
    <x v="8"/>
    <s v="Cotton Bedsheet Set"/>
    <x v="0"/>
    <n v="1"/>
    <n v="58"/>
    <n v="58"/>
    <s v="Sale"/>
    <s v="Debit Card"/>
  </r>
  <r>
    <n v="5938"/>
    <x v="57"/>
    <x v="57"/>
    <d v="2025-12-28T00:00:00"/>
    <x v="5"/>
    <s v="Cutting Board"/>
    <x v="2"/>
    <n v="2"/>
    <n v="19.095238095238095"/>
    <n v="38.19047619047619"/>
    <s v="Sale"/>
    <s v="Debit Card"/>
  </r>
  <r>
    <n v="5939"/>
    <x v="38"/>
    <x v="38"/>
    <d v="2025-07-23T00:00:00"/>
    <x v="10"/>
    <s v="Cutting Board"/>
    <x v="2"/>
    <n v="2"/>
    <n v="16"/>
    <n v="32"/>
    <s v="Sale"/>
    <s v="Credit Card"/>
  </r>
  <r>
    <n v="5940"/>
    <x v="92"/>
    <x v="89"/>
    <d v="2025-02-09T00:00:00"/>
    <x v="7"/>
    <s v="Memory Foam Pillow"/>
    <x v="0"/>
    <n v="2"/>
    <n v="32"/>
    <n v="64"/>
    <s v="Sale"/>
    <s v="Debit Card"/>
  </r>
  <r>
    <n v="5941"/>
    <x v="28"/>
    <x v="28"/>
    <d v="2025-11-28T00:00:00"/>
    <x v="0"/>
    <s v="Memory Foam Pillow"/>
    <x v="0"/>
    <n v="2"/>
    <n v="35"/>
    <n v="70"/>
    <s v="Sale"/>
    <s v="Paypal"/>
  </r>
  <r>
    <n v="5942"/>
    <x v="93"/>
    <x v="90"/>
    <d v="2025-05-11T00:00:00"/>
    <x v="2"/>
    <s v="Wool Blanket"/>
    <x v="0"/>
    <n v="2"/>
    <n v="70"/>
    <n v="140"/>
    <s v="Sale"/>
    <s v="Credit Card"/>
  </r>
  <r>
    <n v="5943"/>
    <x v="92"/>
    <x v="89"/>
    <d v="2025-06-26T00:00:00"/>
    <x v="8"/>
    <s v="Wool Blanket"/>
    <x v="0"/>
    <n v="2"/>
    <n v="70"/>
    <n v="140"/>
    <s v="Sale"/>
    <s v="Paypal"/>
  </r>
  <r>
    <n v="5944"/>
    <x v="58"/>
    <x v="42"/>
    <d v="2025-04-24T00:00:00"/>
    <x v="6"/>
    <s v="Table Lamp"/>
    <x v="3"/>
    <n v="1"/>
    <n v="45"/>
    <n v="45"/>
    <s v="Sale"/>
    <s v="Credit Card"/>
  </r>
  <r>
    <n v="5945"/>
    <x v="76"/>
    <x v="46"/>
    <d v="2025-03-08T00:00:00"/>
    <x v="3"/>
    <s v="Wool Blanket"/>
    <x v="0"/>
    <n v="3"/>
    <n v="73"/>
    <n v="219"/>
    <s v="Sale"/>
    <s v="Debit Card"/>
  </r>
  <r>
    <n v="5946"/>
    <x v="91"/>
    <x v="88"/>
    <d v="2025-11-20T00:00:00"/>
    <x v="0"/>
    <s v="Cutting Board"/>
    <x v="2"/>
    <n v="2"/>
    <n v="19"/>
    <n v="38"/>
    <s v="Sale"/>
    <s v="Credit Card"/>
  </r>
  <r>
    <n v="5947"/>
    <x v="36"/>
    <x v="36"/>
    <d v="2025-08-27T00:00:00"/>
    <x v="1"/>
    <s v="Throw Pillow"/>
    <x v="1"/>
    <n v="1"/>
    <n v="25"/>
    <n v="25"/>
    <s v="Sale"/>
    <s v="Paypal"/>
  </r>
  <r>
    <n v="5948"/>
    <x v="30"/>
    <x v="30"/>
    <d v="2025-07-09T00:00:00"/>
    <x v="10"/>
    <s v="Floor Lamp"/>
    <x v="3"/>
    <n v="1"/>
    <n v="86"/>
    <n v="86"/>
    <s v="Sale"/>
    <s v="Debit Card"/>
  </r>
  <r>
    <n v="5949"/>
    <x v="48"/>
    <x v="48"/>
    <d v="2025-02-27T00:00:00"/>
    <x v="7"/>
    <s v="Non-Stick Pan Set"/>
    <x v="2"/>
    <n v="1"/>
    <n v="60"/>
    <n v="60"/>
    <s v="Sale"/>
    <s v="Unknown"/>
  </r>
  <r>
    <n v="5950"/>
    <x v="98"/>
    <x v="95"/>
    <d v="2025-10-29T00:00:00"/>
    <x v="4"/>
    <s v="Ceramic Vase"/>
    <x v="1"/>
    <n v="2"/>
    <n v="28.327272727272728"/>
    <n v="56.654545454545456"/>
    <s v="Sale"/>
    <s v="Paypal"/>
  </r>
  <r>
    <n v="5951"/>
    <x v="43"/>
    <x v="43"/>
    <d v="2025-02-01T00:00:00"/>
    <x v="7"/>
    <s v="Throw Pillow"/>
    <x v="1"/>
    <n v="1"/>
    <n v="22"/>
    <n v="22"/>
    <s v="Sale"/>
    <s v="Debit Card"/>
  </r>
  <r>
    <n v="5952"/>
    <x v="77"/>
    <x v="75"/>
    <d v="2025-01-14T00:00:00"/>
    <x v="9"/>
    <s v="Wool Blanket"/>
    <x v="0"/>
    <n v="2"/>
    <n v="70"/>
    <n v="140"/>
    <s v="Sale"/>
    <s v="Credit Card"/>
  </r>
  <r>
    <n v="5953"/>
    <x v="91"/>
    <x v="88"/>
    <d v="2025-12-30T00:00:00"/>
    <x v="5"/>
    <s v="Wool Blanket"/>
    <x v="0"/>
    <n v="2"/>
    <n v="70"/>
    <n v="140"/>
    <s v="Sale"/>
    <s v="Credit Card"/>
  </r>
  <r>
    <n v="5954"/>
    <x v="19"/>
    <x v="19"/>
    <d v="2025-05-11T00:00:00"/>
    <x v="2"/>
    <s v="Floor Lamp"/>
    <x v="3"/>
    <n v="1"/>
    <n v="86"/>
    <n v="86"/>
    <s v="Sale"/>
    <s v="Paypal"/>
  </r>
  <r>
    <n v="5955"/>
    <x v="5"/>
    <x v="5"/>
    <d v="2025-09-28T00:00:00"/>
    <x v="11"/>
    <s v="Cutting Board"/>
    <x v="2"/>
    <n v="1"/>
    <n v="22"/>
    <n v="22"/>
    <s v="Sale"/>
    <s v="Paypal"/>
  </r>
  <r>
    <n v="5956"/>
    <x v="12"/>
    <x v="12"/>
    <d v="2025-06-28T00:00:00"/>
    <x v="8"/>
    <s v="Floor Lamp"/>
    <x v="3"/>
    <n v="1"/>
    <n v="86"/>
    <n v="86"/>
    <s v="Sale"/>
    <s v="Credit Card"/>
  </r>
  <r>
    <n v="5957"/>
    <x v="98"/>
    <x v="95"/>
    <d v="2025-02-04T00:00:00"/>
    <x v="7"/>
    <s v="Table Lamp"/>
    <x v="3"/>
    <n v="2"/>
    <n v="45"/>
    <n v="90"/>
    <s v="Sale"/>
    <s v="Debit Card"/>
  </r>
  <r>
    <n v="5958"/>
    <x v="86"/>
    <x v="83"/>
    <d v="2025-07-29T00:00:00"/>
    <x v="10"/>
    <s v="Floor Lamp"/>
    <x v="3"/>
    <n v="1"/>
    <n v="86"/>
    <n v="86"/>
    <s v="Sale"/>
    <s v="Paypal"/>
  </r>
  <r>
    <n v="5959"/>
    <x v="25"/>
    <x v="25"/>
    <d v="2025-06-25T00:00:00"/>
    <x v="8"/>
    <s v="Memory Foam Pillow"/>
    <x v="0"/>
    <n v="2"/>
    <n v="32"/>
    <n v="64"/>
    <s v="Sale"/>
    <s v="Credit Card"/>
  </r>
  <r>
    <n v="5960"/>
    <x v="84"/>
    <x v="81"/>
    <d v="2025-12-16T00:00:00"/>
    <x v="5"/>
    <s v="Ceramic Vase"/>
    <x v="1"/>
    <n v="3"/>
    <n v="31"/>
    <n v="93"/>
    <s v="Sale"/>
    <s v="Debit Card"/>
  </r>
  <r>
    <n v="5961"/>
    <x v="32"/>
    <x v="32"/>
    <d v="2025-12-14T00:00:00"/>
    <x v="5"/>
    <s v="Non-Stick Pan Set"/>
    <x v="2"/>
    <n v="3"/>
    <n v="57"/>
    <n v="171"/>
    <s v="Sale"/>
    <s v="Debit Card"/>
  </r>
  <r>
    <n v="5962"/>
    <x v="85"/>
    <x v="82"/>
    <d v="2025-09-08T00:00:00"/>
    <x v="11"/>
    <s v="Ceramic Vase"/>
    <x v="1"/>
    <n v="1"/>
    <n v="28"/>
    <n v="28"/>
    <s v="Sale"/>
    <s v="Credit Card"/>
  </r>
  <r>
    <n v="5963"/>
    <x v="68"/>
    <x v="67"/>
    <d v="2025-11-24T00:00:00"/>
    <x v="0"/>
    <s v="Throw Pillow"/>
    <x v="1"/>
    <n v="1"/>
    <n v="22"/>
    <n v="22"/>
    <s v="Sale"/>
    <s v="Credit Card"/>
  </r>
  <r>
    <n v="5964"/>
    <x v="102"/>
    <x v="98"/>
    <d v="2025-06-16T00:00:00"/>
    <x v="8"/>
    <s v="Throw Pillow"/>
    <x v="1"/>
    <n v="1"/>
    <n v="22"/>
    <n v="22"/>
    <s v="Sale"/>
    <s v="Credit Card"/>
  </r>
  <r>
    <n v="5965"/>
    <x v="12"/>
    <x v="12"/>
    <d v="2025-06-15T00:00:00"/>
    <x v="8"/>
    <s v="Wall Mirror"/>
    <x v="1"/>
    <n v="2"/>
    <n v="65"/>
    <n v="130"/>
    <s v="Sale"/>
    <s v="Debit Card"/>
  </r>
  <r>
    <n v="5966"/>
    <x v="24"/>
    <x v="24"/>
    <d v="2025-08-20T00:00:00"/>
    <x v="1"/>
    <s v="Throw Pillow"/>
    <x v="1"/>
    <n v="1"/>
    <n v="19"/>
    <n v="19"/>
    <s v="Sale"/>
    <s v="Debit Card"/>
  </r>
  <r>
    <n v="5967"/>
    <x v="98"/>
    <x v="95"/>
    <d v="2025-03-07T00:00:00"/>
    <x v="3"/>
    <s v="String Lights"/>
    <x v="3"/>
    <n v="1"/>
    <n v="18"/>
    <n v="18"/>
    <s v="Sale"/>
    <s v="Credit Card"/>
  </r>
  <r>
    <n v="5968"/>
    <x v="80"/>
    <x v="77"/>
    <d v="2025-09-11T00:00:00"/>
    <x v="11"/>
    <s v="Wall Mirror"/>
    <x v="1"/>
    <n v="2"/>
    <n v="65"/>
    <n v="130"/>
    <s v="Sale"/>
    <s v="Paypal"/>
  </r>
  <r>
    <n v="5969"/>
    <x v="60"/>
    <x v="59"/>
    <d v="2025-10-13T00:00:00"/>
    <x v="4"/>
    <s v="Non-Stick Pan Set"/>
    <x v="2"/>
    <n v="1"/>
    <n v="60"/>
    <n v="60"/>
    <s v="Sale"/>
    <s v="Paypal"/>
  </r>
  <r>
    <n v="5970"/>
    <x v="105"/>
    <x v="101"/>
    <d v="2025-07-20T00:00:00"/>
    <x v="10"/>
    <s v="Cutting Board"/>
    <x v="2"/>
    <n v="2"/>
    <n v="22"/>
    <n v="44"/>
    <s v="Sale"/>
    <s v="Paypal"/>
  </r>
  <r>
    <n v="5971"/>
    <x v="30"/>
    <x v="30"/>
    <d v="2025-06-19T00:00:00"/>
    <x v="8"/>
    <s v="String Lights"/>
    <x v="3"/>
    <n v="1"/>
    <n v="18"/>
    <n v="18"/>
    <s v="Sale"/>
    <s v="Paypal"/>
  </r>
  <r>
    <n v="5972"/>
    <x v="63"/>
    <x v="62"/>
    <d v="2025-11-19T00:00:00"/>
    <x v="0"/>
    <s v="Memory Foam Pillow"/>
    <x v="0"/>
    <n v="1"/>
    <n v="32"/>
    <n v="32"/>
    <s v="Sale"/>
    <s v="Paypal"/>
  </r>
  <r>
    <n v="5973"/>
    <x v="65"/>
    <x v="64"/>
    <d v="2025-01-14T00:00:00"/>
    <x v="9"/>
    <s v="Table Lamp"/>
    <x v="3"/>
    <n v="1"/>
    <n v="45.091836734693878"/>
    <n v="45.091836734693878"/>
    <s v="Sale"/>
    <s v="Paypal"/>
  </r>
  <r>
    <n v="5974"/>
    <x v="94"/>
    <x v="91"/>
    <d v="2025-11-14T00:00:00"/>
    <x v="0"/>
    <s v="Ceramic Mug Set"/>
    <x v="2"/>
    <n v="2"/>
    <n v="24"/>
    <n v="48"/>
    <s v="Sale"/>
    <s v="Paypal"/>
  </r>
  <r>
    <n v="5975"/>
    <x v="79"/>
    <x v="23"/>
    <d v="2025-09-14T00:00:00"/>
    <x v="11"/>
    <s v="Cutting Board"/>
    <x v="2"/>
    <n v="1"/>
    <n v="19"/>
    <n v="19"/>
    <s v="Sale"/>
    <s v="Credit Card"/>
  </r>
  <r>
    <n v="5976"/>
    <x v="86"/>
    <x v="83"/>
    <d v="2025-09-26T00:00:00"/>
    <x v="11"/>
    <s v="Cotton Bedsheet Set"/>
    <x v="0"/>
    <n v="3"/>
    <n v="55"/>
    <n v="165"/>
    <s v="Sale"/>
    <s v="Debit Card"/>
  </r>
  <r>
    <n v="5977"/>
    <x v="2"/>
    <x v="2"/>
    <d v="2025-12-25T00:00:00"/>
    <x v="5"/>
    <s v="Non-Stick Pan Set"/>
    <x v="2"/>
    <n v="1"/>
    <n v="63"/>
    <n v="63"/>
    <s v="Sale"/>
    <s v="Debit Card"/>
  </r>
  <r>
    <n v="5978"/>
    <x v="20"/>
    <x v="20"/>
    <d v="2025-08-26T00:00:00"/>
    <x v="1"/>
    <s v="Ceramic Mug Set"/>
    <x v="2"/>
    <n v="2"/>
    <n v="24"/>
    <n v="48"/>
    <s v="Sale"/>
    <s v="Credit Card"/>
  </r>
  <r>
    <n v="5979"/>
    <x v="69"/>
    <x v="68"/>
    <d v="2025-06-28T00:00:00"/>
    <x v="8"/>
    <s v="String Lights"/>
    <x v="3"/>
    <n v="1"/>
    <n v="15"/>
    <n v="15"/>
    <s v="Sale"/>
    <s v="Paypal"/>
  </r>
  <r>
    <n v="5980"/>
    <x v="83"/>
    <x v="80"/>
    <d v="2025-09-03T00:00:00"/>
    <x v="11"/>
    <s v="Throw Pillow"/>
    <x v="1"/>
    <n v="1"/>
    <n v="22"/>
    <n v="22"/>
    <s v="Sale"/>
    <s v="Credit Card"/>
  </r>
  <r>
    <n v="5981"/>
    <x v="32"/>
    <x v="32"/>
    <d v="2025-11-19T00:00:00"/>
    <x v="0"/>
    <s v="Wool Blanket"/>
    <x v="0"/>
    <n v="2"/>
    <n v="70"/>
    <n v="140"/>
    <s v="Sale"/>
    <s v="Paypal"/>
  </r>
  <r>
    <n v="5982"/>
    <x v="57"/>
    <x v="57"/>
    <d v="2025-09-23T00:00:00"/>
    <x v="11"/>
    <s v="Cutting Board"/>
    <x v="2"/>
    <n v="3"/>
    <n v="19.095238095238095"/>
    <n v="57.285714285714285"/>
    <s v="Sale"/>
    <s v="Paypal"/>
  </r>
  <r>
    <n v="5983"/>
    <x v="86"/>
    <x v="83"/>
    <d v="2025-11-21T00:00:00"/>
    <x v="0"/>
    <s v="Ceramic Mug Set"/>
    <x v="2"/>
    <n v="1"/>
    <n v="24"/>
    <n v="24"/>
    <s v="Sale"/>
    <s v="Paypal"/>
  </r>
  <r>
    <n v="5984"/>
    <x v="79"/>
    <x v="23"/>
    <d v="2025-07-20T00:00:00"/>
    <x v="10"/>
    <s v="String Lights"/>
    <x v="3"/>
    <n v="1"/>
    <n v="18"/>
    <n v="18"/>
    <s v="Sale"/>
    <s v="Paypal"/>
  </r>
  <r>
    <n v="5985"/>
    <x v="42"/>
    <x v="42"/>
    <d v="2025-12-04T00:00:00"/>
    <x v="5"/>
    <s v="Memory Foam Pillow"/>
    <x v="0"/>
    <n v="-2"/>
    <n v="29"/>
    <n v="-58"/>
    <s v="Return"/>
    <s v="Credit Card"/>
  </r>
  <r>
    <n v="5986"/>
    <x v="108"/>
    <x v="103"/>
    <d v="2025-08-19T00:00:00"/>
    <x v="1"/>
    <s v="Cutting Board"/>
    <x v="2"/>
    <n v="1"/>
    <n v="16"/>
    <n v="16"/>
    <s v="Sale"/>
    <s v="Paypal"/>
  </r>
  <r>
    <n v="5987"/>
    <x v="30"/>
    <x v="30"/>
    <d v="2025-10-18T00:00:00"/>
    <x v="4"/>
    <s v="Cotton Bedsheet Set"/>
    <x v="0"/>
    <n v="1"/>
    <n v="52"/>
    <n v="52"/>
    <s v="Sale"/>
    <s v="Debit Card"/>
  </r>
  <r>
    <n v="5988"/>
    <x v="99"/>
    <x v="89"/>
    <d v="2025-09-06T00:00:00"/>
    <x v="11"/>
    <s v="Throw Pillow"/>
    <x v="1"/>
    <n v="3"/>
    <n v="19"/>
    <n v="57"/>
    <s v="Sale"/>
    <s v="Paypal"/>
  </r>
  <r>
    <n v="5989"/>
    <x v="16"/>
    <x v="16"/>
    <d v="2025-03-06T00:00:00"/>
    <x v="3"/>
    <s v="Cutting Board"/>
    <x v="2"/>
    <n v="2"/>
    <n v="22"/>
    <n v="44"/>
    <s v="Sale"/>
    <s v="Paypal"/>
  </r>
  <r>
    <n v="5990"/>
    <x v="26"/>
    <x v="26"/>
    <d v="2025-03-18T00:00:00"/>
    <x v="3"/>
    <s v="String Lights"/>
    <x v="3"/>
    <n v="3"/>
    <n v="18"/>
    <n v="54"/>
    <s v="Sale"/>
    <s v="Debit Card"/>
  </r>
  <r>
    <n v="5991"/>
    <x v="50"/>
    <x v="50"/>
    <d v="2025-01-31T00:00:00"/>
    <x v="9"/>
    <s v="Memory Foam Pillow"/>
    <x v="0"/>
    <n v="1"/>
    <n v="35"/>
    <n v="35"/>
    <s v="Sale"/>
    <s v="Debit Card"/>
  </r>
  <r>
    <n v="5992"/>
    <x v="91"/>
    <x v="88"/>
    <d v="2025-11-23T00:00:00"/>
    <x v="0"/>
    <s v="Ceramic Mug Set"/>
    <x v="2"/>
    <n v="3"/>
    <n v="21"/>
    <n v="63"/>
    <s v="Sale"/>
    <s v="Credit Card"/>
  </r>
  <r>
    <n v="5993"/>
    <x v="53"/>
    <x v="53"/>
    <d v="2025-12-03T00:00:00"/>
    <x v="5"/>
    <s v="Table Lamp"/>
    <x v="3"/>
    <n v="1"/>
    <n v="45"/>
    <n v="45"/>
    <s v="Sale"/>
    <s v="Credit Card"/>
  </r>
  <r>
    <n v="5994"/>
    <x v="99"/>
    <x v="89"/>
    <d v="2025-07-07T00:00:00"/>
    <x v="10"/>
    <s v="Floor Lamp"/>
    <x v="3"/>
    <n v="1"/>
    <n v="89"/>
    <n v="89"/>
    <s v="Sale"/>
    <s v="Debit Card"/>
  </r>
  <r>
    <n v="5995"/>
    <x v="11"/>
    <x v="11"/>
    <d v="2025-11-03T00:00:00"/>
    <x v="0"/>
    <s v="String Lights"/>
    <x v="3"/>
    <n v="1"/>
    <n v="18"/>
    <n v="18"/>
    <s v="Sale"/>
    <s v="Paypal"/>
  </r>
  <r>
    <n v="5996"/>
    <x v="85"/>
    <x v="82"/>
    <d v="2025-08-06T00:00:00"/>
    <x v="1"/>
    <s v="Wool Blanket"/>
    <x v="0"/>
    <n v="3"/>
    <n v="67"/>
    <n v="201"/>
    <s v="Sale"/>
    <s v="Credit Card"/>
  </r>
  <r>
    <n v="5997"/>
    <x v="23"/>
    <x v="23"/>
    <d v="2025-12-03T00:00:00"/>
    <x v="5"/>
    <s v="Memory Foam Pillow"/>
    <x v="0"/>
    <n v="2"/>
    <n v="32"/>
    <n v="64"/>
    <s v="Sale"/>
    <s v="Paypal"/>
  </r>
  <r>
    <n v="5998"/>
    <x v="92"/>
    <x v="89"/>
    <d v="2025-06-13T00:00:00"/>
    <x v="8"/>
    <s v="Ceramic Vase"/>
    <x v="1"/>
    <n v="2"/>
    <n v="31"/>
    <n v="62"/>
    <s v="Sale"/>
    <s v="Debit Card"/>
  </r>
  <r>
    <n v="5999"/>
    <x v="88"/>
    <x v="85"/>
    <d v="2025-07-13T00:00:00"/>
    <x v="10"/>
    <s v="Non-Stick Pan Set"/>
    <x v="2"/>
    <n v="3"/>
    <n v="57"/>
    <n v="171"/>
    <s v="Sale"/>
    <s v="Credit Card"/>
  </r>
  <r>
    <n v="6000"/>
    <x v="35"/>
    <x v="35"/>
    <d v="2025-03-29T00:00:00"/>
    <x v="3"/>
    <s v="Throw Pillow"/>
    <x v="1"/>
    <n v="1"/>
    <n v="19"/>
    <n v="19"/>
    <s v="Sale"/>
    <s v="Debit Card"/>
  </r>
  <r>
    <n v="6001"/>
    <x v="41"/>
    <x v="41"/>
    <d v="2025-07-27T00:00:00"/>
    <x v="10"/>
    <s v="Floor Lamp"/>
    <x v="3"/>
    <n v="3"/>
    <n v="89"/>
    <n v="267"/>
    <s v="Sale"/>
    <s v="Credit Card"/>
  </r>
  <r>
    <n v="6002"/>
    <x v="0"/>
    <x v="0"/>
    <d v="2025-08-06T00:00:00"/>
    <x v="1"/>
    <s v="Throw Pillow"/>
    <x v="1"/>
    <n v="1"/>
    <n v="22"/>
    <n v="22"/>
    <s v="Sale"/>
    <s v="Debit Card"/>
  </r>
  <r>
    <n v="6003"/>
    <x v="73"/>
    <x v="72"/>
    <d v="2025-03-14T00:00:00"/>
    <x v="3"/>
    <s v="Ceramic Mug Set"/>
    <x v="2"/>
    <n v="2"/>
    <n v="27"/>
    <n v="54"/>
    <s v="Sale"/>
    <s v="Paypal"/>
  </r>
  <r>
    <n v="6004"/>
    <x v="95"/>
    <x v="92"/>
    <d v="2025-07-20T00:00:00"/>
    <x v="10"/>
    <s v="Wall Mirror"/>
    <x v="1"/>
    <n v="2"/>
    <n v="65"/>
    <n v="130"/>
    <s v="Sale"/>
    <s v="Debit Card"/>
  </r>
  <r>
    <n v="6005"/>
    <x v="73"/>
    <x v="72"/>
    <d v="2025-04-23T00:00:00"/>
    <x v="6"/>
    <s v="Throw Pillow"/>
    <x v="1"/>
    <n v="2"/>
    <n v="25"/>
    <n v="50"/>
    <s v="Sale"/>
    <s v="Debit Card"/>
  </r>
  <r>
    <n v="6006"/>
    <x v="60"/>
    <x v="59"/>
    <d v="2025-10-17T00:00:00"/>
    <x v="4"/>
    <s v="Non-Stick Pan Set"/>
    <x v="2"/>
    <n v="1"/>
    <n v="60"/>
    <n v="60"/>
    <s v="Sale"/>
    <s v="Paypal"/>
  </r>
  <r>
    <n v="6007"/>
    <x v="97"/>
    <x v="94"/>
    <d v="2025-07-22T00:00:00"/>
    <x v="10"/>
    <s v="String Lights"/>
    <x v="3"/>
    <n v="2"/>
    <n v="21"/>
    <n v="42"/>
    <s v="Sale"/>
    <s v="Debit Card"/>
  </r>
  <r>
    <n v="6008"/>
    <x v="54"/>
    <x v="54"/>
    <d v="2025-11-23T00:00:00"/>
    <x v="0"/>
    <s v="Cutting Board"/>
    <x v="2"/>
    <n v="1"/>
    <n v="19"/>
    <n v="19"/>
    <s v="Sale"/>
    <s v="Paypal"/>
  </r>
  <r>
    <n v="6009"/>
    <x v="71"/>
    <x v="70"/>
    <d v="2025-04-29T00:00:00"/>
    <x v="6"/>
    <s v="Memory Foam Pillow"/>
    <x v="0"/>
    <n v="2"/>
    <n v="32"/>
    <n v="64"/>
    <s v="Sale"/>
    <s v="Credit Card"/>
  </r>
  <r>
    <n v="6010"/>
    <x v="45"/>
    <x v="45"/>
    <d v="2025-07-31T00:00:00"/>
    <x v="10"/>
    <s v="Cotton Bedsheet Set"/>
    <x v="0"/>
    <n v="3"/>
    <n v="55"/>
    <n v="165"/>
    <s v="Sale"/>
    <s v="Debit Card"/>
  </r>
  <r>
    <n v="6011"/>
    <x v="3"/>
    <x v="3"/>
    <d v="2025-12-23T00:00:00"/>
    <x v="5"/>
    <s v="Memory Foam Pillow"/>
    <x v="0"/>
    <n v="2"/>
    <n v="32"/>
    <n v="64"/>
    <s v="Sale"/>
    <s v="Debit Card"/>
  </r>
  <r>
    <n v="6012"/>
    <x v="23"/>
    <x v="23"/>
    <d v="2025-09-30T00:00:00"/>
    <x v="11"/>
    <s v="Wall Mirror"/>
    <x v="1"/>
    <n v="1"/>
    <n v="62"/>
    <n v="62"/>
    <s v="Sale"/>
    <s v="Credit Card"/>
  </r>
  <r>
    <n v="6013"/>
    <x v="90"/>
    <x v="87"/>
    <d v="2025-08-13T00:00:00"/>
    <x v="1"/>
    <s v="Wall Mirror"/>
    <x v="1"/>
    <n v="1"/>
    <n v="65"/>
    <n v="65"/>
    <s v="Sale"/>
    <s v="Paypal"/>
  </r>
  <r>
    <n v="6014"/>
    <x v="97"/>
    <x v="94"/>
    <d v="2025-11-13T00:00:00"/>
    <x v="0"/>
    <s v="Cotton Bedsheet Set"/>
    <x v="0"/>
    <n v="2"/>
    <n v="52"/>
    <n v="104"/>
    <s v="Sale"/>
    <s v="Debit Card"/>
  </r>
  <r>
    <n v="6015"/>
    <x v="69"/>
    <x v="68"/>
    <d v="2025-06-30T00:00:00"/>
    <x v="8"/>
    <s v="Wall Mirror"/>
    <x v="1"/>
    <n v="1"/>
    <n v="65"/>
    <n v="65"/>
    <s v="Sale"/>
    <s v="Paypal"/>
  </r>
  <r>
    <n v="6016"/>
    <x v="1"/>
    <x v="1"/>
    <d v="2025-07-08T00:00:00"/>
    <x v="10"/>
    <s v="Table Lamp"/>
    <x v="3"/>
    <n v="2"/>
    <n v="45.091836734693878"/>
    <n v="90.183673469387756"/>
    <s v="Sale"/>
    <s v="Paypal"/>
  </r>
  <r>
    <n v="6017"/>
    <x v="32"/>
    <x v="32"/>
    <d v="2025-10-22T00:00:00"/>
    <x v="4"/>
    <s v="Non-Stick Pan Set"/>
    <x v="2"/>
    <n v="3"/>
    <n v="63"/>
    <n v="189"/>
    <s v="Sale"/>
    <s v="Debit Card"/>
  </r>
  <r>
    <n v="6018"/>
    <x v="64"/>
    <x v="63"/>
    <d v="2025-03-15T00:00:00"/>
    <x v="3"/>
    <s v="Ceramic Vase"/>
    <x v="1"/>
    <n v="3"/>
    <n v="28"/>
    <n v="84"/>
    <s v="Sale"/>
    <s v="Debit Card"/>
  </r>
  <r>
    <n v="6019"/>
    <x v="18"/>
    <x v="18"/>
    <d v="2025-12-07T00:00:00"/>
    <x v="5"/>
    <s v="Floor Lamp"/>
    <x v="3"/>
    <n v="1"/>
    <n v="89"/>
    <n v="89"/>
    <s v="Sale"/>
    <s v="Paypal"/>
  </r>
  <r>
    <n v="6020"/>
    <x v="18"/>
    <x v="18"/>
    <d v="2025-02-04T00:00:00"/>
    <x v="7"/>
    <s v="Floor Lamp"/>
    <x v="3"/>
    <n v="3"/>
    <n v="92"/>
    <n v="276"/>
    <s v="Sale"/>
    <s v="Credit Card"/>
  </r>
  <r>
    <n v="6021"/>
    <x v="98"/>
    <x v="95"/>
    <d v="2025-01-08T00:00:00"/>
    <x v="9"/>
    <s v="Throw Pillow"/>
    <x v="1"/>
    <n v="1"/>
    <n v="19"/>
    <n v="19"/>
    <s v="Sale"/>
    <s v="Unknown"/>
  </r>
  <r>
    <n v="6022"/>
    <x v="56"/>
    <x v="56"/>
    <d v="2025-08-30T00:00:00"/>
    <x v="1"/>
    <s v="Table Lamp"/>
    <x v="3"/>
    <n v="2"/>
    <n v="45"/>
    <n v="90"/>
    <s v="Sale"/>
    <s v="Credit Card"/>
  </r>
  <r>
    <n v="6023"/>
    <x v="1"/>
    <x v="1"/>
    <d v="2025-03-25T00:00:00"/>
    <x v="3"/>
    <s v="Ceramic Vase"/>
    <x v="1"/>
    <n v="2"/>
    <n v="28"/>
    <n v="56"/>
    <s v="Sale"/>
    <s v="Paypal"/>
  </r>
  <r>
    <n v="6024"/>
    <x v="38"/>
    <x v="38"/>
    <d v="2025-08-28T00:00:00"/>
    <x v="1"/>
    <s v="Floor Lamp"/>
    <x v="3"/>
    <n v="1"/>
    <n v="89"/>
    <n v="89"/>
    <s v="Sale"/>
    <s v="Paypal"/>
  </r>
  <r>
    <n v="6025"/>
    <x v="78"/>
    <x v="76"/>
    <d v="2025-05-26T00:00:00"/>
    <x v="2"/>
    <s v="Non-Stick Pan Set"/>
    <x v="2"/>
    <n v="1"/>
    <n v="63"/>
    <n v="63"/>
    <s v="Sale"/>
    <s v="Debit Card"/>
  </r>
  <r>
    <n v="6026"/>
    <x v="21"/>
    <x v="21"/>
    <d v="2025-11-26T00:00:00"/>
    <x v="0"/>
    <s v="Table Lamp"/>
    <x v="3"/>
    <n v="2"/>
    <n v="48"/>
    <n v="96"/>
    <s v="Sale"/>
    <s v="Paypal"/>
  </r>
  <r>
    <n v="6027"/>
    <x v="23"/>
    <x v="23"/>
    <d v="2025-03-14T00:00:00"/>
    <x v="3"/>
    <s v="Ceramic Vase"/>
    <x v="1"/>
    <n v="3"/>
    <n v="31"/>
    <n v="93"/>
    <s v="Sale"/>
    <s v="Debit Card"/>
  </r>
  <r>
    <n v="6028"/>
    <x v="59"/>
    <x v="58"/>
    <d v="2025-12-06T00:00:00"/>
    <x v="5"/>
    <s v="Ceramic Vase"/>
    <x v="1"/>
    <n v="1"/>
    <n v="28"/>
    <n v="28"/>
    <s v="Sale"/>
    <s v="Credit Card"/>
  </r>
  <r>
    <n v="6029"/>
    <x v="103"/>
    <x v="99"/>
    <d v="2025-02-28T00:00:00"/>
    <x v="7"/>
    <s v="Floor Lamp"/>
    <x v="3"/>
    <n v="1"/>
    <n v="92"/>
    <n v="92"/>
    <s v="Sale"/>
    <s v="Paypal"/>
  </r>
  <r>
    <n v="6030"/>
    <x v="44"/>
    <x v="44"/>
    <d v="2025-08-22T00:00:00"/>
    <x v="1"/>
    <s v="String Lights"/>
    <x v="3"/>
    <n v="2"/>
    <n v="18"/>
    <n v="36"/>
    <s v="Sale"/>
    <s v="Paypal"/>
  </r>
  <r>
    <n v="6031"/>
    <x v="75"/>
    <x v="74"/>
    <d v="2025-07-01T00:00:00"/>
    <x v="10"/>
    <s v="Cotton Bedsheet Set"/>
    <x v="0"/>
    <n v="1"/>
    <n v="52"/>
    <n v="52"/>
    <s v="Sale"/>
    <s v="Paypal"/>
  </r>
  <r>
    <n v="6032"/>
    <x v="58"/>
    <x v="42"/>
    <d v="2025-02-23T00:00:00"/>
    <x v="7"/>
    <s v="Cutting Board"/>
    <x v="2"/>
    <n v="1"/>
    <n v="16"/>
    <n v="16"/>
    <s v="Sale"/>
    <s v="Debit Card"/>
  </r>
  <r>
    <n v="6033"/>
    <x v="90"/>
    <x v="87"/>
    <d v="2025-09-24T00:00:00"/>
    <x v="11"/>
    <s v="Cotton Bedsheet Set"/>
    <x v="0"/>
    <n v="1"/>
    <n v="52"/>
    <n v="52"/>
    <s v="Sale"/>
    <s v="Paypal"/>
  </r>
  <r>
    <n v="6034"/>
    <x v="50"/>
    <x v="50"/>
    <d v="2025-08-31T00:00:00"/>
    <x v="1"/>
    <s v="Throw Pillow"/>
    <x v="1"/>
    <n v="1"/>
    <n v="19"/>
    <n v="19"/>
    <s v="Sale"/>
    <s v="Credit Card"/>
  </r>
  <r>
    <n v="6035"/>
    <x v="49"/>
    <x v="49"/>
    <d v="2025-06-22T00:00:00"/>
    <x v="8"/>
    <s v="Throw Pillow"/>
    <x v="1"/>
    <n v="1"/>
    <n v="22"/>
    <n v="22"/>
    <s v="Sale"/>
    <s v="Debit Card"/>
  </r>
  <r>
    <n v="6036"/>
    <x v="12"/>
    <x v="12"/>
    <d v="2025-05-03T00:00:00"/>
    <x v="2"/>
    <s v="String Lights"/>
    <x v="3"/>
    <n v="1"/>
    <n v="21"/>
    <n v="21"/>
    <s v="Sale"/>
    <s v="Paypal"/>
  </r>
  <r>
    <n v="6037"/>
    <x v="46"/>
    <x v="46"/>
    <d v="2025-03-08T00:00:00"/>
    <x v="3"/>
    <s v="Cutting Board"/>
    <x v="2"/>
    <n v="2"/>
    <n v="19"/>
    <n v="38"/>
    <s v="Sale"/>
    <s v="Credit Card"/>
  </r>
  <r>
    <n v="6038"/>
    <x v="90"/>
    <x v="87"/>
    <d v="2025-05-15T00:00:00"/>
    <x v="2"/>
    <s v="Wall Mirror"/>
    <x v="1"/>
    <n v="1"/>
    <n v="65.099999999999994"/>
    <n v="65.099999999999994"/>
    <s v="Sale"/>
    <s v="Paypal"/>
  </r>
  <r>
    <n v="6039"/>
    <x v="22"/>
    <x v="22"/>
    <d v="2025-01-04T00:00:00"/>
    <x v="9"/>
    <s v="Non-Stick Pan Set"/>
    <x v="2"/>
    <n v="2"/>
    <n v="60"/>
    <n v="120"/>
    <s v="Sale"/>
    <s v="Paypal"/>
  </r>
  <r>
    <n v="6040"/>
    <x v="74"/>
    <x v="73"/>
    <d v="2025-02-28T00:00:00"/>
    <x v="7"/>
    <s v="Ceramic Vase"/>
    <x v="1"/>
    <n v="1"/>
    <n v="28"/>
    <n v="28"/>
    <s v="Sale"/>
    <s v="Credit Card"/>
  </r>
  <r>
    <n v="6041"/>
    <x v="2"/>
    <x v="2"/>
    <d v="2025-05-28T00:00:00"/>
    <x v="2"/>
    <s v="Throw Pillow"/>
    <x v="1"/>
    <n v="3"/>
    <n v="22"/>
    <n v="66"/>
    <s v="Sale"/>
    <s v="Debit Card"/>
  </r>
  <r>
    <n v="6042"/>
    <x v="23"/>
    <x v="23"/>
    <d v="2025-10-25T00:00:00"/>
    <x v="4"/>
    <s v="Ceramic Vase"/>
    <x v="1"/>
    <n v="1"/>
    <n v="31"/>
    <n v="31"/>
    <s v="Sale"/>
    <s v="Debit Card"/>
  </r>
  <r>
    <n v="6043"/>
    <x v="37"/>
    <x v="37"/>
    <d v="2025-08-26T00:00:00"/>
    <x v="1"/>
    <s v="Cotton Bedsheet Set"/>
    <x v="0"/>
    <n v="2"/>
    <n v="55"/>
    <n v="110"/>
    <s v="Sale"/>
    <s v="Paypal"/>
  </r>
  <r>
    <n v="6044"/>
    <x v="82"/>
    <x v="79"/>
    <d v="2025-10-26T00:00:00"/>
    <x v="4"/>
    <s v="String Lights"/>
    <x v="3"/>
    <n v="1"/>
    <n v="18"/>
    <n v="18"/>
    <s v="Sale"/>
    <s v="Debit Card"/>
  </r>
  <r>
    <n v="6045"/>
    <x v="54"/>
    <x v="54"/>
    <d v="2025-09-13T00:00:00"/>
    <x v="11"/>
    <s v="Non-Stick Pan Set"/>
    <x v="2"/>
    <n v="3"/>
    <n v="57"/>
    <n v="171"/>
    <s v="Sale"/>
    <s v="Debit Card"/>
  </r>
  <r>
    <n v="6046"/>
    <x v="1"/>
    <x v="1"/>
    <d v="2025-01-15T00:00:00"/>
    <x v="9"/>
    <s v="Wool Blanket"/>
    <x v="0"/>
    <n v="2"/>
    <n v="70"/>
    <n v="140"/>
    <s v="Sale"/>
    <s v="Debit Card"/>
  </r>
  <r>
    <n v="6047"/>
    <x v="77"/>
    <x v="75"/>
    <d v="2025-04-06T00:00:00"/>
    <x v="6"/>
    <s v="Wall Mirror"/>
    <x v="1"/>
    <n v="1"/>
    <n v="65"/>
    <n v="65"/>
    <s v="Sale"/>
    <s v="Credit Card"/>
  </r>
  <r>
    <n v="6048"/>
    <x v="89"/>
    <x v="86"/>
    <d v="2025-03-06T00:00:00"/>
    <x v="3"/>
    <s v="Ceramic Mug Set"/>
    <x v="2"/>
    <n v="1"/>
    <n v="24"/>
    <n v="24"/>
    <s v="Sale"/>
    <s v="Paypal"/>
  </r>
  <r>
    <n v="6049"/>
    <x v="104"/>
    <x v="100"/>
    <d v="2025-04-28T00:00:00"/>
    <x v="6"/>
    <s v="String Lights"/>
    <x v="3"/>
    <n v="3"/>
    <n v="18"/>
    <n v="54"/>
    <s v="Sale"/>
    <s v="Credit Card"/>
  </r>
  <r>
    <n v="6050"/>
    <x v="46"/>
    <x v="46"/>
    <d v="2025-05-12T00:00:00"/>
    <x v="2"/>
    <s v="Wool Blanket"/>
    <x v="0"/>
    <n v="1"/>
    <n v="73"/>
    <n v="73"/>
    <s v="Sale"/>
    <s v="Paypal"/>
  </r>
  <r>
    <n v="6051"/>
    <x v="12"/>
    <x v="12"/>
    <d v="2025-08-29T00:00:00"/>
    <x v="1"/>
    <s v="Cotton Bedsheet Set"/>
    <x v="0"/>
    <n v="2"/>
    <n v="55"/>
    <n v="110"/>
    <s v="Sale"/>
    <s v="Credit Card"/>
  </r>
  <r>
    <n v="6052"/>
    <x v="40"/>
    <x v="40"/>
    <d v="2025-07-21T00:00:00"/>
    <x v="10"/>
    <s v="Memory Foam Pillow"/>
    <x v="0"/>
    <n v="1"/>
    <n v="32"/>
    <n v="32"/>
    <s v="Sale"/>
    <s v="Paypal"/>
  </r>
  <r>
    <n v="6053"/>
    <x v="85"/>
    <x v="82"/>
    <d v="2025-08-10T00:00:00"/>
    <x v="1"/>
    <s v="Wool Blanket"/>
    <x v="0"/>
    <n v="1"/>
    <n v="70"/>
    <n v="70"/>
    <s v="Sale"/>
    <s v="Credit Card"/>
  </r>
  <r>
    <n v="6054"/>
    <x v="19"/>
    <x v="19"/>
    <d v="2025-12-25T00:00:00"/>
    <x v="5"/>
    <s v="String Lights"/>
    <x v="3"/>
    <n v="2"/>
    <n v="17.804347826086957"/>
    <n v="35.608695652173914"/>
    <s v="Sale"/>
    <s v="Credit Card"/>
  </r>
  <r>
    <n v="6055"/>
    <x v="48"/>
    <x v="48"/>
    <d v="2025-09-24T00:00:00"/>
    <x v="11"/>
    <s v="Memory Foam Pillow"/>
    <x v="0"/>
    <n v="2"/>
    <n v="32"/>
    <n v="64"/>
    <s v="Sale"/>
    <s v="Credit Card"/>
  </r>
  <r>
    <n v="6056"/>
    <x v="37"/>
    <x v="37"/>
    <d v="2025-10-07T00:00:00"/>
    <x v="4"/>
    <s v="Throw Pillow"/>
    <x v="1"/>
    <n v="1"/>
    <n v="19"/>
    <n v="19"/>
    <s v="Sale"/>
    <s v="Credit Card"/>
  </r>
  <r>
    <n v="6057"/>
    <x v="97"/>
    <x v="94"/>
    <d v="2025-03-15T00:00:00"/>
    <x v="3"/>
    <s v="Ceramic Mug Set"/>
    <x v="2"/>
    <n v="2"/>
    <n v="24"/>
    <n v="48"/>
    <s v="Sale"/>
    <s v="Credit Card"/>
  </r>
  <r>
    <n v="6058"/>
    <x v="22"/>
    <x v="22"/>
    <d v="2025-08-14T00:00:00"/>
    <x v="1"/>
    <s v="Non-Stick Pan Set"/>
    <x v="2"/>
    <n v="2"/>
    <n v="63"/>
    <n v="126"/>
    <s v="Sale"/>
    <s v="Debit Card"/>
  </r>
  <r>
    <n v="6059"/>
    <x v="103"/>
    <x v="99"/>
    <d v="2025-12-30T00:00:00"/>
    <x v="5"/>
    <s v="Memory Foam Pillow"/>
    <x v="0"/>
    <n v="3"/>
    <n v="32"/>
    <n v="96"/>
    <s v="Sale"/>
    <s v="Credit Card"/>
  </r>
  <r>
    <n v="6060"/>
    <x v="45"/>
    <x v="45"/>
    <d v="2025-05-10T00:00:00"/>
    <x v="2"/>
    <s v="Non-Stick Pan Set"/>
    <x v="2"/>
    <n v="1"/>
    <n v="59.846153846153847"/>
    <n v="59.846153846153847"/>
    <s v="Sale"/>
    <s v="Debit Card"/>
  </r>
  <r>
    <n v="6061"/>
    <x v="100"/>
    <x v="96"/>
    <d v="2025-03-15T00:00:00"/>
    <x v="3"/>
    <s v="Wool Blanket"/>
    <x v="0"/>
    <n v="2"/>
    <n v="70"/>
    <n v="140"/>
    <s v="Sale"/>
    <s v="Debit Card"/>
  </r>
  <r>
    <n v="6062"/>
    <x v="58"/>
    <x v="42"/>
    <d v="2025-10-16T00:00:00"/>
    <x v="4"/>
    <s v="Memory Foam Pillow"/>
    <x v="0"/>
    <n v="2"/>
    <n v="32"/>
    <n v="64"/>
    <s v="Sale"/>
    <s v="Paypal"/>
  </r>
  <r>
    <n v="6063"/>
    <x v="39"/>
    <x v="39"/>
    <d v="2025-05-09T00:00:00"/>
    <x v="2"/>
    <s v="Floor Lamp"/>
    <x v="3"/>
    <n v="1"/>
    <n v="89.144230769230774"/>
    <n v="89.144230769230774"/>
    <s v="Sale"/>
    <s v="Credit Card"/>
  </r>
  <r>
    <n v="6064"/>
    <x v="61"/>
    <x v="60"/>
    <d v="2025-11-22T00:00:00"/>
    <x v="0"/>
    <s v="Floor Lamp"/>
    <x v="3"/>
    <n v="1"/>
    <n v="86"/>
    <n v="86"/>
    <s v="Sale"/>
    <s v="Paypal"/>
  </r>
  <r>
    <n v="6065"/>
    <x v="81"/>
    <x v="78"/>
    <d v="2025-01-25T00:00:00"/>
    <x v="9"/>
    <s v="String Lights"/>
    <x v="3"/>
    <n v="2"/>
    <n v="18"/>
    <n v="36"/>
    <s v="Sale"/>
    <s v="Credit Card"/>
  </r>
  <r>
    <n v="6066"/>
    <x v="12"/>
    <x v="12"/>
    <d v="2025-07-03T00:00:00"/>
    <x v="10"/>
    <s v="Memory Foam Pillow"/>
    <x v="0"/>
    <n v="1"/>
    <n v="29"/>
    <n v="29"/>
    <s v="Sale"/>
    <s v="Credit Card"/>
  </r>
  <r>
    <n v="6067"/>
    <x v="1"/>
    <x v="1"/>
    <d v="2025-10-10T00:00:00"/>
    <x v="4"/>
    <s v="Cotton Bedsheet Set"/>
    <x v="0"/>
    <n v="3"/>
    <n v="55"/>
    <n v="165"/>
    <s v="Sale"/>
    <s v="Debit Card"/>
  </r>
  <r>
    <n v="6068"/>
    <x v="50"/>
    <x v="50"/>
    <d v="2025-01-12T00:00:00"/>
    <x v="9"/>
    <s v="Throw Pillow"/>
    <x v="1"/>
    <n v="1"/>
    <n v="22"/>
    <n v="22"/>
    <s v="Sale"/>
    <s v="Credit Card"/>
  </r>
  <r>
    <n v="6069"/>
    <x v="4"/>
    <x v="4"/>
    <d v="2025-11-30T00:00:00"/>
    <x v="0"/>
    <s v="Throw Pillow"/>
    <x v="1"/>
    <n v="2"/>
    <n v="22"/>
    <n v="44"/>
    <s v="Sale"/>
    <s v="Debit Card"/>
  </r>
  <r>
    <n v="6070"/>
    <x v="76"/>
    <x v="46"/>
    <d v="2025-09-07T00:00:00"/>
    <x v="11"/>
    <s v="Cotton Bedsheet Set"/>
    <x v="0"/>
    <n v="2"/>
    <n v="52"/>
    <n v="104"/>
    <s v="Sale"/>
    <s v="Credit Card"/>
  </r>
  <r>
    <n v="6071"/>
    <x v="65"/>
    <x v="64"/>
    <d v="2025-09-19T00:00:00"/>
    <x v="11"/>
    <s v="Wool Blanket"/>
    <x v="0"/>
    <n v="1"/>
    <n v="67"/>
    <n v="67"/>
    <s v="Sale"/>
    <s v="Debit Card"/>
  </r>
  <r>
    <n v="6072"/>
    <x v="66"/>
    <x v="65"/>
    <d v="2025-01-02T00:00:00"/>
    <x v="9"/>
    <s v="Wool Blanket"/>
    <x v="0"/>
    <n v="3"/>
    <n v="70"/>
    <n v="210"/>
    <s v="Sale"/>
    <s v="Debit Card"/>
  </r>
  <r>
    <n v="6073"/>
    <x v="85"/>
    <x v="82"/>
    <d v="2025-12-24T00:00:00"/>
    <x v="5"/>
    <s v="Non-Stick Pan Set"/>
    <x v="2"/>
    <n v="1"/>
    <n v="63"/>
    <n v="63"/>
    <s v="Sale"/>
    <s v="Credit Card"/>
  </r>
  <r>
    <n v="6074"/>
    <x v="60"/>
    <x v="59"/>
    <d v="2025-05-29T00:00:00"/>
    <x v="2"/>
    <s v="String Lights"/>
    <x v="3"/>
    <n v="2"/>
    <n v="21"/>
    <n v="42"/>
    <s v="Sale"/>
    <s v="Unknown"/>
  </r>
  <r>
    <n v="6075"/>
    <x v="8"/>
    <x v="8"/>
    <d v="2025-01-27T00:00:00"/>
    <x v="9"/>
    <s v="Floor Lamp"/>
    <x v="3"/>
    <n v="1"/>
    <n v="89"/>
    <n v="89"/>
    <s v="Sale"/>
    <s v="Debit Card"/>
  </r>
  <r>
    <n v="6076"/>
    <x v="88"/>
    <x v="85"/>
    <d v="2025-09-27T00:00:00"/>
    <x v="11"/>
    <s v="String Lights"/>
    <x v="3"/>
    <n v="2"/>
    <n v="18"/>
    <n v="36"/>
    <s v="Sale"/>
    <s v="Paypal"/>
  </r>
  <r>
    <n v="6077"/>
    <x v="9"/>
    <x v="9"/>
    <d v="2025-12-02T00:00:00"/>
    <x v="5"/>
    <s v="Cutting Board"/>
    <x v="2"/>
    <n v="2"/>
    <n v="16"/>
    <n v="32"/>
    <s v="Sale"/>
    <s v="Paypal"/>
  </r>
  <r>
    <n v="6078"/>
    <x v="108"/>
    <x v="103"/>
    <d v="2025-04-10T00:00:00"/>
    <x v="6"/>
    <s v="Ceramic Vase"/>
    <x v="1"/>
    <n v="1"/>
    <n v="28"/>
    <n v="28"/>
    <s v="Sale"/>
    <s v="Paypal"/>
  </r>
  <r>
    <n v="6079"/>
    <x v="10"/>
    <x v="10"/>
    <d v="2025-11-03T00:00:00"/>
    <x v="0"/>
    <s v="String Lights"/>
    <x v="3"/>
    <n v="3"/>
    <n v="18"/>
    <n v="54"/>
    <s v="Sale"/>
    <s v="Debit Card"/>
  </r>
  <r>
    <n v="6080"/>
    <x v="98"/>
    <x v="95"/>
    <d v="2025-10-13T00:00:00"/>
    <x v="4"/>
    <s v="Ceramic Mug Set"/>
    <x v="2"/>
    <n v="1"/>
    <n v="21"/>
    <n v="21"/>
    <s v="Sale"/>
    <s v="Debit Card"/>
  </r>
  <r>
    <n v="6081"/>
    <x v="45"/>
    <x v="45"/>
    <d v="2025-05-29T00:00:00"/>
    <x v="2"/>
    <s v="Table Lamp"/>
    <x v="3"/>
    <n v="2"/>
    <n v="42"/>
    <n v="84"/>
    <s v="Sale"/>
    <s v="Credit Card"/>
  </r>
  <r>
    <n v="6082"/>
    <x v="79"/>
    <x v="23"/>
    <d v="2025-02-09T00:00:00"/>
    <x v="7"/>
    <s v="Cutting Board"/>
    <x v="2"/>
    <n v="1"/>
    <n v="19"/>
    <n v="19"/>
    <s v="Sale"/>
    <s v="Paypal"/>
  </r>
  <r>
    <n v="6083"/>
    <x v="68"/>
    <x v="67"/>
    <d v="2025-08-14T00:00:00"/>
    <x v="1"/>
    <s v="Ceramic Mug Set"/>
    <x v="2"/>
    <n v="2"/>
    <n v="24"/>
    <n v="48"/>
    <s v="Sale"/>
    <s v="Paypal"/>
  </r>
  <r>
    <n v="6084"/>
    <x v="68"/>
    <x v="67"/>
    <d v="2025-09-29T00:00:00"/>
    <x v="11"/>
    <s v="Wall Mirror"/>
    <x v="1"/>
    <n v="2"/>
    <n v="65"/>
    <n v="130"/>
    <s v="Sale"/>
    <s v="Credit Card"/>
  </r>
  <r>
    <n v="6085"/>
    <x v="96"/>
    <x v="93"/>
    <d v="2025-01-24T00:00:00"/>
    <x v="9"/>
    <s v="Cutting Board"/>
    <x v="2"/>
    <n v="1"/>
    <n v="22"/>
    <n v="22"/>
    <s v="Sale"/>
    <s v="Credit Card"/>
  </r>
  <r>
    <n v="6086"/>
    <x v="65"/>
    <x v="64"/>
    <d v="2025-03-08T00:00:00"/>
    <x v="3"/>
    <s v="Cutting Board"/>
    <x v="2"/>
    <n v="2"/>
    <n v="22"/>
    <n v="44"/>
    <s v="Sale"/>
    <s v="Paypal"/>
  </r>
  <r>
    <n v="6087"/>
    <x v="84"/>
    <x v="81"/>
    <d v="2025-09-03T00:00:00"/>
    <x v="11"/>
    <s v="Cutting Board"/>
    <x v="2"/>
    <n v="1"/>
    <n v="19"/>
    <n v="19"/>
    <s v="Sale"/>
    <s v="Debit Card"/>
  </r>
  <r>
    <n v="6088"/>
    <x v="42"/>
    <x v="42"/>
    <d v="2025-03-04T00:00:00"/>
    <x v="3"/>
    <s v="String Lights"/>
    <x v="3"/>
    <n v="2"/>
    <n v="18"/>
    <n v="36"/>
    <s v="Sale"/>
    <s v="Debit Card"/>
  </r>
  <r>
    <n v="6089"/>
    <x v="3"/>
    <x v="3"/>
    <d v="2025-07-30T00:00:00"/>
    <x v="10"/>
    <s v="Memory Foam Pillow"/>
    <x v="0"/>
    <n v="1"/>
    <n v="32"/>
    <n v="32"/>
    <s v="Sale"/>
    <s v="Debit Card"/>
  </r>
  <r>
    <n v="6090"/>
    <x v="52"/>
    <x v="52"/>
    <d v="2025-08-08T00:00:00"/>
    <x v="1"/>
    <s v="Ceramic Mug Set"/>
    <x v="2"/>
    <n v="1"/>
    <n v="24"/>
    <n v="24"/>
    <s v="Sale"/>
    <s v="Paypal"/>
  </r>
  <r>
    <n v="6091"/>
    <x v="81"/>
    <x v="78"/>
    <d v="2025-11-10T00:00:00"/>
    <x v="0"/>
    <s v="Wall Mirror"/>
    <x v="1"/>
    <n v="3"/>
    <n v="65"/>
    <n v="195"/>
    <s v="Sale"/>
    <s v="Paypal"/>
  </r>
  <r>
    <n v="6092"/>
    <x v="59"/>
    <x v="58"/>
    <d v="2025-08-26T00:00:00"/>
    <x v="1"/>
    <s v="Wall Mirror"/>
    <x v="1"/>
    <n v="3"/>
    <n v="68"/>
    <n v="204"/>
    <s v="Sale"/>
    <s v="Credit Card"/>
  </r>
  <r>
    <n v="6093"/>
    <x v="37"/>
    <x v="37"/>
    <d v="2025-08-08T00:00:00"/>
    <x v="1"/>
    <s v="Memory Foam Pillow"/>
    <x v="0"/>
    <n v="3"/>
    <n v="29"/>
    <n v="87"/>
    <s v="Sale"/>
    <s v="Debit Card"/>
  </r>
  <r>
    <n v="6094"/>
    <x v="53"/>
    <x v="53"/>
    <d v="2025-02-07T00:00:00"/>
    <x v="7"/>
    <s v="Ceramic Mug Set"/>
    <x v="2"/>
    <n v="2"/>
    <n v="21"/>
    <n v="42"/>
    <s v="Sale"/>
    <s v="Debit Card"/>
  </r>
  <r>
    <n v="6095"/>
    <x v="50"/>
    <x v="50"/>
    <d v="2025-01-11T00:00:00"/>
    <x v="9"/>
    <s v="Floor Lamp"/>
    <x v="3"/>
    <n v="1"/>
    <n v="86"/>
    <n v="86"/>
    <s v="Sale"/>
    <s v="Debit Card"/>
  </r>
  <r>
    <n v="6096"/>
    <x v="81"/>
    <x v="78"/>
    <d v="2025-03-27T00:00:00"/>
    <x v="3"/>
    <s v="Memory Foam Pillow"/>
    <x v="0"/>
    <n v="1"/>
    <n v="32"/>
    <n v="32"/>
    <s v="Sale"/>
    <s v="Debit Card"/>
  </r>
  <r>
    <n v="6097"/>
    <x v="52"/>
    <x v="52"/>
    <d v="2025-11-14T00:00:00"/>
    <x v="0"/>
    <s v="Floor Lamp"/>
    <x v="3"/>
    <n v="2"/>
    <n v="89"/>
    <n v="178"/>
    <s v="Sale"/>
    <s v="Unknown"/>
  </r>
  <r>
    <n v="6098"/>
    <x v="5"/>
    <x v="5"/>
    <d v="2025-05-21T00:00:00"/>
    <x v="2"/>
    <s v="Memory Foam Pillow"/>
    <x v="0"/>
    <n v="1"/>
    <n v="32"/>
    <n v="32"/>
    <s v="Sale"/>
    <s v="Paypal"/>
  </r>
  <r>
    <n v="6099"/>
    <x v="28"/>
    <x v="28"/>
    <d v="2025-01-22T00:00:00"/>
    <x v="9"/>
    <s v="Floor Lamp"/>
    <x v="3"/>
    <n v="1"/>
    <n v="89"/>
    <n v="89"/>
    <s v="Sale"/>
    <s v="Credit Card"/>
  </r>
  <r>
    <n v="6100"/>
    <x v="109"/>
    <x v="104"/>
    <d v="2025-09-07T00:00:00"/>
    <x v="11"/>
    <s v="Wall Mirror"/>
    <x v="1"/>
    <n v="2"/>
    <n v="65"/>
    <n v="130"/>
    <s v="Sale"/>
    <s v="Paypal"/>
  </r>
  <r>
    <n v="6101"/>
    <x v="25"/>
    <x v="25"/>
    <d v="2025-04-29T00:00:00"/>
    <x v="6"/>
    <s v="Ceramic Vase"/>
    <x v="1"/>
    <n v="3"/>
    <n v="28"/>
    <n v="84"/>
    <s v="Sale"/>
    <s v="Debit Card"/>
  </r>
  <r>
    <n v="6102"/>
    <x v="99"/>
    <x v="89"/>
    <d v="2025-07-03T00:00:00"/>
    <x v="10"/>
    <s v="Memory Foam Pillow"/>
    <x v="0"/>
    <n v="2"/>
    <n v="32"/>
    <n v="64"/>
    <s v="Sale"/>
    <s v="Debit Card"/>
  </r>
  <r>
    <n v="6103"/>
    <x v="22"/>
    <x v="22"/>
    <d v="2025-08-04T00:00:00"/>
    <x v="1"/>
    <s v="Ceramic Vase"/>
    <x v="1"/>
    <n v="2"/>
    <n v="31"/>
    <n v="62"/>
    <s v="Sale"/>
    <s v="Debit Card"/>
  </r>
  <r>
    <n v="6104"/>
    <x v="95"/>
    <x v="92"/>
    <d v="2025-07-13T00:00:00"/>
    <x v="10"/>
    <s v="Ceramic Mug Set"/>
    <x v="2"/>
    <n v="2"/>
    <n v="24"/>
    <n v="48"/>
    <s v="Sale"/>
    <s v="Paypal"/>
  </r>
  <r>
    <n v="6105"/>
    <x v="2"/>
    <x v="2"/>
    <d v="2025-10-17T00:00:00"/>
    <x v="4"/>
    <s v="Wall Mirror"/>
    <x v="1"/>
    <n v="2"/>
    <n v="62"/>
    <n v="124"/>
    <s v="Sale"/>
    <s v="Debit Card"/>
  </r>
  <r>
    <n v="6106"/>
    <x v="52"/>
    <x v="52"/>
    <d v="2025-10-15T00:00:00"/>
    <x v="4"/>
    <s v="Throw Pillow"/>
    <x v="1"/>
    <n v="2"/>
    <n v="22"/>
    <n v="44"/>
    <s v="Sale"/>
    <s v="Credit Card"/>
  </r>
  <r>
    <n v="6107"/>
    <x v="81"/>
    <x v="78"/>
    <d v="2025-04-20T00:00:00"/>
    <x v="6"/>
    <s v="Ceramic Vase"/>
    <x v="1"/>
    <n v="-1"/>
    <n v="28"/>
    <n v="-28"/>
    <s v="Return"/>
    <s v="Credit Card"/>
  </r>
  <r>
    <n v="6108"/>
    <x v="87"/>
    <x v="84"/>
    <d v="2025-08-26T00:00:00"/>
    <x v="1"/>
    <s v="Non-Stick Pan Set"/>
    <x v="2"/>
    <n v="1"/>
    <n v="60"/>
    <n v="60"/>
    <s v="Sale"/>
    <s v="Debit Card"/>
  </r>
  <r>
    <n v="6109"/>
    <x v="38"/>
    <x v="38"/>
    <d v="2025-12-02T00:00:00"/>
    <x v="5"/>
    <s v="Non-Stick Pan Set"/>
    <x v="2"/>
    <n v="1"/>
    <n v="60"/>
    <n v="60"/>
    <s v="Sale"/>
    <s v="Credit Card"/>
  </r>
  <r>
    <n v="6110"/>
    <x v="34"/>
    <x v="34"/>
    <d v="2025-10-28T00:00:00"/>
    <x v="4"/>
    <s v="Wool Blanket"/>
    <x v="0"/>
    <n v="1"/>
    <n v="70"/>
    <n v="70"/>
    <s v="Sale"/>
    <s v="Paypal"/>
  </r>
  <r>
    <n v="6111"/>
    <x v="97"/>
    <x v="94"/>
    <d v="2025-08-01T00:00:00"/>
    <x v="1"/>
    <s v="Wool Blanket"/>
    <x v="0"/>
    <n v="2"/>
    <n v="73"/>
    <n v="146"/>
    <s v="Sale"/>
    <s v="Debit Card"/>
  </r>
  <r>
    <n v="6112"/>
    <x v="98"/>
    <x v="95"/>
    <d v="2025-12-02T00:00:00"/>
    <x v="5"/>
    <s v="Cotton Bedsheet Set"/>
    <x v="0"/>
    <n v="1"/>
    <n v="52"/>
    <n v="52"/>
    <s v="Sale"/>
    <s v="Paypal"/>
  </r>
  <r>
    <n v="6113"/>
    <x v="60"/>
    <x v="59"/>
    <d v="2025-03-07T00:00:00"/>
    <x v="3"/>
    <s v="Wool Blanket"/>
    <x v="0"/>
    <n v="1"/>
    <n v="73"/>
    <n v="73"/>
    <s v="Sale"/>
    <s v="Paypal"/>
  </r>
  <r>
    <n v="6114"/>
    <x v="34"/>
    <x v="34"/>
    <d v="2025-07-30T00:00:00"/>
    <x v="10"/>
    <s v="Ceramic Mug Set"/>
    <x v="2"/>
    <n v="2"/>
    <n v="24"/>
    <n v="48"/>
    <s v="Sale"/>
    <s v="Unknown"/>
  </r>
  <r>
    <n v="6115"/>
    <x v="83"/>
    <x v="80"/>
    <d v="2025-06-04T00:00:00"/>
    <x v="8"/>
    <s v="Memory Foam Pillow"/>
    <x v="0"/>
    <n v="1"/>
    <n v="29"/>
    <n v="29"/>
    <s v="Sale"/>
    <s v="Debit Card"/>
  </r>
  <r>
    <n v="6116"/>
    <x v="10"/>
    <x v="10"/>
    <d v="2025-06-10T00:00:00"/>
    <x v="8"/>
    <s v="Throw Pillow"/>
    <x v="1"/>
    <n v="1"/>
    <n v="22"/>
    <n v="22"/>
    <s v="Sale"/>
    <s v="Paypal"/>
  </r>
  <r>
    <n v="6117"/>
    <x v="99"/>
    <x v="89"/>
    <d v="2025-11-04T00:00:00"/>
    <x v="0"/>
    <s v="Cutting Board"/>
    <x v="2"/>
    <n v="1"/>
    <n v="19"/>
    <n v="19"/>
    <s v="Sale"/>
    <s v="Unknown"/>
  </r>
  <r>
    <n v="6118"/>
    <x v="89"/>
    <x v="86"/>
    <d v="2025-04-06T00:00:00"/>
    <x v="6"/>
    <s v="Memory Foam Pillow"/>
    <x v="0"/>
    <n v="1"/>
    <n v="35"/>
    <n v="35"/>
    <s v="Sale"/>
    <s v="Credit Card"/>
  </r>
  <r>
    <n v="6119"/>
    <x v="83"/>
    <x v="80"/>
    <d v="2025-12-09T00:00:00"/>
    <x v="5"/>
    <s v="Floor Lamp"/>
    <x v="3"/>
    <n v="1"/>
    <n v="89"/>
    <n v="89"/>
    <s v="Sale"/>
    <s v="Credit Card"/>
  </r>
  <r>
    <n v="6120"/>
    <x v="65"/>
    <x v="64"/>
    <d v="2025-08-29T00:00:00"/>
    <x v="1"/>
    <s v="Cutting Board"/>
    <x v="2"/>
    <n v="3"/>
    <n v="19"/>
    <n v="57"/>
    <s v="Sale"/>
    <s v="Debit Card"/>
  </r>
  <r>
    <n v="6121"/>
    <x v="69"/>
    <x v="68"/>
    <d v="2025-05-28T00:00:00"/>
    <x v="2"/>
    <s v="Wool Blanket"/>
    <x v="0"/>
    <n v="1"/>
    <n v="67"/>
    <n v="67"/>
    <s v="Sale"/>
    <s v="Debit Card"/>
  </r>
  <r>
    <n v="6122"/>
    <x v="103"/>
    <x v="99"/>
    <d v="2025-09-22T00:00:00"/>
    <x v="11"/>
    <s v="Throw Pillow"/>
    <x v="1"/>
    <n v="1"/>
    <n v="22"/>
    <n v="22"/>
    <s v="Sale"/>
    <s v="Paypal"/>
  </r>
  <r>
    <n v="6123"/>
    <x v="3"/>
    <x v="3"/>
    <d v="2025-07-04T00:00:00"/>
    <x v="10"/>
    <s v="Floor Lamp"/>
    <x v="3"/>
    <n v="2"/>
    <n v="89"/>
    <n v="178"/>
    <s v="Sale"/>
    <s v="Credit Card"/>
  </r>
  <r>
    <n v="6124"/>
    <x v="73"/>
    <x v="72"/>
    <d v="2025-01-06T00:00:00"/>
    <x v="9"/>
    <s v="Wool Blanket"/>
    <x v="0"/>
    <n v="2"/>
    <n v="70"/>
    <n v="140"/>
    <s v="Sale"/>
    <s v="Paypal"/>
  </r>
  <r>
    <n v="6125"/>
    <x v="7"/>
    <x v="7"/>
    <d v="2025-07-30T00:00:00"/>
    <x v="10"/>
    <s v="Wall Mirror"/>
    <x v="1"/>
    <n v="1"/>
    <n v="65"/>
    <n v="65"/>
    <s v="Sale"/>
    <s v="Credit Card"/>
  </r>
  <r>
    <n v="6126"/>
    <x v="69"/>
    <x v="68"/>
    <d v="2025-09-19T00:00:00"/>
    <x v="11"/>
    <s v="Memory Foam Pillow"/>
    <x v="0"/>
    <n v="2"/>
    <n v="32"/>
    <n v="64"/>
    <s v="Sale"/>
    <s v="Debit Card"/>
  </r>
  <r>
    <n v="6127"/>
    <x v="23"/>
    <x v="23"/>
    <d v="2025-09-29T00:00:00"/>
    <x v="11"/>
    <s v="Throw Pillow"/>
    <x v="1"/>
    <n v="1"/>
    <n v="22"/>
    <n v="22"/>
    <s v="Sale"/>
    <s v="Debit Card"/>
  </r>
  <r>
    <n v="6128"/>
    <x v="51"/>
    <x v="51"/>
    <d v="2025-11-21T00:00:00"/>
    <x v="0"/>
    <s v="Cutting Board"/>
    <x v="2"/>
    <n v="2"/>
    <n v="16"/>
    <n v="32"/>
    <s v="Sale"/>
    <s v="Credit Card"/>
  </r>
  <r>
    <n v="6129"/>
    <x v="16"/>
    <x v="16"/>
    <d v="2025-01-29T00:00:00"/>
    <x v="9"/>
    <s v="Cutting Board"/>
    <x v="2"/>
    <n v="1"/>
    <n v="19"/>
    <n v="19"/>
    <s v="Sale"/>
    <s v="Paypal"/>
  </r>
  <r>
    <n v="6130"/>
    <x v="94"/>
    <x v="91"/>
    <d v="2025-02-13T00:00:00"/>
    <x v="7"/>
    <s v="String Lights"/>
    <x v="3"/>
    <n v="1"/>
    <n v="18"/>
    <n v="18"/>
    <s v="Sale"/>
    <s v="Credit Card"/>
  </r>
  <r>
    <n v="6131"/>
    <x v="86"/>
    <x v="83"/>
    <d v="2025-02-07T00:00:00"/>
    <x v="7"/>
    <s v="Wool Blanket"/>
    <x v="0"/>
    <n v="2"/>
    <n v="67"/>
    <n v="134"/>
    <s v="Sale"/>
    <s v="Paypal"/>
  </r>
  <r>
    <n v="6132"/>
    <x v="46"/>
    <x v="46"/>
    <d v="2025-03-05T00:00:00"/>
    <x v="3"/>
    <s v="String Lights"/>
    <x v="3"/>
    <n v="3"/>
    <n v="18"/>
    <n v="54"/>
    <s v="Sale"/>
    <s v="Debit Card"/>
  </r>
  <r>
    <n v="6133"/>
    <x v="33"/>
    <x v="33"/>
    <d v="2025-10-21T00:00:00"/>
    <x v="4"/>
    <s v="String Lights"/>
    <x v="3"/>
    <n v="1"/>
    <n v="18"/>
    <n v="18"/>
    <s v="Sale"/>
    <s v="Debit Card"/>
  </r>
  <r>
    <n v="6134"/>
    <x v="6"/>
    <x v="6"/>
    <d v="2025-07-27T00:00:00"/>
    <x v="10"/>
    <s v="Cutting Board"/>
    <x v="2"/>
    <n v="1"/>
    <n v="19.095238095238095"/>
    <n v="19.095238095238095"/>
    <s v="Sale"/>
    <s v="Paypal"/>
  </r>
  <r>
    <n v="6135"/>
    <x v="24"/>
    <x v="24"/>
    <d v="2025-05-17T00:00:00"/>
    <x v="2"/>
    <s v="Wool Blanket"/>
    <x v="0"/>
    <n v="1"/>
    <n v="69.878787878787875"/>
    <n v="69.878787878787875"/>
    <s v="Sale"/>
    <s v="Paypal"/>
  </r>
  <r>
    <n v="6136"/>
    <x v="63"/>
    <x v="62"/>
    <d v="2025-09-19T00:00:00"/>
    <x v="11"/>
    <s v="Throw Pillow"/>
    <x v="1"/>
    <n v="1"/>
    <n v="25"/>
    <n v="25"/>
    <s v="Sale"/>
    <s v="Credit Card"/>
  </r>
  <r>
    <n v="6137"/>
    <x v="68"/>
    <x v="67"/>
    <d v="2025-04-29T00:00:00"/>
    <x v="6"/>
    <s v="Wall Mirror"/>
    <x v="1"/>
    <n v="2"/>
    <n v="65"/>
    <n v="130"/>
    <s v="Sale"/>
    <s v="Debit Card"/>
  </r>
  <r>
    <n v="6138"/>
    <x v="26"/>
    <x v="26"/>
    <d v="2025-10-11T00:00:00"/>
    <x v="4"/>
    <s v="Floor Lamp"/>
    <x v="3"/>
    <n v="3"/>
    <n v="86"/>
    <n v="258"/>
    <s v="Sale"/>
    <s v="Unknown"/>
  </r>
  <r>
    <n v="6139"/>
    <x v="3"/>
    <x v="3"/>
    <d v="2025-09-18T00:00:00"/>
    <x v="11"/>
    <s v="Floor Lamp"/>
    <x v="3"/>
    <n v="-1"/>
    <n v="89"/>
    <n v="-89"/>
    <s v="Return"/>
    <s v="Debit Card"/>
  </r>
  <r>
    <n v="6140"/>
    <x v="14"/>
    <x v="14"/>
    <d v="2025-02-26T00:00:00"/>
    <x v="7"/>
    <s v="Cutting Board"/>
    <x v="2"/>
    <n v="1"/>
    <n v="16"/>
    <n v="16"/>
    <s v="Sale"/>
    <s v="Credit Card"/>
  </r>
  <r>
    <n v="6141"/>
    <x v="25"/>
    <x v="25"/>
    <d v="2025-12-18T00:00:00"/>
    <x v="5"/>
    <s v="Wool Blanket"/>
    <x v="0"/>
    <n v="2"/>
    <n v="70"/>
    <n v="140"/>
    <s v="Sale"/>
    <s v="Debit Card"/>
  </r>
  <r>
    <n v="6142"/>
    <x v="7"/>
    <x v="7"/>
    <d v="2025-07-24T00:00:00"/>
    <x v="10"/>
    <s v="Ceramic Mug Set"/>
    <x v="2"/>
    <n v="2"/>
    <n v="27"/>
    <n v="54"/>
    <s v="Sale"/>
    <s v="Debit Card"/>
  </r>
  <r>
    <n v="6143"/>
    <x v="107"/>
    <x v="5"/>
    <d v="2025-06-23T00:00:00"/>
    <x v="8"/>
    <s v="Wall Mirror"/>
    <x v="1"/>
    <n v="3"/>
    <n v="62"/>
    <n v="186"/>
    <s v="Sale"/>
    <s v="Debit Card"/>
  </r>
  <r>
    <n v="6144"/>
    <x v="74"/>
    <x v="73"/>
    <d v="2025-08-16T00:00:00"/>
    <x v="1"/>
    <s v="Ceramic Vase"/>
    <x v="1"/>
    <n v="1"/>
    <n v="28"/>
    <n v="28"/>
    <s v="Sale"/>
    <s v="Credit Card"/>
  </r>
  <r>
    <n v="6145"/>
    <x v="90"/>
    <x v="87"/>
    <d v="2025-11-05T00:00:00"/>
    <x v="0"/>
    <s v="Floor Lamp"/>
    <x v="3"/>
    <n v="1"/>
    <n v="86"/>
    <n v="86"/>
    <s v="Sale"/>
    <s v="Paypal"/>
  </r>
  <r>
    <n v="6146"/>
    <x v="77"/>
    <x v="75"/>
    <d v="2025-11-08T00:00:00"/>
    <x v="0"/>
    <s v="Wool Blanket"/>
    <x v="0"/>
    <n v="2"/>
    <n v="70"/>
    <n v="140"/>
    <s v="Sale"/>
    <s v="Debit Card"/>
  </r>
  <r>
    <n v="6147"/>
    <x v="76"/>
    <x v="46"/>
    <d v="2025-02-14T00:00:00"/>
    <x v="7"/>
    <s v="Throw Pillow"/>
    <x v="1"/>
    <n v="3"/>
    <n v="22"/>
    <n v="66"/>
    <s v="Sale"/>
    <s v="Credit Card"/>
  </r>
  <r>
    <n v="6148"/>
    <x v="42"/>
    <x v="42"/>
    <d v="2025-10-14T00:00:00"/>
    <x v="4"/>
    <s v="Table Lamp"/>
    <x v="3"/>
    <n v="3"/>
    <n v="45.091836734693878"/>
    <n v="135.27551020408163"/>
    <s v="Sale"/>
    <s v="Debit Card"/>
  </r>
  <r>
    <n v="6149"/>
    <x v="59"/>
    <x v="58"/>
    <d v="2025-02-13T00:00:00"/>
    <x v="7"/>
    <s v="Ceramic Vase"/>
    <x v="1"/>
    <n v="3"/>
    <n v="28"/>
    <n v="84"/>
    <s v="Sale"/>
    <s v="Debit Card"/>
  </r>
  <r>
    <n v="6150"/>
    <x v="4"/>
    <x v="4"/>
    <d v="2025-08-13T00:00:00"/>
    <x v="1"/>
    <s v="Cutting Board"/>
    <x v="2"/>
    <n v="1"/>
    <n v="16"/>
    <n v="16"/>
    <s v="Sale"/>
    <s v="Credit Card"/>
  </r>
  <r>
    <n v="6151"/>
    <x v="76"/>
    <x v="46"/>
    <d v="2025-01-23T00:00:00"/>
    <x v="9"/>
    <s v="Wool Blanket"/>
    <x v="0"/>
    <n v="2"/>
    <n v="70"/>
    <n v="140"/>
    <s v="Sale"/>
    <s v="Debit Card"/>
  </r>
  <r>
    <n v="6152"/>
    <x v="63"/>
    <x v="62"/>
    <d v="2025-06-11T00:00:00"/>
    <x v="8"/>
    <s v="Cutting Board"/>
    <x v="2"/>
    <n v="2"/>
    <n v="22"/>
    <n v="44"/>
    <s v="Sale"/>
    <s v="Debit Card"/>
  </r>
  <r>
    <n v="6153"/>
    <x v="93"/>
    <x v="90"/>
    <d v="2025-04-08T00:00:00"/>
    <x v="6"/>
    <s v="Ceramic Mug Set"/>
    <x v="2"/>
    <n v="3"/>
    <n v="21"/>
    <n v="63"/>
    <s v="Sale"/>
    <s v="Debit Card"/>
  </r>
  <r>
    <n v="6154"/>
    <x v="72"/>
    <x v="71"/>
    <d v="2025-07-02T00:00:00"/>
    <x v="10"/>
    <s v="String Lights"/>
    <x v="3"/>
    <n v="1"/>
    <n v="18"/>
    <n v="18"/>
    <s v="Sale"/>
    <s v="Debit Card"/>
  </r>
  <r>
    <n v="6155"/>
    <x v="47"/>
    <x v="47"/>
    <d v="2025-03-10T00:00:00"/>
    <x v="3"/>
    <s v="Wall Mirror"/>
    <x v="1"/>
    <n v="1"/>
    <n v="65"/>
    <n v="65"/>
    <s v="Sale"/>
    <s v="Debit Card"/>
  </r>
  <r>
    <n v="6156"/>
    <x v="53"/>
    <x v="53"/>
    <d v="2025-01-15T00:00:00"/>
    <x v="9"/>
    <s v="Wool Blanket"/>
    <x v="0"/>
    <n v="1"/>
    <n v="70"/>
    <n v="70"/>
    <s v="Sale"/>
    <s v="Debit Card"/>
  </r>
  <r>
    <n v="6157"/>
    <x v="62"/>
    <x v="61"/>
    <d v="2025-02-04T00:00:00"/>
    <x v="7"/>
    <s v="Memory Foam Pillow"/>
    <x v="0"/>
    <n v="-1"/>
    <n v="35"/>
    <n v="-35"/>
    <s v="Return"/>
    <s v="Credit Card"/>
  </r>
  <r>
    <n v="6158"/>
    <x v="13"/>
    <x v="13"/>
    <d v="2025-03-21T00:00:00"/>
    <x v="3"/>
    <s v="Ceramic Mug Set"/>
    <x v="2"/>
    <n v="2"/>
    <n v="24"/>
    <n v="48"/>
    <s v="Sale"/>
    <s v="Credit Card"/>
  </r>
  <r>
    <n v="6159"/>
    <x v="12"/>
    <x v="12"/>
    <d v="2025-11-01T00:00:00"/>
    <x v="0"/>
    <s v="Throw Pillow"/>
    <x v="1"/>
    <n v="2"/>
    <n v="22"/>
    <n v="44"/>
    <s v="Sale"/>
    <s v="Credit Card"/>
  </r>
  <r>
    <n v="6160"/>
    <x v="56"/>
    <x v="56"/>
    <d v="2025-11-02T00:00:00"/>
    <x v="0"/>
    <s v="Cotton Bedsheet Set"/>
    <x v="0"/>
    <n v="1"/>
    <n v="52"/>
    <n v="52"/>
    <s v="Sale"/>
    <s v="Paypal"/>
  </r>
  <r>
    <n v="6161"/>
    <x v="4"/>
    <x v="4"/>
    <d v="2025-01-24T00:00:00"/>
    <x v="9"/>
    <s v="Cutting Board"/>
    <x v="2"/>
    <n v="2"/>
    <n v="19.095238095238095"/>
    <n v="38.19047619047619"/>
    <s v="Sale"/>
    <s v="Debit Card"/>
  </r>
  <r>
    <n v="6162"/>
    <x v="18"/>
    <x v="18"/>
    <d v="2025-07-24T00:00:00"/>
    <x v="10"/>
    <s v="Table Lamp"/>
    <x v="3"/>
    <n v="1"/>
    <n v="45"/>
    <n v="45"/>
    <s v="Sale"/>
    <s v="Unknown"/>
  </r>
  <r>
    <n v="6163"/>
    <x v="97"/>
    <x v="94"/>
    <d v="2025-09-21T00:00:00"/>
    <x v="11"/>
    <s v="Non-Stick Pan Set"/>
    <x v="2"/>
    <n v="2"/>
    <n v="63"/>
    <n v="126"/>
    <s v="Sale"/>
    <s v="Unknown"/>
  </r>
  <r>
    <n v="6164"/>
    <x v="46"/>
    <x v="46"/>
    <d v="2025-04-20T00:00:00"/>
    <x v="6"/>
    <s v="Wool Blanket"/>
    <x v="0"/>
    <n v="1"/>
    <n v="70"/>
    <n v="70"/>
    <s v="Sale"/>
    <s v="Paypal"/>
  </r>
  <r>
    <n v="6165"/>
    <x v="7"/>
    <x v="7"/>
    <d v="2025-12-27T00:00:00"/>
    <x v="5"/>
    <s v="Wool Blanket"/>
    <x v="0"/>
    <n v="2"/>
    <n v="69.878787878787875"/>
    <n v="139.75757575757575"/>
    <s v="Sale"/>
    <s v="Credit Card"/>
  </r>
  <r>
    <n v="6166"/>
    <x v="74"/>
    <x v="73"/>
    <d v="2025-01-23T00:00:00"/>
    <x v="9"/>
    <s v="Ceramic Vase"/>
    <x v="1"/>
    <n v="1"/>
    <n v="28"/>
    <n v="28"/>
    <s v="Sale"/>
    <s v="Debit Card"/>
  </r>
  <r>
    <n v="6167"/>
    <x v="94"/>
    <x v="91"/>
    <d v="2025-09-09T00:00:00"/>
    <x v="11"/>
    <s v="Table Lamp"/>
    <x v="3"/>
    <n v="-2"/>
    <n v="45.091836734693878"/>
    <n v="-90.183673469387756"/>
    <s v="Return"/>
    <s v="Debit Card"/>
  </r>
  <r>
    <n v="6168"/>
    <x v="54"/>
    <x v="54"/>
    <d v="2025-09-14T00:00:00"/>
    <x v="11"/>
    <s v="Cutting Board"/>
    <x v="2"/>
    <n v="1"/>
    <n v="19"/>
    <n v="19"/>
    <s v="Sale"/>
    <s v="Debit Card"/>
  </r>
  <r>
    <n v="6169"/>
    <x v="64"/>
    <x v="63"/>
    <d v="2025-08-31T00:00:00"/>
    <x v="1"/>
    <s v="Wall Mirror"/>
    <x v="1"/>
    <n v="2"/>
    <n v="65"/>
    <n v="130"/>
    <s v="Sale"/>
    <s v="Debit Card"/>
  </r>
  <r>
    <n v="6170"/>
    <x v="83"/>
    <x v="80"/>
    <d v="2025-09-15T00:00:00"/>
    <x v="11"/>
    <s v="Cotton Bedsheet Set"/>
    <x v="0"/>
    <n v="1"/>
    <n v="55"/>
    <n v="55"/>
    <s v="Sale"/>
    <s v="Credit Card"/>
  </r>
  <r>
    <n v="6171"/>
    <x v="41"/>
    <x v="41"/>
    <d v="2025-06-24T00:00:00"/>
    <x v="8"/>
    <s v="String Lights"/>
    <x v="3"/>
    <n v="3"/>
    <n v="18"/>
    <n v="54"/>
    <s v="Sale"/>
    <s v="Debit Card"/>
  </r>
  <r>
    <n v="6172"/>
    <x v="28"/>
    <x v="28"/>
    <d v="2025-07-30T00:00:00"/>
    <x v="10"/>
    <s v="Ceramic Mug Set"/>
    <x v="2"/>
    <n v="1"/>
    <n v="24"/>
    <n v="24"/>
    <s v="Sale"/>
    <s v="Debit Card"/>
  </r>
  <r>
    <n v="6173"/>
    <x v="75"/>
    <x v="74"/>
    <d v="2025-04-18T00:00:00"/>
    <x v="6"/>
    <s v="Ceramic Vase"/>
    <x v="1"/>
    <n v="-1"/>
    <n v="28"/>
    <n v="-28"/>
    <s v="Return"/>
    <s v="Paypal"/>
  </r>
  <r>
    <n v="6174"/>
    <x v="57"/>
    <x v="57"/>
    <d v="2025-01-11T00:00:00"/>
    <x v="9"/>
    <s v="Ceramic Mug Set"/>
    <x v="2"/>
    <n v="1"/>
    <n v="21"/>
    <n v="21"/>
    <s v="Sale"/>
    <s v="Debit Card"/>
  </r>
  <r>
    <n v="6175"/>
    <x v="2"/>
    <x v="2"/>
    <d v="2025-11-13T00:00:00"/>
    <x v="0"/>
    <s v="Wall Mirror"/>
    <x v="1"/>
    <n v="1"/>
    <n v="65"/>
    <n v="65"/>
    <s v="Sale"/>
    <s v="Paypal"/>
  </r>
  <r>
    <n v="6176"/>
    <x v="90"/>
    <x v="87"/>
    <d v="2025-10-10T00:00:00"/>
    <x v="4"/>
    <s v="Ceramic Vase"/>
    <x v="1"/>
    <n v="1"/>
    <n v="28"/>
    <n v="28"/>
    <s v="Sale"/>
    <s v="Credit Card"/>
  </r>
  <r>
    <n v="6177"/>
    <x v="69"/>
    <x v="68"/>
    <d v="2025-02-04T00:00:00"/>
    <x v="7"/>
    <s v="Wall Mirror"/>
    <x v="1"/>
    <n v="3"/>
    <n v="65"/>
    <n v="195"/>
    <s v="Sale"/>
    <s v="Paypal"/>
  </r>
  <r>
    <n v="6178"/>
    <x v="4"/>
    <x v="4"/>
    <d v="2025-02-20T00:00:00"/>
    <x v="7"/>
    <s v="Floor Lamp"/>
    <x v="3"/>
    <n v="2"/>
    <n v="89"/>
    <n v="178"/>
    <s v="Sale"/>
    <s v="Credit Card"/>
  </r>
  <r>
    <n v="6179"/>
    <x v="60"/>
    <x v="59"/>
    <d v="2025-03-06T00:00:00"/>
    <x v="3"/>
    <s v="Wool Blanket"/>
    <x v="0"/>
    <n v="2"/>
    <n v="70"/>
    <n v="140"/>
    <s v="Sale"/>
    <s v="Debit Card"/>
  </r>
  <r>
    <n v="6180"/>
    <x v="70"/>
    <x v="69"/>
    <d v="2025-03-21T00:00:00"/>
    <x v="3"/>
    <s v="Throw Pillow"/>
    <x v="1"/>
    <n v="3"/>
    <n v="19"/>
    <n v="57"/>
    <s v="Sale"/>
    <s v="Debit Card"/>
  </r>
  <r>
    <n v="6181"/>
    <x v="77"/>
    <x v="75"/>
    <d v="2025-10-03T00:00:00"/>
    <x v="4"/>
    <s v="Wall Mirror"/>
    <x v="1"/>
    <n v="1"/>
    <n v="65"/>
    <n v="65"/>
    <s v="Sale"/>
    <s v="Debit Card"/>
  </r>
  <r>
    <n v="6182"/>
    <x v="8"/>
    <x v="8"/>
    <d v="2025-08-20T00:00:00"/>
    <x v="1"/>
    <s v="Cutting Board"/>
    <x v="2"/>
    <n v="1"/>
    <n v="22"/>
    <n v="22"/>
    <s v="Sale"/>
    <s v="Debit Card"/>
  </r>
  <r>
    <n v="6183"/>
    <x v="83"/>
    <x v="80"/>
    <d v="2025-09-22T00:00:00"/>
    <x v="11"/>
    <s v="Ceramic Mug Set"/>
    <x v="2"/>
    <n v="2"/>
    <n v="21"/>
    <n v="42"/>
    <s v="Sale"/>
    <s v="Credit Card"/>
  </r>
  <r>
    <n v="6184"/>
    <x v="68"/>
    <x v="67"/>
    <d v="2025-07-21T00:00:00"/>
    <x v="10"/>
    <s v="String Lights"/>
    <x v="3"/>
    <n v="1"/>
    <n v="18"/>
    <n v="18"/>
    <s v="Sale"/>
    <s v="Debit Card"/>
  </r>
  <r>
    <n v="6185"/>
    <x v="47"/>
    <x v="47"/>
    <d v="2025-09-21T00:00:00"/>
    <x v="11"/>
    <s v="Table Lamp"/>
    <x v="3"/>
    <n v="1"/>
    <n v="48"/>
    <n v="48"/>
    <s v="Sale"/>
    <s v="Credit Card"/>
  </r>
  <r>
    <n v="6186"/>
    <x v="105"/>
    <x v="101"/>
    <d v="2025-12-27T00:00:00"/>
    <x v="5"/>
    <s v="Wall Mirror"/>
    <x v="1"/>
    <n v="3"/>
    <n v="62"/>
    <n v="186"/>
    <s v="Sale"/>
    <s v="Credit Card"/>
  </r>
  <r>
    <n v="6187"/>
    <x v="91"/>
    <x v="88"/>
    <d v="2025-07-27T00:00:00"/>
    <x v="10"/>
    <s v="Wall Mirror"/>
    <x v="1"/>
    <n v="3"/>
    <n v="65"/>
    <n v="195"/>
    <s v="Sale"/>
    <s v="Paypal"/>
  </r>
  <r>
    <n v="6188"/>
    <x v="102"/>
    <x v="98"/>
    <d v="2025-11-02T00:00:00"/>
    <x v="0"/>
    <s v="Non-Stick Pan Set"/>
    <x v="2"/>
    <n v="1"/>
    <n v="57"/>
    <n v="57"/>
    <s v="Sale"/>
    <s v="Credit Card"/>
  </r>
  <r>
    <n v="6189"/>
    <x v="110"/>
    <x v="105"/>
    <d v="2025-11-24T00:00:00"/>
    <x v="0"/>
    <s v="Floor Lamp"/>
    <x v="3"/>
    <n v="1"/>
    <n v="89"/>
    <n v="89"/>
    <s v="Sale"/>
    <s v="Debit Card"/>
  </r>
  <r>
    <n v="6190"/>
    <x v="15"/>
    <x v="15"/>
    <d v="2025-07-02T00:00:00"/>
    <x v="10"/>
    <s v="Wool Blanket"/>
    <x v="0"/>
    <n v="2"/>
    <n v="67"/>
    <n v="134"/>
    <s v="Sale"/>
    <s v="Debit Card"/>
  </r>
  <r>
    <n v="6191"/>
    <x v="101"/>
    <x v="97"/>
    <d v="2025-06-25T00:00:00"/>
    <x v="8"/>
    <s v="Wool Blanket"/>
    <x v="0"/>
    <n v="1"/>
    <n v="70"/>
    <n v="70"/>
    <s v="Sale"/>
    <s v="Paypal"/>
  </r>
  <r>
    <n v="6192"/>
    <x v="70"/>
    <x v="69"/>
    <d v="2025-10-13T00:00:00"/>
    <x v="4"/>
    <s v="String Lights"/>
    <x v="3"/>
    <n v="2"/>
    <n v="17.804347826086957"/>
    <n v="35.608695652173914"/>
    <s v="Sale"/>
    <s v="Credit Card"/>
  </r>
  <r>
    <n v="6193"/>
    <x v="83"/>
    <x v="80"/>
    <d v="2025-01-12T00:00:00"/>
    <x v="9"/>
    <s v="Ceramic Vase"/>
    <x v="1"/>
    <n v="1"/>
    <n v="28"/>
    <n v="28"/>
    <s v="Sale"/>
    <s v="Paypal"/>
  </r>
  <r>
    <n v="6194"/>
    <x v="7"/>
    <x v="7"/>
    <d v="2025-09-26T00:00:00"/>
    <x v="11"/>
    <s v="String Lights"/>
    <x v="3"/>
    <n v="1"/>
    <n v="21"/>
    <n v="21"/>
    <s v="Sale"/>
    <s v="Debit Card"/>
  </r>
  <r>
    <n v="6195"/>
    <x v="84"/>
    <x v="81"/>
    <d v="2025-01-21T00:00:00"/>
    <x v="9"/>
    <s v="Cotton Bedsheet Set"/>
    <x v="0"/>
    <n v="2"/>
    <n v="55"/>
    <n v="110"/>
    <s v="Sale"/>
    <s v="Unknown"/>
  </r>
  <r>
    <n v="6196"/>
    <x v="88"/>
    <x v="85"/>
    <d v="2025-02-10T00:00:00"/>
    <x v="7"/>
    <s v="Wall Mirror"/>
    <x v="1"/>
    <n v="2"/>
    <n v="68"/>
    <n v="136"/>
    <s v="Sale"/>
    <s v="Credit Card"/>
  </r>
  <r>
    <n v="6197"/>
    <x v="53"/>
    <x v="53"/>
    <d v="2025-04-10T00:00:00"/>
    <x v="6"/>
    <s v="Table Lamp"/>
    <x v="3"/>
    <n v="-1"/>
    <n v="42"/>
    <n v="-42"/>
    <s v="Return"/>
    <s v="Debit Card"/>
  </r>
  <r>
    <n v="6198"/>
    <x v="70"/>
    <x v="69"/>
    <d v="2025-03-06T00:00:00"/>
    <x v="3"/>
    <s v="Cotton Bedsheet Set"/>
    <x v="0"/>
    <n v="1"/>
    <n v="58"/>
    <n v="58"/>
    <s v="Sale"/>
    <s v="Credit Card"/>
  </r>
  <r>
    <n v="6199"/>
    <x v="1"/>
    <x v="1"/>
    <d v="2025-07-24T00:00:00"/>
    <x v="10"/>
    <s v="Throw Pillow"/>
    <x v="1"/>
    <n v="2"/>
    <n v="19"/>
    <n v="38"/>
    <s v="Sale"/>
    <s v="Debit Card"/>
  </r>
  <r>
    <n v="6200"/>
    <x v="51"/>
    <x v="51"/>
    <d v="2025-05-05T00:00:00"/>
    <x v="2"/>
    <s v="Table Lamp"/>
    <x v="3"/>
    <n v="1"/>
    <n v="48"/>
    <n v="48"/>
    <s v="Sale"/>
    <s v="Debit Card"/>
  </r>
  <r>
    <n v="6201"/>
    <x v="94"/>
    <x v="91"/>
    <d v="2025-03-02T00:00:00"/>
    <x v="3"/>
    <s v="Cutting Board"/>
    <x v="2"/>
    <n v="1"/>
    <n v="16"/>
    <n v="16"/>
    <s v="Sale"/>
    <s v="Paypal"/>
  </r>
  <r>
    <n v="6202"/>
    <x v="105"/>
    <x v="101"/>
    <d v="2025-01-18T00:00:00"/>
    <x v="9"/>
    <s v="Ceramic Vase"/>
    <x v="1"/>
    <n v="3"/>
    <n v="28"/>
    <n v="84"/>
    <s v="Sale"/>
    <s v="Credit Card"/>
  </r>
  <r>
    <n v="6203"/>
    <x v="109"/>
    <x v="104"/>
    <d v="2025-09-25T00:00:00"/>
    <x v="11"/>
    <s v="Ceramic Vase"/>
    <x v="1"/>
    <n v="-2"/>
    <n v="31"/>
    <n v="-62"/>
    <s v="Return"/>
    <s v="Paypal"/>
  </r>
  <r>
    <n v="6204"/>
    <x v="13"/>
    <x v="13"/>
    <d v="2025-04-21T00:00:00"/>
    <x v="6"/>
    <s v="String Lights"/>
    <x v="3"/>
    <n v="1"/>
    <n v="18"/>
    <n v="18"/>
    <s v="Sale"/>
    <s v="Credit Card"/>
  </r>
  <r>
    <n v="6205"/>
    <x v="17"/>
    <x v="17"/>
    <d v="2025-03-05T00:00:00"/>
    <x v="3"/>
    <s v="Non-Stick Pan Set"/>
    <x v="2"/>
    <n v="1"/>
    <n v="63"/>
    <n v="63"/>
    <s v="Sale"/>
    <s v="Credit Card"/>
  </r>
  <r>
    <n v="6206"/>
    <x v="8"/>
    <x v="8"/>
    <d v="2025-05-09T00:00:00"/>
    <x v="2"/>
    <s v="Wool Blanket"/>
    <x v="0"/>
    <n v="2"/>
    <n v="70"/>
    <n v="140"/>
    <s v="Sale"/>
    <s v="Paypal"/>
  </r>
  <r>
    <n v="6207"/>
    <x v="59"/>
    <x v="58"/>
    <d v="2025-07-25T00:00:00"/>
    <x v="10"/>
    <s v="Ceramic Vase"/>
    <x v="1"/>
    <n v="1"/>
    <n v="28"/>
    <n v="28"/>
    <s v="Sale"/>
    <s v="Paypal"/>
  </r>
  <r>
    <n v="6208"/>
    <x v="94"/>
    <x v="91"/>
    <d v="2025-09-28T00:00:00"/>
    <x v="11"/>
    <s v="Cotton Bedsheet Set"/>
    <x v="0"/>
    <n v="2"/>
    <n v="58"/>
    <n v="116"/>
    <s v="Sale"/>
    <s v="Credit Card"/>
  </r>
  <r>
    <n v="6209"/>
    <x v="55"/>
    <x v="55"/>
    <d v="2025-11-16T00:00:00"/>
    <x v="0"/>
    <s v="Cotton Bedsheet Set"/>
    <x v="0"/>
    <n v="3"/>
    <n v="52"/>
    <n v="156"/>
    <s v="Sale"/>
    <s v="Paypal"/>
  </r>
  <r>
    <n v="6210"/>
    <x v="87"/>
    <x v="84"/>
    <d v="2025-12-07T00:00:00"/>
    <x v="5"/>
    <s v="Memory Foam Pillow"/>
    <x v="0"/>
    <n v="1"/>
    <n v="32"/>
    <n v="32"/>
    <s v="Sale"/>
    <s v="Credit Card"/>
  </r>
  <r>
    <n v="6211"/>
    <x v="8"/>
    <x v="8"/>
    <d v="2025-07-11T00:00:00"/>
    <x v="10"/>
    <s v="Ceramic Vase"/>
    <x v="1"/>
    <n v="1"/>
    <n v="31"/>
    <n v="31"/>
    <s v="Sale"/>
    <s v="Debit Card"/>
  </r>
  <r>
    <n v="6212"/>
    <x v="79"/>
    <x v="23"/>
    <d v="2025-10-07T00:00:00"/>
    <x v="4"/>
    <s v="Ceramic Vase"/>
    <x v="1"/>
    <n v="2"/>
    <n v="28"/>
    <n v="56"/>
    <s v="Sale"/>
    <s v="Debit Card"/>
  </r>
  <r>
    <n v="6213"/>
    <x v="94"/>
    <x v="91"/>
    <d v="2025-09-25T00:00:00"/>
    <x v="11"/>
    <s v="Cotton Bedsheet Set"/>
    <x v="0"/>
    <n v="1"/>
    <n v="55"/>
    <n v="55"/>
    <s v="Sale"/>
    <s v="Paypal"/>
  </r>
  <r>
    <n v="6214"/>
    <x v="98"/>
    <x v="95"/>
    <d v="2025-09-09T00:00:00"/>
    <x v="11"/>
    <s v="String Lights"/>
    <x v="3"/>
    <n v="2"/>
    <n v="15"/>
    <n v="30"/>
    <s v="Sale"/>
    <s v="Credit Card"/>
  </r>
  <r>
    <n v="6215"/>
    <x v="80"/>
    <x v="77"/>
    <d v="2025-01-03T00:00:00"/>
    <x v="9"/>
    <s v="Memory Foam Pillow"/>
    <x v="0"/>
    <n v="3"/>
    <n v="35"/>
    <n v="105"/>
    <s v="Sale"/>
    <s v="Paypal"/>
  </r>
  <r>
    <n v="6216"/>
    <x v="107"/>
    <x v="5"/>
    <d v="2025-02-23T00:00:00"/>
    <x v="7"/>
    <s v="Throw Pillow"/>
    <x v="1"/>
    <n v="2"/>
    <n v="25"/>
    <n v="50"/>
    <s v="Sale"/>
    <s v="Unknown"/>
  </r>
  <r>
    <n v="6217"/>
    <x v="84"/>
    <x v="81"/>
    <d v="2025-02-09T00:00:00"/>
    <x v="7"/>
    <s v="Floor Lamp"/>
    <x v="3"/>
    <n v="1"/>
    <n v="89"/>
    <n v="89"/>
    <s v="Sale"/>
    <s v="Debit Card"/>
  </r>
  <r>
    <n v="6218"/>
    <x v="72"/>
    <x v="71"/>
    <d v="2025-01-10T00:00:00"/>
    <x v="9"/>
    <s v="String Lights"/>
    <x v="3"/>
    <n v="1"/>
    <n v="18"/>
    <n v="18"/>
    <s v="Sale"/>
    <s v="Credit Card"/>
  </r>
  <r>
    <n v="6219"/>
    <x v="41"/>
    <x v="41"/>
    <d v="2025-10-20T00:00:00"/>
    <x v="4"/>
    <s v="Ceramic Mug Set"/>
    <x v="2"/>
    <n v="1"/>
    <n v="24"/>
    <n v="24"/>
    <s v="Sale"/>
    <s v="Unknown"/>
  </r>
  <r>
    <n v="6220"/>
    <x v="92"/>
    <x v="89"/>
    <d v="2025-05-05T00:00:00"/>
    <x v="2"/>
    <s v="Memory Foam Pillow"/>
    <x v="0"/>
    <n v="3"/>
    <n v="35"/>
    <n v="105"/>
    <s v="Sale"/>
    <s v="Credit Card"/>
  </r>
  <r>
    <n v="6221"/>
    <x v="69"/>
    <x v="68"/>
    <d v="2025-03-02T00:00:00"/>
    <x v="3"/>
    <s v="Wall Mirror"/>
    <x v="1"/>
    <n v="-1"/>
    <n v="65"/>
    <n v="-65"/>
    <s v="Return"/>
    <s v="Debit Card"/>
  </r>
  <r>
    <n v="6222"/>
    <x v="77"/>
    <x v="75"/>
    <d v="2025-05-06T00:00:00"/>
    <x v="2"/>
    <s v="Table Lamp"/>
    <x v="3"/>
    <n v="2"/>
    <n v="48"/>
    <n v="96"/>
    <s v="Sale"/>
    <s v="Debit Card"/>
  </r>
  <r>
    <n v="6223"/>
    <x v="3"/>
    <x v="3"/>
    <d v="2025-01-26T00:00:00"/>
    <x v="9"/>
    <s v="Ceramic Vase"/>
    <x v="1"/>
    <n v="1"/>
    <n v="28"/>
    <n v="28"/>
    <s v="Sale"/>
    <s v="Credit Card"/>
  </r>
  <r>
    <n v="6224"/>
    <x v="19"/>
    <x v="19"/>
    <d v="2025-09-12T00:00:00"/>
    <x v="11"/>
    <s v="Ceramic Vase"/>
    <x v="1"/>
    <n v="1"/>
    <n v="31"/>
    <n v="31"/>
    <s v="Sale"/>
    <s v="Debit Card"/>
  </r>
  <r>
    <n v="6225"/>
    <x v="81"/>
    <x v="78"/>
    <d v="2025-05-21T00:00:00"/>
    <x v="2"/>
    <s v="Throw Pillow"/>
    <x v="1"/>
    <n v="1"/>
    <n v="25"/>
    <n v="25"/>
    <s v="Sale"/>
    <s v="Debit Card"/>
  </r>
  <r>
    <n v="6226"/>
    <x v="70"/>
    <x v="69"/>
    <d v="2025-11-07T00:00:00"/>
    <x v="0"/>
    <s v="Wool Blanket"/>
    <x v="0"/>
    <n v="1"/>
    <n v="67"/>
    <n v="67"/>
    <s v="Sale"/>
    <s v="Paypal"/>
  </r>
  <r>
    <n v="6227"/>
    <x v="103"/>
    <x v="99"/>
    <d v="2025-10-17T00:00:00"/>
    <x v="4"/>
    <s v="Throw Pillow"/>
    <x v="1"/>
    <n v="2"/>
    <n v="22"/>
    <n v="44"/>
    <s v="Sale"/>
    <s v="Paypal"/>
  </r>
  <r>
    <n v="6228"/>
    <x v="53"/>
    <x v="53"/>
    <d v="2025-08-19T00:00:00"/>
    <x v="1"/>
    <s v="Floor Lamp"/>
    <x v="3"/>
    <n v="1"/>
    <n v="89"/>
    <n v="89"/>
    <s v="Sale"/>
    <s v="Debit Card"/>
  </r>
  <r>
    <n v="6229"/>
    <x v="105"/>
    <x v="101"/>
    <d v="2025-08-10T00:00:00"/>
    <x v="1"/>
    <s v="Cutting Board"/>
    <x v="2"/>
    <n v="1"/>
    <n v="19"/>
    <n v="19"/>
    <s v="Sale"/>
    <s v="Debit Card"/>
  </r>
  <r>
    <n v="6230"/>
    <x v="110"/>
    <x v="105"/>
    <d v="2025-12-09T00:00:00"/>
    <x v="5"/>
    <s v="Cutting Board"/>
    <x v="2"/>
    <n v="1"/>
    <n v="16"/>
    <n v="16"/>
    <s v="Sale"/>
    <s v="Paypal"/>
  </r>
  <r>
    <n v="6231"/>
    <x v="55"/>
    <x v="55"/>
    <d v="2025-02-02T00:00:00"/>
    <x v="7"/>
    <s v="Memory Foam Pillow"/>
    <x v="0"/>
    <n v="3"/>
    <n v="32"/>
    <n v="96"/>
    <s v="Sale"/>
    <s v="Credit Card"/>
  </r>
  <r>
    <n v="6232"/>
    <x v="75"/>
    <x v="74"/>
    <d v="2025-07-13T00:00:00"/>
    <x v="10"/>
    <s v="Ceramic Mug Set"/>
    <x v="2"/>
    <n v="2"/>
    <n v="23.742857142857144"/>
    <n v="47.485714285714288"/>
    <s v="Sale"/>
    <s v="Credit Card"/>
  </r>
  <r>
    <n v="6233"/>
    <x v="10"/>
    <x v="10"/>
    <d v="2025-10-13T00:00:00"/>
    <x v="4"/>
    <s v="Ceramic Mug Set"/>
    <x v="2"/>
    <n v="2"/>
    <n v="24"/>
    <n v="48"/>
    <s v="Sale"/>
    <s v="Paypal"/>
  </r>
  <r>
    <n v="6234"/>
    <x v="85"/>
    <x v="82"/>
    <d v="2025-11-10T00:00:00"/>
    <x v="0"/>
    <s v="Table Lamp"/>
    <x v="3"/>
    <n v="2"/>
    <n v="45"/>
    <n v="90"/>
    <s v="Sale"/>
    <s v="Credit Card"/>
  </r>
  <r>
    <n v="6235"/>
    <x v="18"/>
    <x v="18"/>
    <d v="2025-09-06T00:00:00"/>
    <x v="11"/>
    <s v="Ceramic Vase"/>
    <x v="1"/>
    <n v="2"/>
    <n v="31"/>
    <n v="62"/>
    <s v="Sale"/>
    <s v="Paypal"/>
  </r>
  <r>
    <n v="6236"/>
    <x v="30"/>
    <x v="30"/>
    <d v="2025-03-15T00:00:00"/>
    <x v="3"/>
    <s v="Ceramic Mug Set"/>
    <x v="2"/>
    <n v="1"/>
    <n v="24"/>
    <n v="24"/>
    <s v="Sale"/>
    <s v="Debit Card"/>
  </r>
  <r>
    <n v="6237"/>
    <x v="83"/>
    <x v="80"/>
    <d v="2025-07-20T00:00:00"/>
    <x v="10"/>
    <s v="Cutting Board"/>
    <x v="2"/>
    <n v="2"/>
    <n v="19"/>
    <n v="38"/>
    <s v="Sale"/>
    <s v="Debit Card"/>
  </r>
  <r>
    <n v="6238"/>
    <x v="99"/>
    <x v="89"/>
    <d v="2025-10-18T00:00:00"/>
    <x v="4"/>
    <s v="Cutting Board"/>
    <x v="2"/>
    <n v="3"/>
    <n v="19"/>
    <n v="57"/>
    <s v="Sale"/>
    <s v="Credit Card"/>
  </r>
  <r>
    <n v="6239"/>
    <x v="62"/>
    <x v="61"/>
    <d v="2025-12-19T00:00:00"/>
    <x v="5"/>
    <s v="Ceramic Mug Set"/>
    <x v="2"/>
    <n v="1"/>
    <n v="24"/>
    <n v="24"/>
    <s v="Sale"/>
    <s v="Credit Card"/>
  </r>
  <r>
    <n v="6240"/>
    <x v="82"/>
    <x v="79"/>
    <d v="2025-05-27T00:00:00"/>
    <x v="2"/>
    <s v="Floor Lamp"/>
    <x v="3"/>
    <n v="2"/>
    <n v="89.144230769230774"/>
    <n v="178.28846153846155"/>
    <s v="Sale"/>
    <s v="Paypal"/>
  </r>
  <r>
    <n v="6241"/>
    <x v="97"/>
    <x v="94"/>
    <d v="2025-09-15T00:00:00"/>
    <x v="11"/>
    <s v="Table Lamp"/>
    <x v="3"/>
    <n v="3"/>
    <n v="45"/>
    <n v="135"/>
    <s v="Sale"/>
    <s v="Debit Card"/>
  </r>
  <r>
    <n v="6242"/>
    <x v="48"/>
    <x v="48"/>
    <d v="2025-10-20T00:00:00"/>
    <x v="4"/>
    <s v="Ceramic Mug Set"/>
    <x v="2"/>
    <n v="1"/>
    <n v="24"/>
    <n v="24"/>
    <s v="Sale"/>
    <s v="Debit Card"/>
  </r>
  <r>
    <n v="6243"/>
    <x v="19"/>
    <x v="19"/>
    <d v="2025-07-05T00:00:00"/>
    <x v="10"/>
    <s v="Throw Pillow"/>
    <x v="1"/>
    <n v="3"/>
    <n v="22"/>
    <n v="66"/>
    <s v="Sale"/>
    <s v="Credit Card"/>
  </r>
  <r>
    <n v="6244"/>
    <x v="96"/>
    <x v="93"/>
    <d v="2025-10-17T00:00:00"/>
    <x v="4"/>
    <s v="Floor Lamp"/>
    <x v="3"/>
    <n v="3"/>
    <n v="89"/>
    <n v="267"/>
    <s v="Sale"/>
    <s v="Debit Card"/>
  </r>
  <r>
    <n v="6245"/>
    <x v="29"/>
    <x v="29"/>
    <d v="2025-12-02T00:00:00"/>
    <x v="5"/>
    <s v="Ceramic Mug Set"/>
    <x v="2"/>
    <n v="3"/>
    <n v="24"/>
    <n v="72"/>
    <s v="Sale"/>
    <s v="Credit Card"/>
  </r>
  <r>
    <n v="6246"/>
    <x v="94"/>
    <x v="91"/>
    <d v="2025-01-11T00:00:00"/>
    <x v="9"/>
    <s v="Ceramic Mug Set"/>
    <x v="2"/>
    <n v="2"/>
    <n v="27"/>
    <n v="54"/>
    <s v="Sale"/>
    <s v="Paypal"/>
  </r>
  <r>
    <n v="6247"/>
    <x v="105"/>
    <x v="101"/>
    <d v="2025-08-21T00:00:00"/>
    <x v="1"/>
    <s v="Non-Stick Pan Set"/>
    <x v="2"/>
    <n v="1"/>
    <n v="57"/>
    <n v="57"/>
    <s v="Sale"/>
    <s v="Debit Card"/>
  </r>
  <r>
    <n v="6248"/>
    <x v="46"/>
    <x v="46"/>
    <d v="2025-06-19T00:00:00"/>
    <x v="8"/>
    <s v="Ceramic Mug Set"/>
    <x v="2"/>
    <n v="-1"/>
    <n v="24"/>
    <n v="-24"/>
    <s v="Return"/>
    <s v="Credit Card"/>
  </r>
  <r>
    <n v="6249"/>
    <x v="31"/>
    <x v="31"/>
    <d v="2025-10-23T00:00:00"/>
    <x v="4"/>
    <s v="Throw Pillow"/>
    <x v="1"/>
    <n v="1"/>
    <n v="25"/>
    <n v="25"/>
    <s v="Sale"/>
    <s v="Paypal"/>
  </r>
  <r>
    <n v="6250"/>
    <x v="8"/>
    <x v="8"/>
    <d v="2025-07-13T00:00:00"/>
    <x v="10"/>
    <s v="Table Lamp"/>
    <x v="3"/>
    <n v="2"/>
    <n v="45"/>
    <n v="90"/>
    <s v="Sale"/>
    <s v="Debit Card"/>
  </r>
  <r>
    <n v="6251"/>
    <x v="19"/>
    <x v="19"/>
    <d v="2025-02-27T00:00:00"/>
    <x v="7"/>
    <s v="Ceramic Vase"/>
    <x v="1"/>
    <n v="1"/>
    <n v="28"/>
    <n v="28"/>
    <s v="Sale"/>
    <s v="Credit Card"/>
  </r>
  <r>
    <n v="6252"/>
    <x v="30"/>
    <x v="30"/>
    <d v="2025-08-26T00:00:00"/>
    <x v="1"/>
    <s v="String Lights"/>
    <x v="3"/>
    <n v="2"/>
    <n v="17.804347826086957"/>
    <n v="35.608695652173914"/>
    <s v="Sale"/>
    <s v="Credit Card"/>
  </r>
  <r>
    <n v="6253"/>
    <x v="35"/>
    <x v="35"/>
    <d v="2025-03-13T00:00:00"/>
    <x v="3"/>
    <s v="Floor Lamp"/>
    <x v="3"/>
    <n v="1"/>
    <n v="86"/>
    <n v="86"/>
    <s v="Sale"/>
    <s v="Credit Card"/>
  </r>
  <r>
    <n v="6254"/>
    <x v="44"/>
    <x v="44"/>
    <d v="2025-03-06T00:00:00"/>
    <x v="3"/>
    <s v="Cutting Board"/>
    <x v="2"/>
    <n v="1"/>
    <n v="16"/>
    <n v="16"/>
    <s v="Sale"/>
    <s v="Debit Card"/>
  </r>
  <r>
    <n v="6255"/>
    <x v="29"/>
    <x v="29"/>
    <d v="2025-07-07T00:00:00"/>
    <x v="10"/>
    <s v="Floor Lamp"/>
    <x v="3"/>
    <n v="1"/>
    <n v="89"/>
    <n v="89"/>
    <s v="Sale"/>
    <s v="Paypal"/>
  </r>
  <r>
    <n v="6256"/>
    <x v="20"/>
    <x v="20"/>
    <d v="2025-10-31T00:00:00"/>
    <x v="4"/>
    <s v="Cotton Bedsheet Set"/>
    <x v="0"/>
    <n v="2"/>
    <n v="55"/>
    <n v="110"/>
    <s v="Sale"/>
    <s v="Credit Card"/>
  </r>
  <r>
    <n v="6257"/>
    <x v="58"/>
    <x v="42"/>
    <d v="2025-07-25T00:00:00"/>
    <x v="10"/>
    <s v="Throw Pillow"/>
    <x v="1"/>
    <n v="2"/>
    <n v="22"/>
    <n v="44"/>
    <s v="Sale"/>
    <s v="Debit Card"/>
  </r>
  <r>
    <n v="6258"/>
    <x v="54"/>
    <x v="54"/>
    <d v="2025-04-03T00:00:00"/>
    <x v="6"/>
    <s v="Cotton Bedsheet Set"/>
    <x v="0"/>
    <n v="1"/>
    <n v="58"/>
    <n v="58"/>
    <s v="Sale"/>
    <s v="Credit Card"/>
  </r>
  <r>
    <n v="6259"/>
    <x v="103"/>
    <x v="99"/>
    <d v="2025-07-06T00:00:00"/>
    <x v="10"/>
    <s v="Ceramic Vase"/>
    <x v="1"/>
    <n v="1"/>
    <n v="25"/>
    <n v="25"/>
    <s v="Sale"/>
    <s v="Credit Card"/>
  </r>
  <r>
    <n v="6260"/>
    <x v="37"/>
    <x v="37"/>
    <d v="2025-06-23T00:00:00"/>
    <x v="8"/>
    <s v="Ceramic Mug Set"/>
    <x v="2"/>
    <n v="1"/>
    <n v="24"/>
    <n v="24"/>
    <s v="Sale"/>
    <s v="Paypal"/>
  </r>
  <r>
    <n v="6261"/>
    <x v="39"/>
    <x v="39"/>
    <d v="2025-11-09T00:00:00"/>
    <x v="0"/>
    <s v="Cotton Bedsheet Set"/>
    <x v="0"/>
    <n v="2"/>
    <n v="58"/>
    <n v="116"/>
    <s v="Sale"/>
    <s v="Debit Card"/>
  </r>
  <r>
    <n v="6262"/>
    <x v="102"/>
    <x v="98"/>
    <d v="2025-12-07T00:00:00"/>
    <x v="5"/>
    <s v="Table Lamp"/>
    <x v="3"/>
    <n v="1"/>
    <n v="42"/>
    <n v="42"/>
    <s v="Sale"/>
    <s v="Credit Card"/>
  </r>
  <r>
    <n v="6263"/>
    <x v="88"/>
    <x v="85"/>
    <d v="2025-01-18T00:00:00"/>
    <x v="9"/>
    <s v="Non-Stick Pan Set"/>
    <x v="2"/>
    <n v="1"/>
    <n v="57"/>
    <n v="57"/>
    <s v="Sale"/>
    <s v="Debit Card"/>
  </r>
  <r>
    <n v="6264"/>
    <x v="27"/>
    <x v="27"/>
    <d v="2025-01-23T00:00:00"/>
    <x v="9"/>
    <s v="Cotton Bedsheet Set"/>
    <x v="0"/>
    <n v="2"/>
    <n v="58"/>
    <n v="116"/>
    <s v="Sale"/>
    <s v="Paypal"/>
  </r>
  <r>
    <n v="6265"/>
    <x v="32"/>
    <x v="32"/>
    <d v="2025-04-22T00:00:00"/>
    <x v="6"/>
    <s v="Wall Mirror"/>
    <x v="1"/>
    <n v="2"/>
    <n v="68"/>
    <n v="136"/>
    <s v="Sale"/>
    <s v="Credit Card"/>
  </r>
  <r>
    <n v="6266"/>
    <x v="106"/>
    <x v="102"/>
    <d v="2025-11-17T00:00:00"/>
    <x v="0"/>
    <s v="Memory Foam Pillow"/>
    <x v="0"/>
    <n v="-3"/>
    <n v="32"/>
    <n v="-96"/>
    <s v="Return"/>
    <s v="Credit Card"/>
  </r>
  <r>
    <n v="6267"/>
    <x v="52"/>
    <x v="52"/>
    <d v="2025-10-16T00:00:00"/>
    <x v="4"/>
    <s v="Non-Stick Pan Set"/>
    <x v="2"/>
    <n v="1"/>
    <n v="63"/>
    <n v="63"/>
    <s v="Sale"/>
    <s v="Debit Card"/>
  </r>
  <r>
    <n v="6268"/>
    <x v="82"/>
    <x v="79"/>
    <d v="2025-10-27T00:00:00"/>
    <x v="4"/>
    <s v="Memory Foam Pillow"/>
    <x v="0"/>
    <n v="1"/>
    <n v="32"/>
    <n v="32"/>
    <s v="Sale"/>
    <s v="Credit Card"/>
  </r>
  <r>
    <n v="6269"/>
    <x v="7"/>
    <x v="7"/>
    <d v="2025-11-27T00:00:00"/>
    <x v="0"/>
    <s v="Throw Pillow"/>
    <x v="1"/>
    <n v="3"/>
    <n v="22"/>
    <n v="66"/>
    <s v="Sale"/>
    <s v="Credit Card"/>
  </r>
  <r>
    <n v="6270"/>
    <x v="105"/>
    <x v="101"/>
    <d v="2025-06-05T00:00:00"/>
    <x v="8"/>
    <s v="Cutting Board"/>
    <x v="2"/>
    <n v="2"/>
    <n v="19"/>
    <n v="38"/>
    <s v="Sale"/>
    <s v="Paypal"/>
  </r>
  <r>
    <n v="6271"/>
    <x v="0"/>
    <x v="0"/>
    <d v="2025-12-08T00:00:00"/>
    <x v="5"/>
    <s v="Table Lamp"/>
    <x v="3"/>
    <n v="1"/>
    <n v="42"/>
    <n v="42"/>
    <s v="Sale"/>
    <s v="Paypal"/>
  </r>
  <r>
    <n v="6272"/>
    <x v="81"/>
    <x v="78"/>
    <d v="2025-09-13T00:00:00"/>
    <x v="11"/>
    <s v="Cotton Bedsheet Set"/>
    <x v="0"/>
    <n v="1"/>
    <n v="52"/>
    <n v="52"/>
    <s v="Sale"/>
    <s v="Debit Card"/>
  </r>
  <r>
    <n v="6273"/>
    <x v="35"/>
    <x v="35"/>
    <d v="2025-04-05T00:00:00"/>
    <x v="6"/>
    <s v="Ceramic Mug Set"/>
    <x v="2"/>
    <n v="1"/>
    <n v="27"/>
    <n v="27"/>
    <s v="Sale"/>
    <s v="Credit Card"/>
  </r>
  <r>
    <n v="6274"/>
    <x v="99"/>
    <x v="89"/>
    <d v="2025-06-16T00:00:00"/>
    <x v="8"/>
    <s v="Ceramic Vase"/>
    <x v="1"/>
    <n v="2"/>
    <n v="28"/>
    <n v="56"/>
    <s v="Sale"/>
    <s v="Debit Card"/>
  </r>
  <r>
    <n v="6275"/>
    <x v="9"/>
    <x v="9"/>
    <d v="2025-04-11T00:00:00"/>
    <x v="6"/>
    <s v="Cotton Bedsheet Set"/>
    <x v="0"/>
    <n v="2"/>
    <n v="52"/>
    <n v="104"/>
    <s v="Sale"/>
    <s v="Debit Card"/>
  </r>
  <r>
    <n v="6276"/>
    <x v="110"/>
    <x v="105"/>
    <d v="2025-12-12T00:00:00"/>
    <x v="5"/>
    <s v="Wool Blanket"/>
    <x v="0"/>
    <n v="-1"/>
    <n v="73"/>
    <n v="-73"/>
    <s v="Return"/>
    <s v="Debit Card"/>
  </r>
  <r>
    <n v="6277"/>
    <x v="6"/>
    <x v="6"/>
    <d v="2025-11-02T00:00:00"/>
    <x v="0"/>
    <s v="Cotton Bedsheet Set"/>
    <x v="0"/>
    <n v="1"/>
    <n v="58"/>
    <n v="58"/>
    <s v="Sale"/>
    <s v="Paypal"/>
  </r>
  <r>
    <n v="6278"/>
    <x v="45"/>
    <x v="45"/>
    <d v="2025-09-03T00:00:00"/>
    <x v="11"/>
    <s v="Wall Mirror"/>
    <x v="1"/>
    <n v="1"/>
    <n v="65"/>
    <n v="65"/>
    <s v="Sale"/>
    <s v="Credit Card"/>
  </r>
  <r>
    <n v="6279"/>
    <x v="98"/>
    <x v="95"/>
    <d v="2025-05-06T00:00:00"/>
    <x v="2"/>
    <s v="Throw Pillow"/>
    <x v="1"/>
    <n v="1"/>
    <n v="25"/>
    <n v="25"/>
    <s v="Sale"/>
    <s v="Credit Card"/>
  </r>
  <r>
    <n v="6280"/>
    <x v="69"/>
    <x v="68"/>
    <d v="2025-07-10T00:00:00"/>
    <x v="10"/>
    <s v="Throw Pillow"/>
    <x v="1"/>
    <n v="3"/>
    <n v="22"/>
    <n v="66"/>
    <s v="Sale"/>
    <s v="Debit Card"/>
  </r>
  <r>
    <n v="6281"/>
    <x v="36"/>
    <x v="36"/>
    <d v="2025-10-24T00:00:00"/>
    <x v="4"/>
    <s v="Cotton Bedsheet Set"/>
    <x v="0"/>
    <n v="3"/>
    <n v="52"/>
    <n v="156"/>
    <s v="Sale"/>
    <s v="Debit Card"/>
  </r>
  <r>
    <n v="6282"/>
    <x v="3"/>
    <x v="3"/>
    <d v="2025-03-02T00:00:00"/>
    <x v="3"/>
    <s v="String Lights"/>
    <x v="3"/>
    <n v="1"/>
    <n v="15"/>
    <n v="15"/>
    <s v="Sale"/>
    <s v="Credit Card"/>
  </r>
  <r>
    <n v="6283"/>
    <x v="20"/>
    <x v="20"/>
    <d v="2025-02-14T00:00:00"/>
    <x v="7"/>
    <s v="Ceramic Vase"/>
    <x v="1"/>
    <n v="1"/>
    <n v="28"/>
    <n v="28"/>
    <s v="Sale"/>
    <s v="Unknown"/>
  </r>
  <r>
    <n v="6284"/>
    <x v="43"/>
    <x v="43"/>
    <d v="2025-12-09T00:00:00"/>
    <x v="5"/>
    <s v="Ceramic Mug Set"/>
    <x v="2"/>
    <n v="1"/>
    <n v="24"/>
    <n v="24"/>
    <s v="Sale"/>
    <s v="Debit Card"/>
  </r>
  <r>
    <n v="6285"/>
    <x v="97"/>
    <x v="94"/>
    <d v="2025-07-25T00:00:00"/>
    <x v="10"/>
    <s v="Cotton Bedsheet Set"/>
    <x v="0"/>
    <n v="-1"/>
    <n v="55"/>
    <n v="-55"/>
    <s v="Return"/>
    <s v="Debit Card"/>
  </r>
  <r>
    <n v="6286"/>
    <x v="38"/>
    <x v="38"/>
    <d v="2025-05-26T00:00:00"/>
    <x v="2"/>
    <s v="Table Lamp"/>
    <x v="3"/>
    <n v="2"/>
    <n v="48"/>
    <n v="96"/>
    <s v="Sale"/>
    <s v="Paypal"/>
  </r>
  <r>
    <n v="6287"/>
    <x v="18"/>
    <x v="18"/>
    <d v="2025-04-07T00:00:00"/>
    <x v="6"/>
    <s v="Ceramic Mug Set"/>
    <x v="2"/>
    <n v="-3"/>
    <n v="23.742857142857144"/>
    <n v="-71.228571428571428"/>
    <s v="Return"/>
    <s v="Paypal"/>
  </r>
  <r>
    <n v="6288"/>
    <x v="62"/>
    <x v="61"/>
    <d v="2025-05-24T00:00:00"/>
    <x v="2"/>
    <s v="String Lights"/>
    <x v="3"/>
    <n v="2"/>
    <n v="18"/>
    <n v="36"/>
    <s v="Sale"/>
    <s v="Debit Card"/>
  </r>
  <r>
    <n v="6289"/>
    <x v="18"/>
    <x v="18"/>
    <d v="2025-07-21T00:00:00"/>
    <x v="10"/>
    <s v="Throw Pillow"/>
    <x v="1"/>
    <n v="3"/>
    <n v="22"/>
    <n v="66"/>
    <s v="Sale"/>
    <s v="Paypal"/>
  </r>
  <r>
    <n v="6290"/>
    <x v="40"/>
    <x v="40"/>
    <d v="2025-12-20T00:00:00"/>
    <x v="5"/>
    <s v="Table Lamp"/>
    <x v="3"/>
    <n v="3"/>
    <n v="45"/>
    <n v="135"/>
    <s v="Sale"/>
    <s v="Credit Card"/>
  </r>
  <r>
    <n v="6291"/>
    <x v="77"/>
    <x v="75"/>
    <d v="2025-11-03T00:00:00"/>
    <x v="0"/>
    <s v="Floor Lamp"/>
    <x v="3"/>
    <n v="3"/>
    <n v="89"/>
    <n v="267"/>
    <s v="Sale"/>
    <s v="Credit Card"/>
  </r>
  <r>
    <n v="6292"/>
    <x v="5"/>
    <x v="5"/>
    <d v="2025-03-02T00:00:00"/>
    <x v="3"/>
    <s v="Throw Pillow"/>
    <x v="1"/>
    <n v="3"/>
    <n v="22"/>
    <n v="66"/>
    <s v="Sale"/>
    <s v="Credit Card"/>
  </r>
  <r>
    <n v="6293"/>
    <x v="81"/>
    <x v="78"/>
    <d v="2025-06-14T00:00:00"/>
    <x v="8"/>
    <s v="Non-Stick Pan Set"/>
    <x v="2"/>
    <n v="2"/>
    <n v="63"/>
    <n v="126"/>
    <s v="Sale"/>
    <s v="Debit Card"/>
  </r>
  <r>
    <n v="6294"/>
    <x v="44"/>
    <x v="44"/>
    <d v="2025-10-05T00:00:00"/>
    <x v="4"/>
    <s v="Ceramic Mug Set"/>
    <x v="2"/>
    <n v="1"/>
    <n v="21"/>
    <n v="21"/>
    <s v="Sale"/>
    <s v="Paypal"/>
  </r>
  <r>
    <n v="6295"/>
    <x v="4"/>
    <x v="4"/>
    <d v="2025-08-18T00:00:00"/>
    <x v="1"/>
    <s v="Table Lamp"/>
    <x v="3"/>
    <n v="1"/>
    <n v="42"/>
    <n v="42"/>
    <s v="Sale"/>
    <s v="Debit Card"/>
  </r>
  <r>
    <n v="6296"/>
    <x v="46"/>
    <x v="46"/>
    <d v="2025-10-31T00:00:00"/>
    <x v="4"/>
    <s v="Non-Stick Pan Set"/>
    <x v="2"/>
    <n v="1"/>
    <n v="60"/>
    <n v="60"/>
    <s v="Sale"/>
    <s v="Paypal"/>
  </r>
  <r>
    <n v="6297"/>
    <x v="101"/>
    <x v="97"/>
    <d v="2025-02-21T00:00:00"/>
    <x v="7"/>
    <s v="Ceramic Vase"/>
    <x v="1"/>
    <n v="1"/>
    <n v="31"/>
    <n v="31"/>
    <s v="Sale"/>
    <s v="Debit Card"/>
  </r>
  <r>
    <n v="6298"/>
    <x v="17"/>
    <x v="17"/>
    <d v="2025-07-01T00:00:00"/>
    <x v="10"/>
    <s v="Wool Blanket"/>
    <x v="0"/>
    <n v="1"/>
    <n v="67"/>
    <n v="67"/>
    <s v="Sale"/>
    <s v="Paypal"/>
  </r>
  <r>
    <n v="6299"/>
    <x v="78"/>
    <x v="76"/>
    <d v="2025-03-27T00:00:00"/>
    <x v="3"/>
    <s v="Cotton Bedsheet Set"/>
    <x v="0"/>
    <n v="-1"/>
    <n v="52"/>
    <n v="-52"/>
    <s v="Return"/>
    <s v="Payp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ED7A6-59F8-479F-825A-15CB66852561}" name="PivotTable3" cacheId="1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9:B49" firstHeaderRow="1" firstDataRow="1" firstDataCol="1"/>
  <pivotFields count="12">
    <pivotField showAll="0"/>
    <pivotField showAll="0" measureFilter="1">
      <items count="112">
        <item x="57"/>
        <item x="76"/>
        <item x="85"/>
        <item x="19"/>
        <item x="16"/>
        <item x="36"/>
        <item x="40"/>
        <item x="61"/>
        <item x="33"/>
        <item x="90"/>
        <item x="109"/>
        <item x="67"/>
        <item x="60"/>
        <item x="44"/>
        <item x="53"/>
        <item x="92"/>
        <item x="1"/>
        <item x="96"/>
        <item x="66"/>
        <item x="103"/>
        <item x="39"/>
        <item x="21"/>
        <item x="100"/>
        <item x="95"/>
        <item x="84"/>
        <item x="41"/>
        <item x="68"/>
        <item x="46"/>
        <item x="58"/>
        <item x="30"/>
        <item x="6"/>
        <item x="11"/>
        <item x="77"/>
        <item x="14"/>
        <item x="26"/>
        <item x="75"/>
        <item x="69"/>
        <item x="31"/>
        <item x="62"/>
        <item x="93"/>
        <item x="15"/>
        <item x="79"/>
        <item x="55"/>
        <item x="97"/>
        <item x="81"/>
        <item x="94"/>
        <item x="8"/>
        <item x="34"/>
        <item x="104"/>
        <item x="48"/>
        <item x="71"/>
        <item x="49"/>
        <item x="0"/>
        <item x="83"/>
        <item x="106"/>
        <item x="65"/>
        <item x="32"/>
        <item x="105"/>
        <item x="47"/>
        <item x="17"/>
        <item x="23"/>
        <item x="38"/>
        <item x="18"/>
        <item x="107"/>
        <item x="43"/>
        <item x="50"/>
        <item x="74"/>
        <item x="7"/>
        <item x="54"/>
        <item x="99"/>
        <item x="5"/>
        <item x="22"/>
        <item x="13"/>
        <item x="91"/>
        <item x="102"/>
        <item x="87"/>
        <item x="72"/>
        <item x="88"/>
        <item x="52"/>
        <item x="29"/>
        <item x="24"/>
        <item x="35"/>
        <item x="9"/>
        <item x="28"/>
        <item x="73"/>
        <item x="3"/>
        <item x="37"/>
        <item x="80"/>
        <item x="64"/>
        <item x="12"/>
        <item x="70"/>
        <item x="20"/>
        <item x="27"/>
        <item x="51"/>
        <item x="2"/>
        <item x="63"/>
        <item x="101"/>
        <item x="10"/>
        <item x="110"/>
        <item x="86"/>
        <item x="45"/>
        <item x="98"/>
        <item x="25"/>
        <item x="4"/>
        <item x="56"/>
        <item x="42"/>
        <item x="59"/>
        <item x="82"/>
        <item x="78"/>
        <item x="89"/>
        <item x="108"/>
        <item t="default"/>
      </items>
    </pivotField>
    <pivotField axis="axisRow" showAll="0" measureFilter="1">
      <items count="107">
        <item x="33"/>
        <item x="63"/>
        <item x="59"/>
        <item x="82"/>
        <item x="104"/>
        <item x="65"/>
        <item x="95"/>
        <item x="50"/>
        <item x="5"/>
        <item x="56"/>
        <item x="41"/>
        <item x="43"/>
        <item x="88"/>
        <item x="47"/>
        <item x="86"/>
        <item x="79"/>
        <item x="27"/>
        <item x="97"/>
        <item x="4"/>
        <item x="44"/>
        <item x="57"/>
        <item x="8"/>
        <item x="74"/>
        <item x="39"/>
        <item x="45"/>
        <item x="36"/>
        <item x="99"/>
        <item x="98"/>
        <item x="61"/>
        <item x="80"/>
        <item x="69"/>
        <item x="48"/>
        <item x="72"/>
        <item x="94"/>
        <item x="40"/>
        <item x="81"/>
        <item x="7"/>
        <item x="31"/>
        <item x="23"/>
        <item x="90"/>
        <item x="53"/>
        <item x="75"/>
        <item x="54"/>
        <item x="12"/>
        <item x="0"/>
        <item x="20"/>
        <item x="14"/>
        <item x="18"/>
        <item x="21"/>
        <item x="37"/>
        <item x="19"/>
        <item x="92"/>
        <item x="16"/>
        <item x="32"/>
        <item x="87"/>
        <item x="89"/>
        <item x="10"/>
        <item x="51"/>
        <item x="68"/>
        <item x="28"/>
        <item x="11"/>
        <item x="66"/>
        <item x="60"/>
        <item x="58"/>
        <item x="15"/>
        <item x="17"/>
        <item x="64"/>
        <item x="25"/>
        <item x="9"/>
        <item x="91"/>
        <item x="1"/>
        <item x="38"/>
        <item x="46"/>
        <item x="78"/>
        <item x="13"/>
        <item x="62"/>
        <item x="77"/>
        <item x="2"/>
        <item x="6"/>
        <item x="52"/>
        <item x="67"/>
        <item x="70"/>
        <item x="26"/>
        <item x="76"/>
        <item x="55"/>
        <item x="85"/>
        <item x="30"/>
        <item x="34"/>
        <item x="49"/>
        <item x="24"/>
        <item x="22"/>
        <item x="3"/>
        <item x="100"/>
        <item x="105"/>
        <item x="71"/>
        <item x="29"/>
        <item x="93"/>
        <item x="83"/>
        <item x="84"/>
        <item x="42"/>
        <item x="96"/>
        <item x="35"/>
        <item x="101"/>
        <item x="102"/>
        <item x="73"/>
        <item x="103"/>
        <item t="default"/>
      </items>
    </pivotField>
    <pivotField numFmtId="14"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showAll="0"/>
  </pivotFields>
  <rowFields count="1">
    <field x="2"/>
  </rowFields>
  <rowItems count="10">
    <i>
      <x v="10"/>
    </i>
    <i>
      <x v="12"/>
    </i>
    <i>
      <x v="41"/>
    </i>
    <i>
      <x v="52"/>
    </i>
    <i>
      <x v="53"/>
    </i>
    <i>
      <x v="55"/>
    </i>
    <i>
      <x v="72"/>
    </i>
    <i>
      <x v="73"/>
    </i>
    <i>
      <x v="99"/>
    </i>
    <i>
      <x v="101"/>
    </i>
  </rowItems>
  <colItems count="1">
    <i/>
  </colItems>
  <dataFields count="1">
    <dataField name="Sum of Total_Price" fld="9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2" type="count" evalOrder="-1" id="1" iMeasureFld="0">
      <autoFilter ref="A1">
        <filterColumn colId="0">
          <top10 val="10" filterVal="10"/>
        </filterColumn>
      </autoFilter>
    </filter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D705B-599C-41FD-93A2-58BD5C9DA957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4:J17" firstHeaderRow="1" firstDataRow="1" firstDataCol="1"/>
  <pivotFields count="12">
    <pivotField showAll="0"/>
    <pivotField showAll="0"/>
    <pivotField showAll="0"/>
    <pivotField numFmtId="14" showAll="0"/>
    <pivotField axis="axisRow" showAll="0">
      <items count="13">
        <item x="9"/>
        <item x="7"/>
        <item x="3"/>
        <item x="6"/>
        <item x="2"/>
        <item x="8"/>
        <item x="10"/>
        <item x="1"/>
        <item x="11"/>
        <item x="4"/>
        <item x="0"/>
        <item x="5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Price" fld="9" baseField="0" baseItem="0" numFmtId="164"/>
  </dataFields>
  <formats count="1">
    <format dxfId="21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E3B55-4AEE-488A-ABC5-21FC3557F53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7" firstHeaderRow="1" firstDataRow="2" firstDataCol="1"/>
  <pivotFields count="12">
    <pivotField showAll="0"/>
    <pivotField showAll="0"/>
    <pivotField showAll="0"/>
    <pivotField numFmtId="14" showAll="0"/>
    <pivotField axis="axisRow" showAll="0">
      <items count="13">
        <item x="9"/>
        <item x="7"/>
        <item x="3"/>
        <item x="6"/>
        <item x="2"/>
        <item x="8"/>
        <item x="10"/>
        <item x="1"/>
        <item x="11"/>
        <item x="4"/>
        <item x="0"/>
        <item x="5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numFmtId="164" showAll="0"/>
    <pivotField dataField="1" numFmtId="164"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Price" fld="9" baseField="0" baseItem="0" numFmtId="164"/>
  </dataFields>
  <formats count="3">
    <format dxfId="24">
      <pivotArea collapsedLevelsAreSubtotals="1" fieldPosition="0">
        <references count="2">
          <reference field="4" count="1">
            <x v="0"/>
          </reference>
          <reference field="6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6" count="1" selected="0">
            <x v="0"/>
          </reference>
        </references>
      </pivotArea>
    </format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A0D3-7DC6-4F0A-9831-226820DEFFE2}">
  <dimension ref="A1:L1301"/>
  <sheetViews>
    <sheetView topLeftCell="C1" workbookViewId="0">
      <selection sqref="A1:XFD1048576"/>
    </sheetView>
  </sheetViews>
  <sheetFormatPr defaultColWidth="10.42578125" defaultRowHeight="15" x14ac:dyDescent="0.25"/>
  <cols>
    <col min="1" max="1" width="10.5703125" bestFit="1" customWidth="1"/>
    <col min="2" max="2" width="14.140625" bestFit="1" customWidth="1"/>
    <col min="3" max="3" width="21.5703125" bestFit="1" customWidth="1"/>
    <col min="4" max="4" width="12.7109375" style="1" bestFit="1" customWidth="1"/>
    <col min="5" max="5" width="8.85546875" style="1" bestFit="1" customWidth="1"/>
    <col min="6" max="6" width="19.5703125" bestFit="1" customWidth="1"/>
    <col min="7" max="7" width="11.7109375" bestFit="1" customWidth="1"/>
    <col min="9" max="9" width="12" style="2" bestFit="1" customWidth="1"/>
    <col min="10" max="10" width="13" bestFit="1" customWidth="1"/>
    <col min="11" max="11" width="13.140625" bestFit="1" customWidth="1"/>
    <col min="12" max="12" width="18.42578125" bestFit="1" customWidth="1"/>
  </cols>
  <sheetData>
    <row r="1" spans="1:12" x14ac:dyDescent="0.25">
      <c r="A1" t="s">
        <v>0</v>
      </c>
      <c r="B1" t="s">
        <v>1</v>
      </c>
      <c r="C1" t="s">
        <v>30</v>
      </c>
      <c r="D1" s="1" t="s">
        <v>2</v>
      </c>
      <c r="E1" s="1" t="s">
        <v>243</v>
      </c>
      <c r="F1" t="s">
        <v>24</v>
      </c>
      <c r="G1" t="s">
        <v>25</v>
      </c>
      <c r="H1" t="s">
        <v>3</v>
      </c>
      <c r="I1" s="2" t="s">
        <v>4</v>
      </c>
      <c r="J1" t="s">
        <v>28</v>
      </c>
      <c r="K1" t="s">
        <v>244</v>
      </c>
      <c r="L1" t="s">
        <v>26</v>
      </c>
    </row>
    <row r="2" spans="1:12" x14ac:dyDescent="0.25">
      <c r="A2">
        <v>5000</v>
      </c>
      <c r="B2">
        <v>53</v>
      </c>
      <c r="C2" s="5" t="str">
        <f>IFERROR(_xlfn.XLOOKUP(B2, Customers_raw!A:A, Customers_raw!B:B), "Unknown Customer")</f>
        <v>John Thomas</v>
      </c>
      <c r="D2" s="1">
        <v>45972</v>
      </c>
      <c r="E2" s="1" t="str">
        <f>TEXT(D:D,"YYYY-MM")</f>
        <v>2025-11</v>
      </c>
      <c r="F2" t="s">
        <v>13</v>
      </c>
      <c r="G2" t="s">
        <v>7</v>
      </c>
      <c r="H2">
        <v>3</v>
      </c>
      <c r="I2" s="2">
        <v>32</v>
      </c>
      <c r="J2" s="2">
        <f>H2*I2</f>
        <v>96</v>
      </c>
      <c r="K2" s="2" t="str">
        <f>IF(H2&lt;0,"Return","Sale")</f>
        <v>Sale</v>
      </c>
      <c r="L2" t="s">
        <v>27</v>
      </c>
    </row>
    <row r="3" spans="1:12" x14ac:dyDescent="0.25">
      <c r="A3">
        <v>5001</v>
      </c>
      <c r="B3">
        <v>17</v>
      </c>
      <c r="C3" s="5" t="str">
        <f>IFERROR(_xlfn.XLOOKUP(B3, Customers_raw!A:A, Customers_raw!B:B), "Unknown Customer")</f>
        <v>Mary Thomas</v>
      </c>
      <c r="D3" s="1">
        <v>45899</v>
      </c>
      <c r="E3" s="1" t="str">
        <f t="shared" ref="E3:E66" si="0">TEXT(D:D,"YYYY-MM")</f>
        <v>2025-08</v>
      </c>
      <c r="F3" t="s">
        <v>20</v>
      </c>
      <c r="G3" t="s">
        <v>10</v>
      </c>
      <c r="H3">
        <v>1</v>
      </c>
      <c r="I3" s="2">
        <v>65</v>
      </c>
      <c r="J3" s="2">
        <f t="shared" ref="J3:J66" si="1">H3*I3</f>
        <v>65</v>
      </c>
      <c r="K3" s="2" t="str">
        <f t="shared" ref="K3:K66" si="2">IF(H3&lt;0,"Return","Sale")</f>
        <v>Sale</v>
      </c>
      <c r="L3" t="s">
        <v>5</v>
      </c>
    </row>
    <row r="4" spans="1:12" x14ac:dyDescent="0.25">
      <c r="A4">
        <v>5002</v>
      </c>
      <c r="B4">
        <v>95</v>
      </c>
      <c r="C4" s="5" t="str">
        <f>IFERROR(_xlfn.XLOOKUP(B4, Customers_raw!A:A, Customers_raw!B:B), "Unknown Customer")</f>
        <v>Michelle Martin</v>
      </c>
      <c r="D4" s="1">
        <v>45791</v>
      </c>
      <c r="E4" s="1" t="str">
        <f t="shared" si="0"/>
        <v>2025-05</v>
      </c>
      <c r="F4" t="s">
        <v>22</v>
      </c>
      <c r="G4" t="s">
        <v>17</v>
      </c>
      <c r="H4">
        <v>3</v>
      </c>
      <c r="I4" s="2">
        <v>24</v>
      </c>
      <c r="J4" s="2">
        <f t="shared" si="1"/>
        <v>72</v>
      </c>
      <c r="K4" s="2" t="str">
        <f t="shared" si="2"/>
        <v>Sale</v>
      </c>
      <c r="L4" t="s">
        <v>27</v>
      </c>
    </row>
    <row r="5" spans="1:12" x14ac:dyDescent="0.25">
      <c r="A5">
        <v>5003</v>
      </c>
      <c r="B5">
        <v>86</v>
      </c>
      <c r="C5" s="5" t="str">
        <f>IFERROR(_xlfn.XLOOKUP(B5, Customers_raw!A:A, Customers_raw!B:B), "Unknown Customer")</f>
        <v>Steven Jones</v>
      </c>
      <c r="D5" s="1">
        <v>45719</v>
      </c>
      <c r="E5" s="1" t="str">
        <f t="shared" si="0"/>
        <v>2025-03</v>
      </c>
      <c r="F5" t="s">
        <v>14</v>
      </c>
      <c r="G5" t="s">
        <v>7</v>
      </c>
      <c r="H5">
        <v>3</v>
      </c>
      <c r="I5" s="2">
        <v>55</v>
      </c>
      <c r="J5" s="2">
        <f t="shared" si="1"/>
        <v>165</v>
      </c>
      <c r="K5" s="2" t="str">
        <f t="shared" si="2"/>
        <v>Sale</v>
      </c>
      <c r="L5" t="s">
        <v>27</v>
      </c>
    </row>
    <row r="6" spans="1:12" x14ac:dyDescent="0.25">
      <c r="A6">
        <v>5004</v>
      </c>
      <c r="B6">
        <v>104</v>
      </c>
      <c r="C6" s="5" t="str">
        <f>IFERROR(_xlfn.XLOOKUP(B6, Customers_raw!A:A, Customers_raw!B:B), "Unknown Customer")</f>
        <v>Christopher Brown</v>
      </c>
      <c r="D6" s="1">
        <v>45939</v>
      </c>
      <c r="E6" s="1" t="str">
        <f t="shared" si="0"/>
        <v>2025-10</v>
      </c>
      <c r="F6" t="s">
        <v>13</v>
      </c>
      <c r="G6" t="s">
        <v>7</v>
      </c>
      <c r="H6">
        <v>2</v>
      </c>
      <c r="I6" s="2">
        <v>32</v>
      </c>
      <c r="J6" s="2">
        <f t="shared" si="1"/>
        <v>64</v>
      </c>
      <c r="K6" s="2" t="str">
        <f t="shared" si="2"/>
        <v>Sale</v>
      </c>
      <c r="L6" t="s">
        <v>27</v>
      </c>
    </row>
    <row r="7" spans="1:12" x14ac:dyDescent="0.25">
      <c r="A7">
        <v>5005</v>
      </c>
      <c r="B7">
        <v>71</v>
      </c>
      <c r="C7" s="5" t="str">
        <f>IFERROR(_xlfn.XLOOKUP(B7, Customers_raw!A:A, Customers_raw!B:B), "Unknown Customer")</f>
        <v>Barbara Rodriguez</v>
      </c>
      <c r="D7" s="1">
        <v>45782</v>
      </c>
      <c r="E7" s="1" t="str">
        <f t="shared" si="0"/>
        <v>2025-05</v>
      </c>
      <c r="F7" t="s">
        <v>9</v>
      </c>
      <c r="G7" t="s">
        <v>6</v>
      </c>
      <c r="H7">
        <v>1</v>
      </c>
      <c r="I7" s="2">
        <v>45</v>
      </c>
      <c r="J7" s="2">
        <f t="shared" si="1"/>
        <v>45</v>
      </c>
      <c r="K7" s="2" t="str">
        <f t="shared" si="2"/>
        <v>Sale</v>
      </c>
      <c r="L7" t="s">
        <v>5</v>
      </c>
    </row>
    <row r="8" spans="1:12" x14ac:dyDescent="0.25">
      <c r="A8">
        <v>5006</v>
      </c>
      <c r="B8">
        <v>31</v>
      </c>
      <c r="C8" s="5" t="str">
        <f>IFERROR(_xlfn.XLOOKUP(B8, Customers_raw!A:A, Customers_raw!B:B), "Unknown Customer")</f>
        <v>Nancy Harris</v>
      </c>
      <c r="D8" s="1">
        <v>45790</v>
      </c>
      <c r="E8" s="1" t="str">
        <f t="shared" si="0"/>
        <v>2025-05</v>
      </c>
      <c r="F8" t="s">
        <v>11</v>
      </c>
      <c r="G8" t="s">
        <v>6</v>
      </c>
      <c r="H8">
        <v>1</v>
      </c>
      <c r="I8" s="2">
        <v>18</v>
      </c>
      <c r="J8" s="2">
        <f t="shared" si="1"/>
        <v>18</v>
      </c>
      <c r="K8" s="2" t="str">
        <f t="shared" si="2"/>
        <v>Sale</v>
      </c>
      <c r="L8" t="s">
        <v>5</v>
      </c>
    </row>
    <row r="9" spans="1:12" x14ac:dyDescent="0.25">
      <c r="A9">
        <v>5007</v>
      </c>
      <c r="B9">
        <v>68</v>
      </c>
      <c r="C9" s="5" t="str">
        <f>IFERROR(_xlfn.XLOOKUP(B9, Customers_raw!A:A, Customers_raw!B:B), "Unknown Customer")</f>
        <v>James Hernandez</v>
      </c>
      <c r="D9" s="1">
        <v>45998</v>
      </c>
      <c r="E9" s="1" t="str">
        <f t="shared" si="0"/>
        <v>2025-12</v>
      </c>
      <c r="F9" t="s">
        <v>9</v>
      </c>
      <c r="G9" t="s">
        <v>6</v>
      </c>
      <c r="H9">
        <v>1</v>
      </c>
      <c r="I9" s="2">
        <v>42</v>
      </c>
      <c r="J9" s="2">
        <f t="shared" si="1"/>
        <v>42</v>
      </c>
      <c r="K9" s="2" t="str">
        <f t="shared" si="2"/>
        <v>Sale</v>
      </c>
      <c r="L9" t="s">
        <v>27</v>
      </c>
    </row>
    <row r="10" spans="1:12" x14ac:dyDescent="0.25">
      <c r="A10">
        <v>5008</v>
      </c>
      <c r="B10">
        <v>47</v>
      </c>
      <c r="C10" s="5" t="str">
        <f>IFERROR(_xlfn.XLOOKUP(B10, Customers_raw!A:A, Customers_raw!B:B), "Unknown Customer")</f>
        <v>Christopher Rodriguez</v>
      </c>
      <c r="D10" s="1">
        <v>46009</v>
      </c>
      <c r="E10" s="1" t="str">
        <f t="shared" si="0"/>
        <v>2025-12</v>
      </c>
      <c r="F10" t="s">
        <v>20</v>
      </c>
      <c r="G10" t="s">
        <v>10</v>
      </c>
      <c r="H10">
        <v>1</v>
      </c>
      <c r="I10" s="2">
        <v>65</v>
      </c>
      <c r="J10" s="2">
        <f t="shared" si="1"/>
        <v>65</v>
      </c>
      <c r="K10" s="2" t="str">
        <f t="shared" si="2"/>
        <v>Sale</v>
      </c>
      <c r="L10" t="s">
        <v>8</v>
      </c>
    </row>
    <row r="11" spans="1:12" x14ac:dyDescent="0.25">
      <c r="A11">
        <v>5009</v>
      </c>
      <c r="B11">
        <v>83</v>
      </c>
      <c r="C11" s="5" t="str">
        <f>IFERROR(_xlfn.XLOOKUP(B11, Customers_raw!A:A, Customers_raw!B:B), "Unknown Customer")</f>
        <v>Mary Martinez</v>
      </c>
      <c r="D11" s="1">
        <v>45938</v>
      </c>
      <c r="E11" s="1" t="str">
        <f t="shared" si="0"/>
        <v>2025-10</v>
      </c>
      <c r="F11" t="s">
        <v>13</v>
      </c>
      <c r="G11" t="s">
        <v>7</v>
      </c>
      <c r="H11">
        <v>1</v>
      </c>
      <c r="I11" s="2">
        <v>32</v>
      </c>
      <c r="J11" s="2">
        <f t="shared" si="1"/>
        <v>32</v>
      </c>
      <c r="K11" s="2" t="str">
        <f t="shared" si="2"/>
        <v>Sale</v>
      </c>
      <c r="L11" t="s">
        <v>5</v>
      </c>
    </row>
    <row r="12" spans="1:12" x14ac:dyDescent="0.25">
      <c r="A12">
        <v>5010</v>
      </c>
      <c r="B12">
        <v>98</v>
      </c>
      <c r="C12" s="5" t="str">
        <f>IFERROR(_xlfn.XLOOKUP(B12, Customers_raw!A:A, Customers_raw!B:B), "Unknown Customer")</f>
        <v>Karen Williams</v>
      </c>
      <c r="D12" s="1">
        <v>45958</v>
      </c>
      <c r="E12" s="1" t="str">
        <f t="shared" si="0"/>
        <v>2025-10</v>
      </c>
      <c r="F12" t="s">
        <v>13</v>
      </c>
      <c r="G12" t="s">
        <v>7</v>
      </c>
      <c r="H12">
        <v>1</v>
      </c>
      <c r="I12" s="2">
        <v>29</v>
      </c>
      <c r="J12" s="2">
        <f t="shared" si="1"/>
        <v>29</v>
      </c>
      <c r="K12" s="2" t="str">
        <f t="shared" si="2"/>
        <v>Sale</v>
      </c>
      <c r="L12" t="s">
        <v>8</v>
      </c>
    </row>
    <row r="13" spans="1:12" x14ac:dyDescent="0.25">
      <c r="A13">
        <v>5011</v>
      </c>
      <c r="B13">
        <v>32</v>
      </c>
      <c r="C13" s="5" t="str">
        <f>IFERROR(_xlfn.XLOOKUP(B13, Customers_raw!A:A, Customers_raw!B:B), "Unknown Customer")</f>
        <v>Kimberly Lopez</v>
      </c>
      <c r="D13" s="1">
        <v>45772</v>
      </c>
      <c r="E13" s="1" t="str">
        <f t="shared" si="0"/>
        <v>2025-04</v>
      </c>
      <c r="F13" t="s">
        <v>12</v>
      </c>
      <c r="G13" t="s">
        <v>10</v>
      </c>
      <c r="H13">
        <v>1</v>
      </c>
      <c r="I13" s="2">
        <v>25</v>
      </c>
      <c r="J13" s="2">
        <f t="shared" si="1"/>
        <v>25</v>
      </c>
      <c r="K13" s="2" t="str">
        <f t="shared" si="2"/>
        <v>Sale</v>
      </c>
      <c r="L13" t="s">
        <v>5</v>
      </c>
    </row>
    <row r="14" spans="1:12" x14ac:dyDescent="0.25">
      <c r="A14">
        <v>5012</v>
      </c>
      <c r="B14">
        <v>90</v>
      </c>
      <c r="C14" s="5" t="str">
        <f>IFERROR(_xlfn.XLOOKUP(B14, Customers_raw!A:A, Customers_raw!B:B), "Unknown Customer")</f>
        <v>John Harris</v>
      </c>
      <c r="D14" s="1">
        <v>45892</v>
      </c>
      <c r="E14" s="1" t="str">
        <f t="shared" si="0"/>
        <v>2025-08</v>
      </c>
      <c r="F14" t="s">
        <v>22</v>
      </c>
      <c r="G14" t="s">
        <v>17</v>
      </c>
      <c r="H14">
        <v>2</v>
      </c>
      <c r="I14" s="2">
        <v>21</v>
      </c>
      <c r="J14" s="2">
        <f t="shared" si="1"/>
        <v>42</v>
      </c>
      <c r="K14" s="2" t="str">
        <f t="shared" si="2"/>
        <v>Sale</v>
      </c>
      <c r="L14" t="s">
        <v>27</v>
      </c>
    </row>
    <row r="15" spans="1:12" x14ac:dyDescent="0.25">
      <c r="A15">
        <v>5013</v>
      </c>
      <c r="B15">
        <v>73</v>
      </c>
      <c r="C15" s="5" t="str">
        <f>IFERROR(_xlfn.XLOOKUP(B15, Customers_raw!A:A, Customers_raw!B:B), "Unknown Customer")</f>
        <v>Michael Thompson</v>
      </c>
      <c r="D15" s="1">
        <v>45988</v>
      </c>
      <c r="E15" s="1" t="str">
        <f t="shared" si="0"/>
        <v>2025-11</v>
      </c>
      <c r="F15" t="s">
        <v>16</v>
      </c>
      <c r="G15" t="s">
        <v>10</v>
      </c>
      <c r="H15">
        <v>1</v>
      </c>
      <c r="I15" s="2">
        <v>28</v>
      </c>
      <c r="J15" s="2">
        <f t="shared" si="1"/>
        <v>28</v>
      </c>
      <c r="K15" s="2" t="str">
        <f t="shared" si="2"/>
        <v>Sale</v>
      </c>
      <c r="L15" t="s">
        <v>5</v>
      </c>
    </row>
    <row r="16" spans="1:12" x14ac:dyDescent="0.25">
      <c r="A16">
        <v>5014</v>
      </c>
      <c r="B16">
        <v>98</v>
      </c>
      <c r="C16" s="5" t="str">
        <f>IFERROR(_xlfn.XLOOKUP(B16, Customers_raw!A:A, Customers_raw!B:B), "Unknown Customer")</f>
        <v>Karen Williams</v>
      </c>
      <c r="D16" s="1">
        <v>45708</v>
      </c>
      <c r="E16" s="1" t="str">
        <f t="shared" si="0"/>
        <v>2025-02</v>
      </c>
      <c r="F16" t="s">
        <v>12</v>
      </c>
      <c r="G16" t="s">
        <v>10</v>
      </c>
      <c r="H16">
        <v>1</v>
      </c>
      <c r="I16" s="2">
        <v>22.047244094488189</v>
      </c>
      <c r="J16" s="2">
        <f t="shared" si="1"/>
        <v>22.047244094488189</v>
      </c>
      <c r="K16" s="2" t="str">
        <f t="shared" si="2"/>
        <v>Sale</v>
      </c>
      <c r="L16" t="s">
        <v>8</v>
      </c>
    </row>
    <row r="17" spans="1:12" x14ac:dyDescent="0.25">
      <c r="A17">
        <v>5015</v>
      </c>
      <c r="B17">
        <v>34</v>
      </c>
      <c r="C17" s="5" t="str">
        <f>IFERROR(_xlfn.XLOOKUP(B17, Customers_raw!A:A, Customers_raw!B:B), "Unknown Customer")</f>
        <v>Joseph Jackson</v>
      </c>
      <c r="D17" s="1">
        <v>45965</v>
      </c>
      <c r="E17" s="1" t="str">
        <f t="shared" si="0"/>
        <v>2025-11</v>
      </c>
      <c r="F17" t="s">
        <v>9</v>
      </c>
      <c r="G17" t="s">
        <v>6</v>
      </c>
      <c r="H17">
        <v>-1</v>
      </c>
      <c r="I17" s="2">
        <v>48</v>
      </c>
      <c r="J17" s="2">
        <f t="shared" si="1"/>
        <v>-48</v>
      </c>
      <c r="K17" s="2" t="str">
        <f t="shared" si="2"/>
        <v>Return</v>
      </c>
      <c r="L17" t="s">
        <v>5</v>
      </c>
    </row>
    <row r="18" spans="1:12" x14ac:dyDescent="0.25">
      <c r="A18">
        <v>5016</v>
      </c>
      <c r="B18">
        <v>41</v>
      </c>
      <c r="C18" s="5" t="str">
        <f>IFERROR(_xlfn.XLOOKUP(B18, Customers_raw!A:A, Customers_raw!B:B), "Unknown Customer")</f>
        <v>Margaret Clark</v>
      </c>
      <c r="D18" s="1">
        <v>45782</v>
      </c>
      <c r="E18" s="1" t="str">
        <f t="shared" si="0"/>
        <v>2025-05</v>
      </c>
      <c r="F18" t="s">
        <v>22</v>
      </c>
      <c r="G18" t="s">
        <v>17</v>
      </c>
      <c r="H18">
        <v>2</v>
      </c>
      <c r="I18" s="2">
        <v>24</v>
      </c>
      <c r="J18" s="2">
        <f t="shared" si="1"/>
        <v>48</v>
      </c>
      <c r="K18" s="2" t="str">
        <f t="shared" si="2"/>
        <v>Sale</v>
      </c>
      <c r="L18" t="s">
        <v>8</v>
      </c>
    </row>
    <row r="19" spans="1:12" x14ac:dyDescent="0.25">
      <c r="A19">
        <v>5017</v>
      </c>
      <c r="B19">
        <v>53</v>
      </c>
      <c r="C19" s="5" t="str">
        <f>IFERROR(_xlfn.XLOOKUP(B19, Customers_raw!A:A, Customers_raw!B:B), "Unknown Customer")</f>
        <v>John Thomas</v>
      </c>
      <c r="D19" s="1">
        <v>45990</v>
      </c>
      <c r="E19" s="1" t="str">
        <f t="shared" si="0"/>
        <v>2025-11</v>
      </c>
      <c r="F19" t="s">
        <v>19</v>
      </c>
      <c r="G19" t="s">
        <v>17</v>
      </c>
      <c r="H19">
        <v>1</v>
      </c>
      <c r="I19" s="2">
        <v>16</v>
      </c>
      <c r="J19" s="2">
        <f t="shared" si="1"/>
        <v>16</v>
      </c>
      <c r="K19" s="2" t="str">
        <f t="shared" si="2"/>
        <v>Sale</v>
      </c>
      <c r="L19" t="s">
        <v>5</v>
      </c>
    </row>
    <row r="20" spans="1:12" x14ac:dyDescent="0.25">
      <c r="A20">
        <v>5018</v>
      </c>
      <c r="B20">
        <v>83</v>
      </c>
      <c r="C20" s="5" t="str">
        <f>IFERROR(_xlfn.XLOOKUP(B20, Customers_raw!A:A, Customers_raw!B:B), "Unknown Customer")</f>
        <v>Mary Martinez</v>
      </c>
      <c r="D20" s="1">
        <v>45963</v>
      </c>
      <c r="E20" s="1" t="str">
        <f t="shared" si="0"/>
        <v>2025-11</v>
      </c>
      <c r="F20" t="s">
        <v>14</v>
      </c>
      <c r="G20" t="s">
        <v>7</v>
      </c>
      <c r="H20">
        <v>1</v>
      </c>
      <c r="I20" s="2">
        <v>55</v>
      </c>
      <c r="J20" s="2">
        <f t="shared" si="1"/>
        <v>55</v>
      </c>
      <c r="K20" s="2" t="str">
        <f t="shared" si="2"/>
        <v>Sale</v>
      </c>
      <c r="L20" t="s">
        <v>8</v>
      </c>
    </row>
    <row r="21" spans="1:12" x14ac:dyDescent="0.25">
      <c r="A21">
        <v>5019</v>
      </c>
      <c r="B21">
        <v>5</v>
      </c>
      <c r="C21" s="5" t="str">
        <f>IFERROR(_xlfn.XLOOKUP(B21, Customers_raw!A:A, Customers_raw!B:B), "Unknown Customer")</f>
        <v>Joshua Martin</v>
      </c>
      <c r="D21" s="1">
        <v>45831</v>
      </c>
      <c r="E21" s="1" t="str">
        <f t="shared" si="0"/>
        <v>2025-06</v>
      </c>
      <c r="F21" t="s">
        <v>19</v>
      </c>
      <c r="G21" t="s">
        <v>17</v>
      </c>
      <c r="H21">
        <v>1</v>
      </c>
      <c r="I21" s="2">
        <v>19</v>
      </c>
      <c r="J21" s="2">
        <f t="shared" si="1"/>
        <v>19</v>
      </c>
      <c r="K21" s="2" t="str">
        <f t="shared" si="2"/>
        <v>Sale</v>
      </c>
      <c r="L21" t="s">
        <v>5</v>
      </c>
    </row>
    <row r="22" spans="1:12" x14ac:dyDescent="0.25">
      <c r="A22">
        <v>5020</v>
      </c>
      <c r="B22">
        <v>95</v>
      </c>
      <c r="C22" s="5" t="str">
        <f>IFERROR(_xlfn.XLOOKUP(B22, Customers_raw!A:A, Customers_raw!B:B), "Unknown Customer")</f>
        <v>Michelle Martin</v>
      </c>
      <c r="D22" s="1">
        <v>45692</v>
      </c>
      <c r="E22" s="1" t="str">
        <f t="shared" si="0"/>
        <v>2025-02</v>
      </c>
      <c r="F22" t="s">
        <v>15</v>
      </c>
      <c r="G22" t="s">
        <v>7</v>
      </c>
      <c r="H22">
        <v>2</v>
      </c>
      <c r="I22" s="2">
        <v>70</v>
      </c>
      <c r="J22" s="2">
        <f t="shared" si="1"/>
        <v>140</v>
      </c>
      <c r="K22" s="2" t="str">
        <f t="shared" si="2"/>
        <v>Sale</v>
      </c>
      <c r="L22" t="s">
        <v>27</v>
      </c>
    </row>
    <row r="23" spans="1:12" x14ac:dyDescent="0.25">
      <c r="A23">
        <v>5021</v>
      </c>
      <c r="B23">
        <v>60</v>
      </c>
      <c r="C23" s="5" t="str">
        <f>IFERROR(_xlfn.XLOOKUP(B23, Customers_raw!A:A, Customers_raw!B:B), "Unknown Customer")</f>
        <v>Margaret Moore</v>
      </c>
      <c r="D23" s="1">
        <v>45793</v>
      </c>
      <c r="E23" s="1" t="str">
        <f t="shared" si="0"/>
        <v>2025-05</v>
      </c>
      <c r="F23" t="s">
        <v>9</v>
      </c>
      <c r="G23" t="s">
        <v>6</v>
      </c>
      <c r="H23">
        <v>1</v>
      </c>
      <c r="I23" s="2">
        <v>48</v>
      </c>
      <c r="J23" s="2">
        <f t="shared" si="1"/>
        <v>48</v>
      </c>
      <c r="K23" s="2" t="str">
        <f t="shared" si="2"/>
        <v>Sale</v>
      </c>
      <c r="L23" t="s">
        <v>27</v>
      </c>
    </row>
    <row r="24" spans="1:12" x14ac:dyDescent="0.25">
      <c r="A24">
        <v>5022</v>
      </c>
      <c r="B24">
        <v>63</v>
      </c>
      <c r="C24" s="5" t="str">
        <f>IFERROR(_xlfn.XLOOKUP(B24, Customers_raw!A:A, Customers_raw!B:B), "Unknown Customer")</f>
        <v>Joseph Robinson</v>
      </c>
      <c r="D24" s="1">
        <v>45998</v>
      </c>
      <c r="E24" s="1" t="str">
        <f t="shared" si="0"/>
        <v>2025-12</v>
      </c>
      <c r="F24" t="s">
        <v>14</v>
      </c>
      <c r="G24" t="s">
        <v>7</v>
      </c>
      <c r="H24">
        <v>2</v>
      </c>
      <c r="I24" s="2">
        <v>55</v>
      </c>
      <c r="J24" s="2">
        <f t="shared" si="1"/>
        <v>110</v>
      </c>
      <c r="K24" s="2" t="str">
        <f t="shared" si="2"/>
        <v>Sale</v>
      </c>
      <c r="L24" t="s">
        <v>27</v>
      </c>
    </row>
    <row r="25" spans="1:12" x14ac:dyDescent="0.25">
      <c r="A25">
        <v>5023</v>
      </c>
      <c r="B25">
        <v>4</v>
      </c>
      <c r="C25" s="5" t="str">
        <f>IFERROR(_xlfn.XLOOKUP(B25, Customers_raw!A:A, Customers_raw!B:B), "Unknown Customer")</f>
        <v>Joshua Brown</v>
      </c>
      <c r="D25" s="1">
        <v>45730</v>
      </c>
      <c r="E25" s="1" t="str">
        <f t="shared" si="0"/>
        <v>2025-03</v>
      </c>
      <c r="F25" t="s">
        <v>21</v>
      </c>
      <c r="G25" t="s">
        <v>17</v>
      </c>
      <c r="H25">
        <v>-1</v>
      </c>
      <c r="I25" s="2">
        <v>57</v>
      </c>
      <c r="J25" s="2">
        <f t="shared" si="1"/>
        <v>-57</v>
      </c>
      <c r="K25" s="2" t="str">
        <f t="shared" si="2"/>
        <v>Return</v>
      </c>
      <c r="L25" t="s">
        <v>8</v>
      </c>
    </row>
    <row r="26" spans="1:12" x14ac:dyDescent="0.25">
      <c r="A26">
        <v>5024</v>
      </c>
      <c r="B26">
        <v>92</v>
      </c>
      <c r="C26" s="5" t="str">
        <f>IFERROR(_xlfn.XLOOKUP(B26, Customers_raw!A:A, Customers_raw!B:B), "Unknown Customer")</f>
        <v>Joseph Harris</v>
      </c>
      <c r="D26" s="1">
        <v>45715</v>
      </c>
      <c r="E26" s="1" t="str">
        <f t="shared" si="0"/>
        <v>2025-02</v>
      </c>
      <c r="F26" t="s">
        <v>11</v>
      </c>
      <c r="G26" t="s">
        <v>6</v>
      </c>
      <c r="H26">
        <v>1</v>
      </c>
      <c r="I26" s="2">
        <v>18</v>
      </c>
      <c r="J26" s="2">
        <f t="shared" si="1"/>
        <v>18</v>
      </c>
      <c r="K26" s="2" t="str">
        <f t="shared" si="2"/>
        <v>Sale</v>
      </c>
      <c r="L26" t="s">
        <v>5</v>
      </c>
    </row>
    <row r="27" spans="1:12" x14ac:dyDescent="0.25">
      <c r="A27">
        <v>5025</v>
      </c>
      <c r="B27">
        <v>68</v>
      </c>
      <c r="C27" s="5" t="str">
        <f>IFERROR(_xlfn.XLOOKUP(B27, Customers_raw!A:A, Customers_raw!B:B), "Unknown Customer")</f>
        <v>James Hernandez</v>
      </c>
      <c r="D27" s="1">
        <v>45897</v>
      </c>
      <c r="E27" s="1" t="str">
        <f t="shared" si="0"/>
        <v>2025-08</v>
      </c>
      <c r="F27" t="s">
        <v>19</v>
      </c>
      <c r="G27" t="s">
        <v>17</v>
      </c>
      <c r="H27">
        <v>1</v>
      </c>
      <c r="I27" s="2">
        <v>19</v>
      </c>
      <c r="J27" s="2">
        <f t="shared" si="1"/>
        <v>19</v>
      </c>
      <c r="K27" s="2" t="str">
        <f t="shared" si="2"/>
        <v>Sale</v>
      </c>
      <c r="L27" t="s">
        <v>8</v>
      </c>
    </row>
    <row r="28" spans="1:12" x14ac:dyDescent="0.25">
      <c r="A28">
        <v>5026</v>
      </c>
      <c r="B28">
        <v>22</v>
      </c>
      <c r="C28" s="5" t="str">
        <f>IFERROR(_xlfn.XLOOKUP(B28, Customers_raw!A:A, Customers_raw!B:B), "Unknown Customer")</f>
        <v>Joseph Thompson</v>
      </c>
      <c r="D28" s="1">
        <v>45659</v>
      </c>
      <c r="E28" s="1" t="str">
        <f t="shared" si="0"/>
        <v>2025-01</v>
      </c>
      <c r="F28" t="s">
        <v>12</v>
      </c>
      <c r="G28" t="s">
        <v>10</v>
      </c>
      <c r="H28">
        <v>1</v>
      </c>
      <c r="I28" s="2">
        <v>19</v>
      </c>
      <c r="J28" s="2">
        <f t="shared" si="1"/>
        <v>19</v>
      </c>
      <c r="K28" s="2" t="str">
        <f t="shared" si="2"/>
        <v>Sale</v>
      </c>
      <c r="L28" t="s">
        <v>8</v>
      </c>
    </row>
    <row r="29" spans="1:12" x14ac:dyDescent="0.25">
      <c r="A29">
        <v>5027</v>
      </c>
      <c r="B29">
        <v>72</v>
      </c>
      <c r="C29" s="5" t="str">
        <f>IFERROR(_xlfn.XLOOKUP(B29, Customers_raw!A:A, Customers_raw!B:B), "Unknown Customer")</f>
        <v>Steven Jackson</v>
      </c>
      <c r="D29" s="1">
        <v>45852</v>
      </c>
      <c r="E29" s="1" t="str">
        <f t="shared" si="0"/>
        <v>2025-07</v>
      </c>
      <c r="F29" t="s">
        <v>9</v>
      </c>
      <c r="G29" t="s">
        <v>6</v>
      </c>
      <c r="H29">
        <v>1</v>
      </c>
      <c r="I29" s="2">
        <v>45</v>
      </c>
      <c r="J29" s="2">
        <f t="shared" si="1"/>
        <v>45</v>
      </c>
      <c r="K29" s="2" t="str">
        <f t="shared" si="2"/>
        <v>Sale</v>
      </c>
      <c r="L29" t="s">
        <v>5</v>
      </c>
    </row>
    <row r="30" spans="1:12" x14ac:dyDescent="0.25">
      <c r="A30">
        <v>5028</v>
      </c>
      <c r="B30">
        <v>61</v>
      </c>
      <c r="C30" s="5" t="str">
        <f>IFERROR(_xlfn.XLOOKUP(B30, Customers_raw!A:A, Customers_raw!B:B), "Unknown Customer")</f>
        <v>Jennifer Harris</v>
      </c>
      <c r="D30" s="1">
        <v>45937</v>
      </c>
      <c r="E30" s="1" t="str">
        <f t="shared" si="0"/>
        <v>2025-10</v>
      </c>
      <c r="F30" t="s">
        <v>9</v>
      </c>
      <c r="G30" t="s">
        <v>6</v>
      </c>
      <c r="H30">
        <v>1</v>
      </c>
      <c r="I30" s="2">
        <v>45</v>
      </c>
      <c r="J30" s="2">
        <f t="shared" si="1"/>
        <v>45</v>
      </c>
      <c r="K30" s="2" t="str">
        <f t="shared" si="2"/>
        <v>Sale</v>
      </c>
      <c r="L30" t="s">
        <v>8</v>
      </c>
    </row>
    <row r="31" spans="1:12" x14ac:dyDescent="0.25">
      <c r="A31">
        <v>5029</v>
      </c>
      <c r="B31">
        <v>81</v>
      </c>
      <c r="C31" s="5" t="str">
        <f>IFERROR(_xlfn.XLOOKUP(B31, Customers_raw!A:A, Customers_raw!B:B), "Unknown Customer")</f>
        <v>Sarah Moore</v>
      </c>
      <c r="D31" s="1">
        <v>45843</v>
      </c>
      <c r="E31" s="1" t="str">
        <f t="shared" si="0"/>
        <v>2025-07</v>
      </c>
      <c r="F31" t="s">
        <v>14</v>
      </c>
      <c r="G31" t="s">
        <v>7</v>
      </c>
      <c r="H31">
        <v>1</v>
      </c>
      <c r="I31" s="2">
        <v>55</v>
      </c>
      <c r="J31" s="2">
        <f t="shared" si="1"/>
        <v>55</v>
      </c>
      <c r="K31" s="2" t="str">
        <f t="shared" si="2"/>
        <v>Sale</v>
      </c>
      <c r="L31" t="s">
        <v>8</v>
      </c>
    </row>
    <row r="32" spans="1:12" x14ac:dyDescent="0.25">
      <c r="A32">
        <v>5030</v>
      </c>
      <c r="B32">
        <v>103</v>
      </c>
      <c r="C32" s="5" t="str">
        <f>IFERROR(_xlfn.XLOOKUP(B32, Customers_raw!A:A, Customers_raw!B:B), "Unknown Customer")</f>
        <v>Mark Wilson</v>
      </c>
      <c r="D32" s="1">
        <v>45789</v>
      </c>
      <c r="E32" s="1" t="str">
        <f t="shared" si="0"/>
        <v>2025-05</v>
      </c>
      <c r="F32" t="s">
        <v>16</v>
      </c>
      <c r="G32" t="s">
        <v>10</v>
      </c>
      <c r="H32">
        <v>1</v>
      </c>
      <c r="I32" s="2">
        <v>25</v>
      </c>
      <c r="J32" s="2">
        <f t="shared" si="1"/>
        <v>25</v>
      </c>
      <c r="K32" s="2" t="str">
        <f t="shared" si="2"/>
        <v>Sale</v>
      </c>
      <c r="L32" t="s">
        <v>5</v>
      </c>
    </row>
    <row r="33" spans="1:12" x14ac:dyDescent="0.25">
      <c r="A33">
        <v>5031</v>
      </c>
      <c r="B33">
        <v>35</v>
      </c>
      <c r="C33" s="5" t="str">
        <f>IFERROR(_xlfn.XLOOKUP(B33, Customers_raw!A:A, Customers_raw!B:B), "Unknown Customer")</f>
        <v>Richard Clark</v>
      </c>
      <c r="D33" s="1">
        <v>45973</v>
      </c>
      <c r="E33" s="1" t="str">
        <f t="shared" si="0"/>
        <v>2025-11</v>
      </c>
      <c r="F33" t="s">
        <v>11</v>
      </c>
      <c r="G33" t="s">
        <v>6</v>
      </c>
      <c r="H33">
        <v>1</v>
      </c>
      <c r="I33" s="2">
        <v>18</v>
      </c>
      <c r="J33" s="2">
        <f t="shared" si="1"/>
        <v>18</v>
      </c>
      <c r="K33" s="2" t="str">
        <f t="shared" si="2"/>
        <v>Sale</v>
      </c>
      <c r="L33" t="s">
        <v>8</v>
      </c>
    </row>
    <row r="34" spans="1:12" x14ac:dyDescent="0.25">
      <c r="A34">
        <v>5032</v>
      </c>
      <c r="B34">
        <v>93</v>
      </c>
      <c r="C34" s="5" t="str">
        <f>IFERROR(_xlfn.XLOOKUP(B34, Customers_raw!A:A, Customers_raw!B:B), "Unknown Customer")</f>
        <v>Charles Sanchez</v>
      </c>
      <c r="D34" s="1">
        <v>45982</v>
      </c>
      <c r="E34" s="1" t="str">
        <f t="shared" si="0"/>
        <v>2025-11</v>
      </c>
      <c r="F34" t="s">
        <v>21</v>
      </c>
      <c r="G34" t="s">
        <v>17</v>
      </c>
      <c r="H34">
        <v>1</v>
      </c>
      <c r="I34" s="2">
        <v>60</v>
      </c>
      <c r="J34" s="2">
        <f t="shared" si="1"/>
        <v>60</v>
      </c>
      <c r="K34" s="2" t="str">
        <f t="shared" si="2"/>
        <v>Sale</v>
      </c>
      <c r="L34" t="s">
        <v>5</v>
      </c>
    </row>
    <row r="35" spans="1:12" x14ac:dyDescent="0.25">
      <c r="A35">
        <v>5033</v>
      </c>
      <c r="B35">
        <v>60</v>
      </c>
      <c r="C35" s="5" t="str">
        <f>IFERROR(_xlfn.XLOOKUP(B35, Customers_raw!A:A, Customers_raw!B:B), "Unknown Customer")</f>
        <v>Margaret Moore</v>
      </c>
      <c r="D35" s="1">
        <v>45905</v>
      </c>
      <c r="E35" s="1" t="str">
        <f t="shared" si="0"/>
        <v>2025-09</v>
      </c>
      <c r="F35" t="s">
        <v>14</v>
      </c>
      <c r="G35" t="s">
        <v>7</v>
      </c>
      <c r="H35">
        <v>2</v>
      </c>
      <c r="I35" s="2">
        <v>55</v>
      </c>
      <c r="J35" s="2">
        <f t="shared" si="1"/>
        <v>110</v>
      </c>
      <c r="K35" s="2" t="str">
        <f t="shared" si="2"/>
        <v>Sale</v>
      </c>
      <c r="L35" t="s">
        <v>8</v>
      </c>
    </row>
    <row r="36" spans="1:12" x14ac:dyDescent="0.25">
      <c r="A36">
        <v>5034</v>
      </c>
      <c r="B36">
        <v>103</v>
      </c>
      <c r="C36" s="5" t="str">
        <f>IFERROR(_xlfn.XLOOKUP(B36, Customers_raw!A:A, Customers_raw!B:B), "Unknown Customer")</f>
        <v>Mark Wilson</v>
      </c>
      <c r="D36" s="1">
        <v>45813</v>
      </c>
      <c r="E36" s="1" t="str">
        <f t="shared" si="0"/>
        <v>2025-06</v>
      </c>
      <c r="F36" t="s">
        <v>19</v>
      </c>
      <c r="G36" t="s">
        <v>17</v>
      </c>
      <c r="H36">
        <v>-2</v>
      </c>
      <c r="I36" s="2">
        <v>19</v>
      </c>
      <c r="J36" s="2">
        <f t="shared" si="1"/>
        <v>-38</v>
      </c>
      <c r="K36" s="2" t="str">
        <f t="shared" si="2"/>
        <v>Return</v>
      </c>
      <c r="L36" t="s">
        <v>8</v>
      </c>
    </row>
    <row r="37" spans="1:12" x14ac:dyDescent="0.25">
      <c r="A37">
        <v>5035</v>
      </c>
      <c r="B37">
        <v>47</v>
      </c>
      <c r="C37" s="5" t="str">
        <f>IFERROR(_xlfn.XLOOKUP(B37, Customers_raw!A:A, Customers_raw!B:B), "Unknown Customer")</f>
        <v>Christopher Rodriguez</v>
      </c>
      <c r="D37" s="1">
        <v>45698</v>
      </c>
      <c r="E37" s="1" t="str">
        <f t="shared" si="0"/>
        <v>2025-02</v>
      </c>
      <c r="F37" t="s">
        <v>21</v>
      </c>
      <c r="G37" t="s">
        <v>17</v>
      </c>
      <c r="H37">
        <v>2</v>
      </c>
      <c r="I37" s="2">
        <v>60</v>
      </c>
      <c r="J37" s="2">
        <f t="shared" si="1"/>
        <v>120</v>
      </c>
      <c r="K37" s="2" t="str">
        <f t="shared" si="2"/>
        <v>Sale</v>
      </c>
      <c r="L37" t="s">
        <v>8</v>
      </c>
    </row>
    <row r="38" spans="1:12" x14ac:dyDescent="0.25">
      <c r="A38">
        <v>5036</v>
      </c>
      <c r="B38">
        <v>84</v>
      </c>
      <c r="C38" s="5" t="str">
        <f>IFERROR(_xlfn.XLOOKUP(B38, Customers_raw!A:A, Customers_raw!B:B), "Unknown Customer")</f>
        <v>Kimberly Lewis</v>
      </c>
      <c r="D38" s="1">
        <v>45756</v>
      </c>
      <c r="E38" s="1" t="str">
        <f t="shared" si="0"/>
        <v>2025-04</v>
      </c>
      <c r="F38" t="s">
        <v>16</v>
      </c>
      <c r="G38" t="s">
        <v>10</v>
      </c>
      <c r="H38">
        <v>1</v>
      </c>
      <c r="I38" s="2">
        <v>28</v>
      </c>
      <c r="J38" s="2">
        <f t="shared" si="1"/>
        <v>28</v>
      </c>
      <c r="K38" s="2" t="str">
        <f t="shared" si="2"/>
        <v>Sale</v>
      </c>
      <c r="L38" t="s">
        <v>5</v>
      </c>
    </row>
    <row r="39" spans="1:12" x14ac:dyDescent="0.25">
      <c r="A39">
        <v>5037</v>
      </c>
      <c r="B39">
        <v>80</v>
      </c>
      <c r="C39" s="5" t="str">
        <f>IFERROR(_xlfn.XLOOKUP(B39, Customers_raw!A:A, Customers_raw!B:B), "Unknown Customer")</f>
        <v>Susan Lopez</v>
      </c>
      <c r="D39" s="1">
        <v>45764</v>
      </c>
      <c r="E39" s="1" t="str">
        <f t="shared" si="0"/>
        <v>2025-04</v>
      </c>
      <c r="F39" t="s">
        <v>12</v>
      </c>
      <c r="G39" t="s">
        <v>10</v>
      </c>
      <c r="H39">
        <v>2</v>
      </c>
      <c r="I39" s="2">
        <v>22</v>
      </c>
      <c r="J39" s="2">
        <f t="shared" si="1"/>
        <v>44</v>
      </c>
      <c r="K39" s="2" t="str">
        <f t="shared" si="2"/>
        <v>Sale</v>
      </c>
      <c r="L39" t="s">
        <v>23</v>
      </c>
    </row>
    <row r="40" spans="1:12" x14ac:dyDescent="0.25">
      <c r="A40">
        <v>5038</v>
      </c>
      <c r="B40">
        <v>30</v>
      </c>
      <c r="C40" s="5" t="str">
        <f>IFERROR(_xlfn.XLOOKUP(B40, Customers_raw!A:A, Customers_raw!B:B), "Unknown Customer")</f>
        <v>Sandra Taylor</v>
      </c>
      <c r="D40" s="1">
        <v>45696</v>
      </c>
      <c r="E40" s="1" t="str">
        <f t="shared" si="0"/>
        <v>2025-02</v>
      </c>
      <c r="F40" t="s">
        <v>20</v>
      </c>
      <c r="G40" t="s">
        <v>10</v>
      </c>
      <c r="H40">
        <v>2</v>
      </c>
      <c r="I40" s="2">
        <v>65</v>
      </c>
      <c r="J40" s="2">
        <f t="shared" si="1"/>
        <v>130</v>
      </c>
      <c r="K40" s="2" t="str">
        <f t="shared" si="2"/>
        <v>Sale</v>
      </c>
      <c r="L40" t="s">
        <v>5</v>
      </c>
    </row>
    <row r="41" spans="1:12" x14ac:dyDescent="0.25">
      <c r="A41">
        <v>5039</v>
      </c>
      <c r="B41">
        <v>38</v>
      </c>
      <c r="C41" s="5" t="str">
        <f>IFERROR(_xlfn.XLOOKUP(B41, Customers_raw!A:A, Customers_raw!B:B), "Unknown Customer")</f>
        <v>Jennifer Davis</v>
      </c>
      <c r="D41" s="1">
        <v>45948</v>
      </c>
      <c r="E41" s="1" t="str">
        <f t="shared" si="0"/>
        <v>2025-10</v>
      </c>
      <c r="F41" t="s">
        <v>18</v>
      </c>
      <c r="G41" t="s">
        <v>6</v>
      </c>
      <c r="H41">
        <v>1</v>
      </c>
      <c r="I41" s="2">
        <v>89</v>
      </c>
      <c r="J41" s="2">
        <f t="shared" si="1"/>
        <v>89</v>
      </c>
      <c r="K41" s="2" t="str">
        <f t="shared" si="2"/>
        <v>Sale</v>
      </c>
      <c r="L41" t="s">
        <v>27</v>
      </c>
    </row>
    <row r="42" spans="1:12" x14ac:dyDescent="0.25">
      <c r="A42">
        <v>5040</v>
      </c>
      <c r="B42">
        <v>57</v>
      </c>
      <c r="C42" s="5" t="str">
        <f>IFERROR(_xlfn.XLOOKUP(B42, Customers_raw!A:A, Customers_raw!B:B), "Unknown Customer")</f>
        <v>Karen Clark</v>
      </c>
      <c r="D42" s="1">
        <v>45753</v>
      </c>
      <c r="E42" s="1" t="str">
        <f t="shared" si="0"/>
        <v>2025-04</v>
      </c>
      <c r="F42" t="s">
        <v>9</v>
      </c>
      <c r="G42" t="s">
        <v>6</v>
      </c>
      <c r="H42">
        <v>-1</v>
      </c>
      <c r="I42" s="2">
        <v>45</v>
      </c>
      <c r="J42" s="2">
        <f t="shared" si="1"/>
        <v>-45</v>
      </c>
      <c r="K42" s="2" t="str">
        <f t="shared" si="2"/>
        <v>Return</v>
      </c>
      <c r="L42" t="s">
        <v>5</v>
      </c>
    </row>
    <row r="43" spans="1:12" x14ac:dyDescent="0.25">
      <c r="A43">
        <v>5041</v>
      </c>
      <c r="B43">
        <v>9</v>
      </c>
      <c r="C43" s="5" t="str">
        <f>IFERROR(_xlfn.XLOOKUP(B43, Customers_raw!A:A, Customers_raw!B:B), "Unknown Customer")</f>
        <v>Andrew Anderson</v>
      </c>
      <c r="D43" s="1">
        <v>45786</v>
      </c>
      <c r="E43" s="1" t="str">
        <f t="shared" si="0"/>
        <v>2025-05</v>
      </c>
      <c r="F43" t="s">
        <v>14</v>
      </c>
      <c r="G43" t="s">
        <v>7</v>
      </c>
      <c r="H43">
        <v>1</v>
      </c>
      <c r="I43" s="2">
        <v>58</v>
      </c>
      <c r="J43" s="2">
        <f t="shared" si="1"/>
        <v>58</v>
      </c>
      <c r="K43" s="2" t="str">
        <f t="shared" si="2"/>
        <v>Sale</v>
      </c>
      <c r="L43" t="s">
        <v>23</v>
      </c>
    </row>
    <row r="44" spans="1:12" x14ac:dyDescent="0.25">
      <c r="A44">
        <v>5042</v>
      </c>
      <c r="B44">
        <v>60</v>
      </c>
      <c r="C44" s="5" t="str">
        <f>IFERROR(_xlfn.XLOOKUP(B44, Customers_raw!A:A, Customers_raw!B:B), "Unknown Customer")</f>
        <v>Margaret Moore</v>
      </c>
      <c r="D44" s="1">
        <v>45710</v>
      </c>
      <c r="E44" s="1" t="str">
        <f t="shared" si="0"/>
        <v>2025-02</v>
      </c>
      <c r="F44" t="s">
        <v>16</v>
      </c>
      <c r="G44" t="s">
        <v>10</v>
      </c>
      <c r="H44">
        <v>2</v>
      </c>
      <c r="I44" s="2">
        <v>28</v>
      </c>
      <c r="J44" s="2">
        <f t="shared" si="1"/>
        <v>56</v>
      </c>
      <c r="K44" s="2" t="str">
        <f t="shared" si="2"/>
        <v>Sale</v>
      </c>
      <c r="L44" t="s">
        <v>8</v>
      </c>
    </row>
    <row r="45" spans="1:12" x14ac:dyDescent="0.25">
      <c r="A45">
        <v>5043</v>
      </c>
      <c r="B45">
        <v>57</v>
      </c>
      <c r="C45" s="5" t="str">
        <f>IFERROR(_xlfn.XLOOKUP(B45, Customers_raw!A:A, Customers_raw!B:B), "Unknown Customer")</f>
        <v>Karen Clark</v>
      </c>
      <c r="D45" s="1">
        <v>45777</v>
      </c>
      <c r="E45" s="1" t="str">
        <f t="shared" si="0"/>
        <v>2025-04</v>
      </c>
      <c r="F45" t="s">
        <v>18</v>
      </c>
      <c r="G45" t="s">
        <v>6</v>
      </c>
      <c r="H45">
        <v>1</v>
      </c>
      <c r="I45" s="2">
        <v>89</v>
      </c>
      <c r="J45" s="2">
        <f t="shared" si="1"/>
        <v>89</v>
      </c>
      <c r="K45" s="2" t="str">
        <f t="shared" si="2"/>
        <v>Sale</v>
      </c>
      <c r="L45" t="s">
        <v>8</v>
      </c>
    </row>
    <row r="46" spans="1:12" x14ac:dyDescent="0.25">
      <c r="A46">
        <v>5044</v>
      </c>
      <c r="B46">
        <v>48</v>
      </c>
      <c r="C46" s="5" t="str">
        <f>IFERROR(_xlfn.XLOOKUP(B46, Customers_raw!A:A, Customers_raw!B:B), "Unknown Customer")</f>
        <v>Sandra Thompson</v>
      </c>
      <c r="D46" s="1">
        <v>45692</v>
      </c>
      <c r="E46" s="1" t="str">
        <f t="shared" si="0"/>
        <v>2025-02</v>
      </c>
      <c r="F46" t="s">
        <v>15</v>
      </c>
      <c r="G46" t="s">
        <v>7</v>
      </c>
      <c r="H46">
        <v>2</v>
      </c>
      <c r="I46" s="2">
        <v>70</v>
      </c>
      <c r="J46" s="2">
        <f t="shared" si="1"/>
        <v>140</v>
      </c>
      <c r="K46" s="2" t="str">
        <f t="shared" si="2"/>
        <v>Sale</v>
      </c>
      <c r="L46" t="s">
        <v>8</v>
      </c>
    </row>
    <row r="47" spans="1:12" x14ac:dyDescent="0.25">
      <c r="A47">
        <v>5045</v>
      </c>
      <c r="B47">
        <v>82</v>
      </c>
      <c r="C47" s="5" t="str">
        <f>IFERROR(_xlfn.XLOOKUP(B47, Customers_raw!A:A, Customers_raw!B:B), "Unknown Customer")</f>
        <v>Thomas Ramirez</v>
      </c>
      <c r="D47" s="1">
        <v>46021</v>
      </c>
      <c r="E47" s="1" t="str">
        <f t="shared" si="0"/>
        <v>2025-12</v>
      </c>
      <c r="F47" t="s">
        <v>21</v>
      </c>
      <c r="G47" t="s">
        <v>17</v>
      </c>
      <c r="H47">
        <v>-1</v>
      </c>
      <c r="I47" s="2">
        <v>57</v>
      </c>
      <c r="J47" s="2">
        <f t="shared" si="1"/>
        <v>-57</v>
      </c>
      <c r="K47" s="2" t="str">
        <f t="shared" si="2"/>
        <v>Return</v>
      </c>
      <c r="L47" t="s">
        <v>27</v>
      </c>
    </row>
    <row r="48" spans="1:12" x14ac:dyDescent="0.25">
      <c r="A48">
        <v>5046</v>
      </c>
      <c r="B48">
        <v>6</v>
      </c>
      <c r="C48" s="5" t="str">
        <f>IFERROR(_xlfn.XLOOKUP(B48, Customers_raw!A:A, Customers_raw!B:B), "Unknown Customer")</f>
        <v>David Martinez</v>
      </c>
      <c r="D48" s="1">
        <v>45788</v>
      </c>
      <c r="E48" s="1" t="str">
        <f t="shared" si="0"/>
        <v>2025-05</v>
      </c>
      <c r="F48" t="s">
        <v>9</v>
      </c>
      <c r="G48" t="s">
        <v>6</v>
      </c>
      <c r="H48">
        <v>2</v>
      </c>
      <c r="I48" s="2">
        <v>45</v>
      </c>
      <c r="J48" s="2">
        <f t="shared" si="1"/>
        <v>90</v>
      </c>
      <c r="K48" s="2" t="str">
        <f t="shared" si="2"/>
        <v>Sale</v>
      </c>
      <c r="L48" t="s">
        <v>8</v>
      </c>
    </row>
    <row r="49" spans="1:12" x14ac:dyDescent="0.25">
      <c r="A49">
        <v>5047</v>
      </c>
      <c r="B49">
        <v>87</v>
      </c>
      <c r="C49" s="5" t="str">
        <f>IFERROR(_xlfn.XLOOKUP(B49, Customers_raw!A:A, Customers_raw!B:B), "Unknown Customer")</f>
        <v>Joseph Williams</v>
      </c>
      <c r="D49" s="1">
        <v>45781</v>
      </c>
      <c r="E49" s="1" t="str">
        <f t="shared" si="0"/>
        <v>2025-05</v>
      </c>
      <c r="F49" t="s">
        <v>11</v>
      </c>
      <c r="G49" t="s">
        <v>6</v>
      </c>
      <c r="H49">
        <v>1</v>
      </c>
      <c r="I49" s="2">
        <v>18</v>
      </c>
      <c r="J49" s="2">
        <f t="shared" si="1"/>
        <v>18</v>
      </c>
      <c r="K49" s="2" t="str">
        <f t="shared" si="2"/>
        <v>Sale</v>
      </c>
      <c r="L49" t="s">
        <v>27</v>
      </c>
    </row>
    <row r="50" spans="1:12" x14ac:dyDescent="0.25">
      <c r="A50">
        <v>5048</v>
      </c>
      <c r="B50">
        <v>62</v>
      </c>
      <c r="C50" s="5" t="str">
        <f>IFERROR(_xlfn.XLOOKUP(B50, Customers_raw!A:A, Customers_raw!B:B), "Unknown Customer")</f>
        <v>Mary Wilson</v>
      </c>
      <c r="D50" s="1">
        <v>45866</v>
      </c>
      <c r="E50" s="1" t="str">
        <f t="shared" si="0"/>
        <v>2025-07</v>
      </c>
      <c r="F50" t="s">
        <v>12</v>
      </c>
      <c r="G50" t="s">
        <v>10</v>
      </c>
      <c r="H50">
        <v>2</v>
      </c>
      <c r="I50" s="2">
        <v>25</v>
      </c>
      <c r="J50" s="2">
        <f t="shared" si="1"/>
        <v>50</v>
      </c>
      <c r="K50" s="2" t="str">
        <f t="shared" si="2"/>
        <v>Sale</v>
      </c>
      <c r="L50" t="s">
        <v>5</v>
      </c>
    </row>
    <row r="51" spans="1:12" x14ac:dyDescent="0.25">
      <c r="A51">
        <v>5049</v>
      </c>
      <c r="B51">
        <v>21</v>
      </c>
      <c r="C51" s="5" t="str">
        <f>IFERROR(_xlfn.XLOOKUP(B51, Customers_raw!A:A, Customers_raw!B:B), "Unknown Customer")</f>
        <v>Daniel Thompson</v>
      </c>
      <c r="D51" s="1">
        <v>46014</v>
      </c>
      <c r="E51" s="1" t="str">
        <f t="shared" si="0"/>
        <v>2025-12</v>
      </c>
      <c r="F51" t="s">
        <v>14</v>
      </c>
      <c r="G51" t="s">
        <v>7</v>
      </c>
      <c r="H51">
        <v>2</v>
      </c>
      <c r="I51" s="2">
        <v>54.794117647058826</v>
      </c>
      <c r="J51" s="2">
        <f t="shared" si="1"/>
        <v>109.58823529411765</v>
      </c>
      <c r="K51" s="2" t="str">
        <f t="shared" si="2"/>
        <v>Sale</v>
      </c>
      <c r="L51" t="s">
        <v>8</v>
      </c>
    </row>
    <row r="52" spans="1:12" x14ac:dyDescent="0.25">
      <c r="A52">
        <v>5050</v>
      </c>
      <c r="B52">
        <v>7</v>
      </c>
      <c r="C52" s="5" t="str">
        <f>IFERROR(_xlfn.XLOOKUP(B52, Customers_raw!A:A, Customers_raw!B:B), "Unknown Customer")</f>
        <v>Emily Ramirez</v>
      </c>
      <c r="D52" s="1">
        <v>45948</v>
      </c>
      <c r="E52" s="1" t="str">
        <f t="shared" si="0"/>
        <v>2025-10</v>
      </c>
      <c r="F52" t="s">
        <v>18</v>
      </c>
      <c r="G52" t="s">
        <v>6</v>
      </c>
      <c r="H52">
        <v>2</v>
      </c>
      <c r="I52" s="2">
        <v>89</v>
      </c>
      <c r="J52" s="2">
        <f t="shared" si="1"/>
        <v>178</v>
      </c>
      <c r="K52" s="2" t="str">
        <f t="shared" si="2"/>
        <v>Sale</v>
      </c>
      <c r="L52" t="s">
        <v>5</v>
      </c>
    </row>
    <row r="53" spans="1:12" x14ac:dyDescent="0.25">
      <c r="A53">
        <v>5051</v>
      </c>
      <c r="B53">
        <v>26</v>
      </c>
      <c r="C53" s="5" t="str">
        <f>IFERROR(_xlfn.XLOOKUP(B53, Customers_raw!A:A, Customers_raw!B:B), "Unknown Customer")</f>
        <v>Betty Johnson</v>
      </c>
      <c r="D53" s="1">
        <v>45865</v>
      </c>
      <c r="E53" s="1" t="str">
        <f t="shared" si="0"/>
        <v>2025-07</v>
      </c>
      <c r="F53" t="s">
        <v>14</v>
      </c>
      <c r="G53" t="s">
        <v>7</v>
      </c>
      <c r="H53">
        <v>1</v>
      </c>
      <c r="I53" s="2">
        <v>55</v>
      </c>
      <c r="J53" s="2">
        <f t="shared" si="1"/>
        <v>55</v>
      </c>
      <c r="K53" s="2" t="str">
        <f t="shared" si="2"/>
        <v>Sale</v>
      </c>
      <c r="L53" t="s">
        <v>8</v>
      </c>
    </row>
    <row r="54" spans="1:12" x14ac:dyDescent="0.25">
      <c r="A54">
        <v>5052</v>
      </c>
      <c r="B54">
        <v>106</v>
      </c>
      <c r="C54" s="5" t="str">
        <f>IFERROR(_xlfn.XLOOKUP(B54, Customers_raw!A:A, Customers_raw!B:B), "Unknown Customer")</f>
        <v>Thomas Lopez</v>
      </c>
      <c r="D54" s="1">
        <v>45865</v>
      </c>
      <c r="E54" s="1" t="str">
        <f t="shared" si="0"/>
        <v>2025-07</v>
      </c>
      <c r="F54" t="s">
        <v>12</v>
      </c>
      <c r="G54" t="s">
        <v>10</v>
      </c>
      <c r="H54">
        <v>2</v>
      </c>
      <c r="I54" s="2">
        <v>22</v>
      </c>
      <c r="J54" s="2">
        <f t="shared" si="1"/>
        <v>44</v>
      </c>
      <c r="K54" s="2" t="str">
        <f t="shared" si="2"/>
        <v>Sale</v>
      </c>
      <c r="L54" t="s">
        <v>8</v>
      </c>
    </row>
    <row r="55" spans="1:12" x14ac:dyDescent="0.25">
      <c r="A55">
        <v>5053</v>
      </c>
      <c r="B55">
        <v>71</v>
      </c>
      <c r="C55" s="5" t="str">
        <f>IFERROR(_xlfn.XLOOKUP(B55, Customers_raw!A:A, Customers_raw!B:B), "Unknown Customer")</f>
        <v>Barbara Rodriguez</v>
      </c>
      <c r="D55" s="1">
        <v>45986</v>
      </c>
      <c r="E55" s="1" t="str">
        <f t="shared" si="0"/>
        <v>2025-11</v>
      </c>
      <c r="F55" t="s">
        <v>20</v>
      </c>
      <c r="G55" t="s">
        <v>10</v>
      </c>
      <c r="H55">
        <v>1</v>
      </c>
      <c r="I55" s="2">
        <v>68</v>
      </c>
      <c r="J55" s="2">
        <f t="shared" si="1"/>
        <v>68</v>
      </c>
      <c r="K55" s="2" t="str">
        <f t="shared" si="2"/>
        <v>Sale</v>
      </c>
      <c r="L55" t="s">
        <v>5</v>
      </c>
    </row>
    <row r="56" spans="1:12" x14ac:dyDescent="0.25">
      <c r="A56">
        <v>5054</v>
      </c>
      <c r="B56">
        <v>65</v>
      </c>
      <c r="C56" s="5" t="str">
        <f>IFERROR(_xlfn.XLOOKUP(B56, Customers_raw!A:A, Customers_raw!B:B), "Unknown Customer")</f>
        <v>Betty Jones</v>
      </c>
      <c r="D56" s="1">
        <v>45732</v>
      </c>
      <c r="E56" s="1" t="str">
        <f t="shared" si="0"/>
        <v>2025-03</v>
      </c>
      <c r="F56" t="s">
        <v>20</v>
      </c>
      <c r="G56" t="s">
        <v>10</v>
      </c>
      <c r="H56">
        <v>1</v>
      </c>
      <c r="I56" s="2">
        <v>65</v>
      </c>
      <c r="J56" s="2">
        <f t="shared" si="1"/>
        <v>65</v>
      </c>
      <c r="K56" s="2" t="str">
        <f t="shared" si="2"/>
        <v>Sale</v>
      </c>
      <c r="L56" t="s">
        <v>8</v>
      </c>
    </row>
    <row r="57" spans="1:12" x14ac:dyDescent="0.25">
      <c r="A57">
        <v>5055</v>
      </c>
      <c r="B57">
        <v>14</v>
      </c>
      <c r="C57" s="5" t="str">
        <f>IFERROR(_xlfn.XLOOKUP(B57, Customers_raw!A:A, Customers_raw!B:B), "Unknown Customer")</f>
        <v>Christopher Hernandez</v>
      </c>
      <c r="D57" s="1">
        <v>45909</v>
      </c>
      <c r="E57" s="1" t="str">
        <f t="shared" si="0"/>
        <v>2025-09</v>
      </c>
      <c r="F57" t="s">
        <v>14</v>
      </c>
      <c r="G57" t="s">
        <v>7</v>
      </c>
      <c r="H57">
        <v>1</v>
      </c>
      <c r="I57" s="2">
        <v>55</v>
      </c>
      <c r="J57" s="2">
        <f t="shared" si="1"/>
        <v>55</v>
      </c>
      <c r="K57" s="2" t="str">
        <f t="shared" si="2"/>
        <v>Sale</v>
      </c>
      <c r="L57" t="s">
        <v>5</v>
      </c>
    </row>
    <row r="58" spans="1:12" x14ac:dyDescent="0.25">
      <c r="A58">
        <v>5056</v>
      </c>
      <c r="B58">
        <v>7</v>
      </c>
      <c r="C58" s="5" t="str">
        <f>IFERROR(_xlfn.XLOOKUP(B58, Customers_raw!A:A, Customers_raw!B:B), "Unknown Customer")</f>
        <v>Emily Ramirez</v>
      </c>
      <c r="D58" s="1">
        <v>45983</v>
      </c>
      <c r="E58" s="1" t="str">
        <f t="shared" si="0"/>
        <v>2025-11</v>
      </c>
      <c r="F58" t="s">
        <v>21</v>
      </c>
      <c r="G58" t="s">
        <v>17</v>
      </c>
      <c r="H58">
        <v>1</v>
      </c>
      <c r="I58" s="2">
        <v>63</v>
      </c>
      <c r="J58" s="2">
        <f t="shared" si="1"/>
        <v>63</v>
      </c>
      <c r="K58" s="2" t="str">
        <f t="shared" si="2"/>
        <v>Sale</v>
      </c>
      <c r="L58" t="s">
        <v>5</v>
      </c>
    </row>
    <row r="59" spans="1:12" x14ac:dyDescent="0.25">
      <c r="A59">
        <v>5057</v>
      </c>
      <c r="B59">
        <v>101</v>
      </c>
      <c r="C59" s="5" t="str">
        <f>IFERROR(_xlfn.XLOOKUP(B59, Customers_raw!A:A, Customers_raw!B:B), "Unknown Customer")</f>
        <v>David Lee</v>
      </c>
      <c r="D59" s="1">
        <v>45975</v>
      </c>
      <c r="E59" s="1" t="str">
        <f t="shared" si="0"/>
        <v>2025-11</v>
      </c>
      <c r="F59" t="s">
        <v>9</v>
      </c>
      <c r="G59" t="s">
        <v>6</v>
      </c>
      <c r="H59">
        <v>2</v>
      </c>
      <c r="I59" s="2">
        <v>45</v>
      </c>
      <c r="J59" s="2">
        <f t="shared" si="1"/>
        <v>90</v>
      </c>
      <c r="K59" s="2" t="str">
        <f t="shared" si="2"/>
        <v>Sale</v>
      </c>
      <c r="L59" t="s">
        <v>27</v>
      </c>
    </row>
    <row r="60" spans="1:12" x14ac:dyDescent="0.25">
      <c r="A60">
        <v>5058</v>
      </c>
      <c r="B60">
        <v>28</v>
      </c>
      <c r="C60" s="5" t="str">
        <f>IFERROR(_xlfn.XLOOKUP(B60, Customers_raw!A:A, Customers_raw!B:B), "Unknown Customer")</f>
        <v>Michael Lopez</v>
      </c>
      <c r="D60" s="1">
        <v>45862</v>
      </c>
      <c r="E60" s="1" t="str">
        <f t="shared" si="0"/>
        <v>2025-07</v>
      </c>
      <c r="F60" t="s">
        <v>16</v>
      </c>
      <c r="G60" t="s">
        <v>10</v>
      </c>
      <c r="H60">
        <v>1</v>
      </c>
      <c r="I60" s="2">
        <v>28</v>
      </c>
      <c r="J60" s="2">
        <f t="shared" si="1"/>
        <v>28</v>
      </c>
      <c r="K60" s="2" t="str">
        <f t="shared" si="2"/>
        <v>Sale</v>
      </c>
      <c r="L60" t="s">
        <v>27</v>
      </c>
    </row>
    <row r="61" spans="1:12" x14ac:dyDescent="0.25">
      <c r="A61">
        <v>5059</v>
      </c>
      <c r="B61">
        <v>93</v>
      </c>
      <c r="C61" s="5" t="str">
        <f>IFERROR(_xlfn.XLOOKUP(B61, Customers_raw!A:A, Customers_raw!B:B), "Unknown Customer")</f>
        <v>Charles Sanchez</v>
      </c>
      <c r="D61" s="1">
        <v>45679</v>
      </c>
      <c r="E61" s="1" t="str">
        <f t="shared" si="0"/>
        <v>2025-01</v>
      </c>
      <c r="F61" t="s">
        <v>9</v>
      </c>
      <c r="G61" t="s">
        <v>6</v>
      </c>
      <c r="H61">
        <v>3</v>
      </c>
      <c r="I61" s="2">
        <v>45.091836734693878</v>
      </c>
      <c r="J61" s="2">
        <f t="shared" si="1"/>
        <v>135.27551020408163</v>
      </c>
      <c r="K61" s="2" t="str">
        <f t="shared" si="2"/>
        <v>Sale</v>
      </c>
      <c r="L61" t="s">
        <v>27</v>
      </c>
    </row>
    <row r="62" spans="1:12" x14ac:dyDescent="0.25">
      <c r="A62">
        <v>5060</v>
      </c>
      <c r="B62">
        <v>59</v>
      </c>
      <c r="C62" s="5" t="str">
        <f>IFERROR(_xlfn.XLOOKUP(B62, Customers_raw!A:A, Customers_raw!B:B), "Unknown Customer")</f>
        <v>Betty Robinson</v>
      </c>
      <c r="D62" s="1">
        <v>45979</v>
      </c>
      <c r="E62" s="1" t="str">
        <f t="shared" si="0"/>
        <v>2025-11</v>
      </c>
      <c r="F62" t="s">
        <v>15</v>
      </c>
      <c r="G62" t="s">
        <v>7</v>
      </c>
      <c r="H62">
        <v>3</v>
      </c>
      <c r="I62" s="2">
        <v>69.878787878787875</v>
      </c>
      <c r="J62" s="2">
        <f t="shared" si="1"/>
        <v>209.63636363636363</v>
      </c>
      <c r="K62" s="2" t="str">
        <f t="shared" si="2"/>
        <v>Sale</v>
      </c>
      <c r="L62" t="s">
        <v>8</v>
      </c>
    </row>
    <row r="63" spans="1:12" x14ac:dyDescent="0.25">
      <c r="A63">
        <v>5061</v>
      </c>
      <c r="B63">
        <v>50</v>
      </c>
      <c r="C63" s="5" t="str">
        <f>IFERROR(_xlfn.XLOOKUP(B63, Customers_raw!A:A, Customers_raw!B:B), "Unknown Customer")</f>
        <v>Elizabeth Garcia</v>
      </c>
      <c r="D63" s="1">
        <v>45876</v>
      </c>
      <c r="E63" s="1" t="str">
        <f t="shared" si="0"/>
        <v>2025-08</v>
      </c>
      <c r="F63" t="s">
        <v>22</v>
      </c>
      <c r="G63" t="s">
        <v>17</v>
      </c>
      <c r="H63">
        <v>2</v>
      </c>
      <c r="I63" s="2">
        <v>24</v>
      </c>
      <c r="J63" s="2">
        <f t="shared" si="1"/>
        <v>48</v>
      </c>
      <c r="K63" s="2" t="str">
        <f t="shared" si="2"/>
        <v>Sale</v>
      </c>
      <c r="L63" t="s">
        <v>8</v>
      </c>
    </row>
    <row r="64" spans="1:12" x14ac:dyDescent="0.25">
      <c r="A64">
        <v>5062</v>
      </c>
      <c r="B64">
        <v>80</v>
      </c>
      <c r="C64" s="5" t="str">
        <f>IFERROR(_xlfn.XLOOKUP(B64, Customers_raw!A:A, Customers_raw!B:B), "Unknown Customer")</f>
        <v>Susan Lopez</v>
      </c>
      <c r="D64" s="1">
        <v>45896</v>
      </c>
      <c r="E64" s="1" t="str">
        <f t="shared" si="0"/>
        <v>2025-08</v>
      </c>
      <c r="F64" t="s">
        <v>13</v>
      </c>
      <c r="G64" t="s">
        <v>7</v>
      </c>
      <c r="H64">
        <v>2</v>
      </c>
      <c r="I64" s="2">
        <v>35</v>
      </c>
      <c r="J64" s="2">
        <f t="shared" si="1"/>
        <v>70</v>
      </c>
      <c r="K64" s="2" t="str">
        <f t="shared" si="2"/>
        <v>Sale</v>
      </c>
      <c r="L64" t="s">
        <v>8</v>
      </c>
    </row>
    <row r="65" spans="1:12" x14ac:dyDescent="0.25">
      <c r="A65">
        <v>5063</v>
      </c>
      <c r="B65">
        <v>52</v>
      </c>
      <c r="C65" s="5" t="str">
        <f>IFERROR(_xlfn.XLOOKUP(B65, Customers_raw!A:A, Customers_raw!B:B), "Unknown Customer")</f>
        <v>Sarah Johnson</v>
      </c>
      <c r="D65" s="1">
        <v>45692</v>
      </c>
      <c r="E65" s="1" t="str">
        <f t="shared" si="0"/>
        <v>2025-02</v>
      </c>
      <c r="F65" t="s">
        <v>12</v>
      </c>
      <c r="G65" t="s">
        <v>10</v>
      </c>
      <c r="H65">
        <v>1</v>
      </c>
      <c r="I65" s="2">
        <v>22</v>
      </c>
      <c r="J65" s="2">
        <f t="shared" si="1"/>
        <v>22</v>
      </c>
      <c r="K65" s="2" t="str">
        <f t="shared" si="2"/>
        <v>Sale</v>
      </c>
      <c r="L65" t="s">
        <v>23</v>
      </c>
    </row>
    <row r="66" spans="1:12" x14ac:dyDescent="0.25">
      <c r="A66">
        <v>5064</v>
      </c>
      <c r="B66">
        <v>65</v>
      </c>
      <c r="C66" s="5" t="str">
        <f>IFERROR(_xlfn.XLOOKUP(B66, Customers_raw!A:A, Customers_raw!B:B), "Unknown Customer")</f>
        <v>Betty Jones</v>
      </c>
      <c r="D66" s="1">
        <v>45994</v>
      </c>
      <c r="E66" s="1" t="str">
        <f t="shared" si="0"/>
        <v>2025-12</v>
      </c>
      <c r="F66" t="s">
        <v>15</v>
      </c>
      <c r="G66" t="s">
        <v>7</v>
      </c>
      <c r="H66">
        <v>1</v>
      </c>
      <c r="I66" s="2">
        <v>70</v>
      </c>
      <c r="J66" s="2">
        <f t="shared" si="1"/>
        <v>70</v>
      </c>
      <c r="K66" s="2" t="str">
        <f t="shared" si="2"/>
        <v>Sale</v>
      </c>
      <c r="L66" t="s">
        <v>5</v>
      </c>
    </row>
    <row r="67" spans="1:12" x14ac:dyDescent="0.25">
      <c r="A67">
        <v>5065</v>
      </c>
      <c r="B67">
        <v>66</v>
      </c>
      <c r="C67" s="5" t="str">
        <f>IFERROR(_xlfn.XLOOKUP(B67, Customers_raw!A:A, Customers_raw!B:B), "Unknown Customer")</f>
        <v>Barbara Anderson</v>
      </c>
      <c r="D67" s="1">
        <v>45685</v>
      </c>
      <c r="E67" s="1" t="str">
        <f t="shared" ref="E67:E130" si="3">TEXT(D:D,"YYYY-MM")</f>
        <v>2025-01</v>
      </c>
      <c r="F67" t="s">
        <v>12</v>
      </c>
      <c r="G67" t="s">
        <v>10</v>
      </c>
      <c r="H67">
        <v>3</v>
      </c>
      <c r="I67" s="2">
        <v>22</v>
      </c>
      <c r="J67" s="2">
        <f t="shared" ref="J67:J130" si="4">H67*I67</f>
        <v>66</v>
      </c>
      <c r="K67" s="2" t="str">
        <f t="shared" ref="K67:K130" si="5">IF(H67&lt;0,"Return","Sale")</f>
        <v>Sale</v>
      </c>
      <c r="L67" t="s">
        <v>23</v>
      </c>
    </row>
    <row r="68" spans="1:12" x14ac:dyDescent="0.25">
      <c r="A68">
        <v>5066</v>
      </c>
      <c r="B68">
        <v>94</v>
      </c>
      <c r="C68" s="5" t="str">
        <f>IFERROR(_xlfn.XLOOKUP(B68, Customers_raw!A:A, Customers_raw!B:B), "Unknown Customer")</f>
        <v>Kenneth Jones</v>
      </c>
      <c r="D68" s="1">
        <v>45714</v>
      </c>
      <c r="E68" s="1" t="str">
        <f t="shared" si="3"/>
        <v>2025-02</v>
      </c>
      <c r="F68" t="s">
        <v>19</v>
      </c>
      <c r="G68" t="s">
        <v>17</v>
      </c>
      <c r="H68">
        <v>1</v>
      </c>
      <c r="I68" s="2">
        <v>19</v>
      </c>
      <c r="J68" s="2">
        <f t="shared" si="4"/>
        <v>19</v>
      </c>
      <c r="K68" s="2" t="str">
        <f t="shared" si="5"/>
        <v>Sale</v>
      </c>
      <c r="L68" t="s">
        <v>5</v>
      </c>
    </row>
    <row r="69" spans="1:12" x14ac:dyDescent="0.25">
      <c r="A69">
        <v>5067</v>
      </c>
      <c r="B69">
        <v>101</v>
      </c>
      <c r="C69" s="5" t="str">
        <f>IFERROR(_xlfn.XLOOKUP(B69, Customers_raw!A:A, Customers_raw!B:B), "Unknown Customer")</f>
        <v>David Lee</v>
      </c>
      <c r="D69" s="1">
        <v>45771</v>
      </c>
      <c r="E69" s="1" t="str">
        <f t="shared" si="3"/>
        <v>2025-04</v>
      </c>
      <c r="F69" t="s">
        <v>19</v>
      </c>
      <c r="G69" t="s">
        <v>17</v>
      </c>
      <c r="H69">
        <v>1</v>
      </c>
      <c r="I69" s="2">
        <v>22</v>
      </c>
      <c r="J69" s="2">
        <f t="shared" si="4"/>
        <v>22</v>
      </c>
      <c r="K69" s="2" t="str">
        <f t="shared" si="5"/>
        <v>Sale</v>
      </c>
      <c r="L69" t="s">
        <v>5</v>
      </c>
    </row>
    <row r="70" spans="1:12" x14ac:dyDescent="0.25">
      <c r="A70">
        <v>5068</v>
      </c>
      <c r="B70">
        <v>79</v>
      </c>
      <c r="C70" s="5" t="str">
        <f>IFERROR(_xlfn.XLOOKUP(B70, Customers_raw!A:A, Customers_raw!B:B), "Unknown Customer")</f>
        <v>Nancy Jackson</v>
      </c>
      <c r="D70" s="1">
        <v>45891</v>
      </c>
      <c r="E70" s="1" t="str">
        <f t="shared" si="3"/>
        <v>2025-08</v>
      </c>
      <c r="F70" t="s">
        <v>18</v>
      </c>
      <c r="G70" t="s">
        <v>6</v>
      </c>
      <c r="H70">
        <v>1</v>
      </c>
      <c r="I70" s="2">
        <v>92</v>
      </c>
      <c r="J70" s="2">
        <f t="shared" si="4"/>
        <v>92</v>
      </c>
      <c r="K70" s="2" t="str">
        <f t="shared" si="5"/>
        <v>Sale</v>
      </c>
      <c r="L70" t="s">
        <v>27</v>
      </c>
    </row>
    <row r="71" spans="1:12" x14ac:dyDescent="0.25">
      <c r="A71">
        <v>5069</v>
      </c>
      <c r="B71">
        <v>34</v>
      </c>
      <c r="C71" s="5" t="str">
        <f>IFERROR(_xlfn.XLOOKUP(B71, Customers_raw!A:A, Customers_raw!B:B), "Unknown Customer")</f>
        <v>Joseph Jackson</v>
      </c>
      <c r="D71" s="1">
        <v>45917</v>
      </c>
      <c r="E71" s="1" t="str">
        <f t="shared" si="3"/>
        <v>2025-09</v>
      </c>
      <c r="F71" t="s">
        <v>21</v>
      </c>
      <c r="G71" t="s">
        <v>17</v>
      </c>
      <c r="H71">
        <v>1</v>
      </c>
      <c r="I71" s="2">
        <v>60</v>
      </c>
      <c r="J71" s="2">
        <f t="shared" si="4"/>
        <v>60</v>
      </c>
      <c r="K71" s="2" t="str">
        <f t="shared" si="5"/>
        <v>Sale</v>
      </c>
      <c r="L71" t="s">
        <v>27</v>
      </c>
    </row>
    <row r="72" spans="1:12" x14ac:dyDescent="0.25">
      <c r="A72">
        <v>5070</v>
      </c>
      <c r="B72">
        <v>52</v>
      </c>
      <c r="C72" s="5" t="str">
        <f>IFERROR(_xlfn.XLOOKUP(B72, Customers_raw!A:A, Customers_raw!B:B), "Unknown Customer")</f>
        <v>Sarah Johnson</v>
      </c>
      <c r="D72" s="1">
        <v>45983</v>
      </c>
      <c r="E72" s="1" t="str">
        <f t="shared" si="3"/>
        <v>2025-11</v>
      </c>
      <c r="F72" t="s">
        <v>20</v>
      </c>
      <c r="G72" t="s">
        <v>10</v>
      </c>
      <c r="H72">
        <v>3</v>
      </c>
      <c r="I72" s="2">
        <v>65</v>
      </c>
      <c r="J72" s="2">
        <f t="shared" si="4"/>
        <v>195</v>
      </c>
      <c r="K72" s="2" t="str">
        <f t="shared" si="5"/>
        <v>Sale</v>
      </c>
      <c r="L72" t="s">
        <v>5</v>
      </c>
    </row>
    <row r="73" spans="1:12" x14ac:dyDescent="0.25">
      <c r="A73">
        <v>5071</v>
      </c>
      <c r="B73">
        <v>15</v>
      </c>
      <c r="C73" s="5" t="str">
        <f>IFERROR(_xlfn.XLOOKUP(B73, Customers_raw!A:A, Customers_raw!B:B), "Unknown Customer")</f>
        <v>Jennifer Rodriguez</v>
      </c>
      <c r="D73" s="1">
        <v>45682</v>
      </c>
      <c r="E73" s="1" t="str">
        <f t="shared" si="3"/>
        <v>2025-01</v>
      </c>
      <c r="F73" t="s">
        <v>15</v>
      </c>
      <c r="G73" t="s">
        <v>7</v>
      </c>
      <c r="H73">
        <v>2</v>
      </c>
      <c r="I73" s="2">
        <v>73</v>
      </c>
      <c r="J73" s="2">
        <f t="shared" si="4"/>
        <v>146</v>
      </c>
      <c r="K73" s="2" t="str">
        <f t="shared" si="5"/>
        <v>Sale</v>
      </c>
      <c r="L73" t="s">
        <v>5</v>
      </c>
    </row>
    <row r="74" spans="1:12" x14ac:dyDescent="0.25">
      <c r="A74">
        <v>5072</v>
      </c>
      <c r="B74">
        <v>69</v>
      </c>
      <c r="C74" s="5" t="str">
        <f>IFERROR(_xlfn.XLOOKUP(B74, Customers_raw!A:A, Customers_raw!B:B), "Unknown Customer")</f>
        <v>Jessica Brown</v>
      </c>
      <c r="D74" s="1">
        <v>45859</v>
      </c>
      <c r="E74" s="1" t="str">
        <f t="shared" si="3"/>
        <v>2025-07</v>
      </c>
      <c r="F74" t="s">
        <v>22</v>
      </c>
      <c r="G74" t="s">
        <v>17</v>
      </c>
      <c r="H74">
        <v>1</v>
      </c>
      <c r="I74" s="2">
        <v>24</v>
      </c>
      <c r="J74" s="2">
        <f t="shared" si="4"/>
        <v>24</v>
      </c>
      <c r="K74" s="2" t="str">
        <f t="shared" si="5"/>
        <v>Sale</v>
      </c>
      <c r="L74" t="s">
        <v>5</v>
      </c>
    </row>
    <row r="75" spans="1:12" x14ac:dyDescent="0.25">
      <c r="A75">
        <v>5073</v>
      </c>
      <c r="B75">
        <v>43</v>
      </c>
      <c r="C75" s="5" t="str">
        <f>IFERROR(_xlfn.XLOOKUP(B75, Customers_raw!A:A, Customers_raw!B:B), "Unknown Customer")</f>
        <v>Sandra Clark</v>
      </c>
      <c r="D75" s="1">
        <v>45884</v>
      </c>
      <c r="E75" s="1" t="str">
        <f t="shared" si="3"/>
        <v>2025-08</v>
      </c>
      <c r="F75" t="s">
        <v>12</v>
      </c>
      <c r="G75" t="s">
        <v>10</v>
      </c>
      <c r="H75">
        <v>1</v>
      </c>
      <c r="I75" s="2">
        <v>25</v>
      </c>
      <c r="J75" s="2">
        <f t="shared" si="4"/>
        <v>25</v>
      </c>
      <c r="K75" s="2" t="str">
        <f t="shared" si="5"/>
        <v>Sale</v>
      </c>
      <c r="L75" t="s">
        <v>5</v>
      </c>
    </row>
    <row r="76" spans="1:12" x14ac:dyDescent="0.25">
      <c r="A76">
        <v>5074</v>
      </c>
      <c r="B76">
        <v>105</v>
      </c>
      <c r="C76" s="5" t="str">
        <f>IFERROR(_xlfn.XLOOKUP(B76, Customers_raw!A:A, Customers_raw!B:B), "Unknown Customer")</f>
        <v>Betty Brown</v>
      </c>
      <c r="D76" s="1">
        <v>45935</v>
      </c>
      <c r="E76" s="1" t="str">
        <f t="shared" si="3"/>
        <v>2025-10</v>
      </c>
      <c r="F76" t="s">
        <v>15</v>
      </c>
      <c r="G76" t="s">
        <v>7</v>
      </c>
      <c r="H76">
        <v>3</v>
      </c>
      <c r="I76" s="2">
        <v>73</v>
      </c>
      <c r="J76" s="2">
        <f t="shared" si="4"/>
        <v>219</v>
      </c>
      <c r="K76" s="2" t="str">
        <f t="shared" si="5"/>
        <v>Sale</v>
      </c>
      <c r="L76" t="s">
        <v>5</v>
      </c>
    </row>
    <row r="77" spans="1:12" x14ac:dyDescent="0.25">
      <c r="A77">
        <v>5075</v>
      </c>
      <c r="B77">
        <v>1</v>
      </c>
      <c r="C77" s="5" t="str">
        <f>IFERROR(_xlfn.XLOOKUP(B77, Customers_raw!A:A, Customers_raw!B:B), "Unknown Customer")</f>
        <v>Christopher Jones</v>
      </c>
      <c r="D77" s="1">
        <v>45675</v>
      </c>
      <c r="E77" s="1" t="str">
        <f t="shared" si="3"/>
        <v>2025-01</v>
      </c>
      <c r="F77" t="s">
        <v>19</v>
      </c>
      <c r="G77" t="s">
        <v>17</v>
      </c>
      <c r="H77">
        <v>1</v>
      </c>
      <c r="I77" s="2">
        <v>19</v>
      </c>
      <c r="J77" s="2">
        <f t="shared" si="4"/>
        <v>19</v>
      </c>
      <c r="K77" s="2" t="str">
        <f t="shared" si="5"/>
        <v>Sale</v>
      </c>
      <c r="L77" t="s">
        <v>8</v>
      </c>
    </row>
    <row r="78" spans="1:12" x14ac:dyDescent="0.25">
      <c r="A78">
        <v>5076</v>
      </c>
      <c r="B78">
        <v>66</v>
      </c>
      <c r="C78" s="5" t="str">
        <f>IFERROR(_xlfn.XLOOKUP(B78, Customers_raw!A:A, Customers_raw!B:B), "Unknown Customer")</f>
        <v>Barbara Anderson</v>
      </c>
      <c r="D78" s="1">
        <v>45682</v>
      </c>
      <c r="E78" s="1" t="str">
        <f t="shared" si="3"/>
        <v>2025-01</v>
      </c>
      <c r="F78" t="s">
        <v>11</v>
      </c>
      <c r="G78" t="s">
        <v>6</v>
      </c>
      <c r="H78">
        <v>2</v>
      </c>
      <c r="I78" s="2">
        <v>18</v>
      </c>
      <c r="J78" s="2">
        <f t="shared" si="4"/>
        <v>36</v>
      </c>
      <c r="K78" s="2" t="str">
        <f t="shared" si="5"/>
        <v>Sale</v>
      </c>
      <c r="L78" t="s">
        <v>8</v>
      </c>
    </row>
    <row r="79" spans="1:12" x14ac:dyDescent="0.25">
      <c r="A79">
        <v>5077</v>
      </c>
      <c r="B79">
        <v>7</v>
      </c>
      <c r="C79" s="5" t="str">
        <f>IFERROR(_xlfn.XLOOKUP(B79, Customers_raw!A:A, Customers_raw!B:B), "Unknown Customer")</f>
        <v>Emily Ramirez</v>
      </c>
      <c r="D79" s="1">
        <v>45948</v>
      </c>
      <c r="E79" s="1" t="str">
        <f t="shared" si="3"/>
        <v>2025-10</v>
      </c>
      <c r="F79" t="s">
        <v>16</v>
      </c>
      <c r="G79" t="s">
        <v>10</v>
      </c>
      <c r="H79">
        <v>1</v>
      </c>
      <c r="I79" s="2">
        <v>25</v>
      </c>
      <c r="J79" s="2">
        <f t="shared" si="4"/>
        <v>25</v>
      </c>
      <c r="K79" s="2" t="str">
        <f t="shared" si="5"/>
        <v>Sale</v>
      </c>
      <c r="L79" t="s">
        <v>27</v>
      </c>
    </row>
    <row r="80" spans="1:12" x14ac:dyDescent="0.25">
      <c r="A80">
        <v>5078</v>
      </c>
      <c r="B80">
        <v>29</v>
      </c>
      <c r="C80" s="5" t="str">
        <f>IFERROR(_xlfn.XLOOKUP(B80, Customers_raw!A:A, Customers_raw!B:B), "Unknown Customer")</f>
        <v>Thomas Lopez</v>
      </c>
      <c r="D80" s="1">
        <v>45956</v>
      </c>
      <c r="E80" s="1" t="str">
        <f t="shared" si="3"/>
        <v>2025-10</v>
      </c>
      <c r="F80" t="s">
        <v>14</v>
      </c>
      <c r="G80" t="s">
        <v>7</v>
      </c>
      <c r="H80">
        <v>2</v>
      </c>
      <c r="I80" s="2">
        <v>55</v>
      </c>
      <c r="J80" s="2">
        <f t="shared" si="4"/>
        <v>110</v>
      </c>
      <c r="K80" s="2" t="str">
        <f t="shared" si="5"/>
        <v>Sale</v>
      </c>
      <c r="L80" t="s">
        <v>27</v>
      </c>
    </row>
    <row r="81" spans="1:12" x14ac:dyDescent="0.25">
      <c r="A81">
        <v>5079</v>
      </c>
      <c r="B81">
        <v>107</v>
      </c>
      <c r="C81" s="5" t="str">
        <f>IFERROR(_xlfn.XLOOKUP(B81, Customers_raw!A:A, Customers_raw!B:B), "Unknown Customer")</f>
        <v>Lisa Walker</v>
      </c>
      <c r="D81" s="1">
        <v>45739</v>
      </c>
      <c r="E81" s="1" t="str">
        <f t="shared" si="3"/>
        <v>2025-03</v>
      </c>
      <c r="F81" t="s">
        <v>13</v>
      </c>
      <c r="G81" t="s">
        <v>7</v>
      </c>
      <c r="H81">
        <v>1</v>
      </c>
      <c r="I81" s="2">
        <v>32</v>
      </c>
      <c r="J81" s="2">
        <f t="shared" si="4"/>
        <v>32</v>
      </c>
      <c r="K81" s="2" t="str">
        <f t="shared" si="5"/>
        <v>Sale</v>
      </c>
      <c r="L81" t="s">
        <v>8</v>
      </c>
    </row>
    <row r="82" spans="1:12" x14ac:dyDescent="0.25">
      <c r="A82">
        <v>5080</v>
      </c>
      <c r="B82">
        <v>13</v>
      </c>
      <c r="C82" s="5" t="str">
        <f>IFERROR(_xlfn.XLOOKUP(B82, Customers_raw!A:A, Customers_raw!B:B), "Unknown Customer")</f>
        <v>Anthony Johnson</v>
      </c>
      <c r="D82" s="1">
        <v>45984</v>
      </c>
      <c r="E82" s="1" t="str">
        <f t="shared" si="3"/>
        <v>2025-11</v>
      </c>
      <c r="F82" t="s">
        <v>12</v>
      </c>
      <c r="G82" t="s">
        <v>10</v>
      </c>
      <c r="H82">
        <v>3</v>
      </c>
      <c r="I82" s="2">
        <v>22</v>
      </c>
      <c r="J82" s="2">
        <f t="shared" si="4"/>
        <v>66</v>
      </c>
      <c r="K82" s="2" t="str">
        <f t="shared" si="5"/>
        <v>Sale</v>
      </c>
      <c r="L82" t="s">
        <v>8</v>
      </c>
    </row>
    <row r="83" spans="1:12" x14ac:dyDescent="0.25">
      <c r="A83">
        <v>5081</v>
      </c>
      <c r="B83">
        <v>8</v>
      </c>
      <c r="C83" s="5" t="str">
        <f>IFERROR(_xlfn.XLOOKUP(B83, Customers_raw!A:A, Customers_raw!B:B), "Unknown Customer")</f>
        <v>Lisa Brown</v>
      </c>
      <c r="D83" s="1">
        <v>45945</v>
      </c>
      <c r="E83" s="1" t="str">
        <f t="shared" si="3"/>
        <v>2025-10</v>
      </c>
      <c r="F83" t="s">
        <v>22</v>
      </c>
      <c r="G83" t="s">
        <v>17</v>
      </c>
      <c r="H83">
        <v>2</v>
      </c>
      <c r="I83" s="2">
        <v>27</v>
      </c>
      <c r="J83" s="2">
        <f t="shared" si="4"/>
        <v>54</v>
      </c>
      <c r="K83" s="2" t="str">
        <f t="shared" si="5"/>
        <v>Sale</v>
      </c>
      <c r="L83" t="s">
        <v>27</v>
      </c>
    </row>
    <row r="84" spans="1:12" x14ac:dyDescent="0.25">
      <c r="A84">
        <v>5082</v>
      </c>
      <c r="B84">
        <v>22</v>
      </c>
      <c r="C84" s="5" t="str">
        <f>IFERROR(_xlfn.XLOOKUP(B84, Customers_raw!A:A, Customers_raw!B:B), "Unknown Customer")</f>
        <v>Joseph Thompson</v>
      </c>
      <c r="D84" s="1">
        <v>45680</v>
      </c>
      <c r="E84" s="1" t="str">
        <f t="shared" si="3"/>
        <v>2025-01</v>
      </c>
      <c r="F84" t="s">
        <v>16</v>
      </c>
      <c r="G84" t="s">
        <v>10</v>
      </c>
      <c r="H84">
        <v>2</v>
      </c>
      <c r="I84" s="2">
        <v>25</v>
      </c>
      <c r="J84" s="2">
        <f t="shared" si="4"/>
        <v>50</v>
      </c>
      <c r="K84" s="2" t="str">
        <f t="shared" si="5"/>
        <v>Sale</v>
      </c>
      <c r="L84" t="s">
        <v>23</v>
      </c>
    </row>
    <row r="85" spans="1:12" x14ac:dyDescent="0.25">
      <c r="A85">
        <v>5083</v>
      </c>
      <c r="B85">
        <v>21</v>
      </c>
      <c r="C85" s="5" t="str">
        <f>IFERROR(_xlfn.XLOOKUP(B85, Customers_raw!A:A, Customers_raw!B:B), "Unknown Customer")</f>
        <v>Daniel Thompson</v>
      </c>
      <c r="D85" s="1">
        <v>45711</v>
      </c>
      <c r="E85" s="1" t="str">
        <f t="shared" si="3"/>
        <v>2025-02</v>
      </c>
      <c r="F85" t="s">
        <v>16</v>
      </c>
      <c r="G85" t="s">
        <v>10</v>
      </c>
      <c r="H85">
        <v>2</v>
      </c>
      <c r="I85" s="2">
        <v>31</v>
      </c>
      <c r="J85" s="2">
        <f t="shared" si="4"/>
        <v>62</v>
      </c>
      <c r="K85" s="2" t="str">
        <f t="shared" si="5"/>
        <v>Sale</v>
      </c>
      <c r="L85" t="s">
        <v>27</v>
      </c>
    </row>
    <row r="86" spans="1:12" x14ac:dyDescent="0.25">
      <c r="A86">
        <v>5084</v>
      </c>
      <c r="B86">
        <v>53</v>
      </c>
      <c r="C86" s="5" t="str">
        <f>IFERROR(_xlfn.XLOOKUP(B86, Customers_raw!A:A, Customers_raw!B:B), "Unknown Customer")</f>
        <v>John Thomas</v>
      </c>
      <c r="D86" s="1">
        <v>45923</v>
      </c>
      <c r="E86" s="1" t="str">
        <f t="shared" si="3"/>
        <v>2025-09</v>
      </c>
      <c r="F86" t="s">
        <v>9</v>
      </c>
      <c r="G86" t="s">
        <v>6</v>
      </c>
      <c r="H86">
        <v>2</v>
      </c>
      <c r="I86" s="2">
        <v>45</v>
      </c>
      <c r="J86" s="2">
        <f t="shared" si="4"/>
        <v>90</v>
      </c>
      <c r="K86" s="2" t="str">
        <f t="shared" si="5"/>
        <v>Sale</v>
      </c>
      <c r="L86" t="s">
        <v>8</v>
      </c>
    </row>
    <row r="87" spans="1:12" x14ac:dyDescent="0.25">
      <c r="A87">
        <v>5085</v>
      </c>
      <c r="B87">
        <v>39</v>
      </c>
      <c r="C87" s="5" t="str">
        <f>IFERROR(_xlfn.XLOOKUP(B87, Customers_raw!A:A, Customers_raw!B:B), "Unknown Customer")</f>
        <v>Donald Lee</v>
      </c>
      <c r="D87" s="1">
        <v>45682</v>
      </c>
      <c r="E87" s="1" t="str">
        <f t="shared" si="3"/>
        <v>2025-01</v>
      </c>
      <c r="F87" t="s">
        <v>22</v>
      </c>
      <c r="G87" t="s">
        <v>17</v>
      </c>
      <c r="H87">
        <v>3</v>
      </c>
      <c r="I87" s="2">
        <v>27</v>
      </c>
      <c r="J87" s="2">
        <f t="shared" si="4"/>
        <v>81</v>
      </c>
      <c r="K87" s="2" t="str">
        <f t="shared" si="5"/>
        <v>Sale</v>
      </c>
      <c r="L87" t="s">
        <v>8</v>
      </c>
    </row>
    <row r="88" spans="1:12" x14ac:dyDescent="0.25">
      <c r="A88">
        <v>5086</v>
      </c>
      <c r="B88">
        <v>96</v>
      </c>
      <c r="C88" s="5" t="str">
        <f>IFERROR(_xlfn.XLOOKUP(B88, Customers_raw!A:A, Customers_raw!B:B), "Unknown Customer")</f>
        <v>Michael White</v>
      </c>
      <c r="D88" s="1">
        <v>45963</v>
      </c>
      <c r="E88" s="1" t="str">
        <f t="shared" si="3"/>
        <v>2025-11</v>
      </c>
      <c r="F88" t="s">
        <v>13</v>
      </c>
      <c r="G88" t="s">
        <v>7</v>
      </c>
      <c r="H88">
        <v>1</v>
      </c>
      <c r="I88" s="2">
        <v>32</v>
      </c>
      <c r="J88" s="2">
        <f t="shared" si="4"/>
        <v>32</v>
      </c>
      <c r="K88" s="2" t="str">
        <f t="shared" si="5"/>
        <v>Sale</v>
      </c>
      <c r="L88" t="s">
        <v>27</v>
      </c>
    </row>
    <row r="89" spans="1:12" x14ac:dyDescent="0.25">
      <c r="A89">
        <v>5087</v>
      </c>
      <c r="B89">
        <v>83</v>
      </c>
      <c r="C89" s="5" t="str">
        <f>IFERROR(_xlfn.XLOOKUP(B89, Customers_raw!A:A, Customers_raw!B:B), "Unknown Customer")</f>
        <v>Mary Martinez</v>
      </c>
      <c r="D89" s="1">
        <v>45780</v>
      </c>
      <c r="E89" s="1" t="str">
        <f t="shared" si="3"/>
        <v>2025-05</v>
      </c>
      <c r="F89" t="s">
        <v>16</v>
      </c>
      <c r="G89" t="s">
        <v>10</v>
      </c>
      <c r="H89">
        <v>3</v>
      </c>
      <c r="I89" s="2">
        <v>28</v>
      </c>
      <c r="J89" s="2">
        <f t="shared" si="4"/>
        <v>84</v>
      </c>
      <c r="K89" s="2" t="str">
        <f t="shared" si="5"/>
        <v>Sale</v>
      </c>
      <c r="L89" t="s">
        <v>5</v>
      </c>
    </row>
    <row r="90" spans="1:12" x14ac:dyDescent="0.25">
      <c r="A90">
        <v>5088</v>
      </c>
      <c r="B90">
        <v>82</v>
      </c>
      <c r="C90" s="5" t="str">
        <f>IFERROR(_xlfn.XLOOKUP(B90, Customers_raw!A:A, Customers_raw!B:B), "Unknown Customer")</f>
        <v>Thomas Ramirez</v>
      </c>
      <c r="D90" s="1">
        <v>46005</v>
      </c>
      <c r="E90" s="1" t="str">
        <f t="shared" si="3"/>
        <v>2025-12</v>
      </c>
      <c r="F90" t="s">
        <v>15</v>
      </c>
      <c r="G90" t="s">
        <v>7</v>
      </c>
      <c r="H90">
        <v>3</v>
      </c>
      <c r="I90" s="2">
        <v>69.878787878787875</v>
      </c>
      <c r="J90" s="2">
        <f t="shared" si="4"/>
        <v>209.63636363636363</v>
      </c>
      <c r="K90" s="2" t="str">
        <f t="shared" si="5"/>
        <v>Sale</v>
      </c>
      <c r="L90" t="s">
        <v>5</v>
      </c>
    </row>
    <row r="91" spans="1:12" x14ac:dyDescent="0.25">
      <c r="A91">
        <v>5089</v>
      </c>
      <c r="B91">
        <v>28</v>
      </c>
      <c r="C91" s="5" t="str">
        <f>IFERROR(_xlfn.XLOOKUP(B91, Customers_raw!A:A, Customers_raw!B:B), "Unknown Customer")</f>
        <v>Michael Lopez</v>
      </c>
      <c r="D91" s="1">
        <v>45917</v>
      </c>
      <c r="E91" s="1" t="str">
        <f t="shared" si="3"/>
        <v>2025-09</v>
      </c>
      <c r="F91" t="s">
        <v>12</v>
      </c>
      <c r="G91" t="s">
        <v>10</v>
      </c>
      <c r="H91">
        <v>1</v>
      </c>
      <c r="I91" s="2">
        <v>22</v>
      </c>
      <c r="J91" s="2">
        <f t="shared" si="4"/>
        <v>22</v>
      </c>
      <c r="K91" s="2" t="str">
        <f t="shared" si="5"/>
        <v>Sale</v>
      </c>
      <c r="L91" t="s">
        <v>27</v>
      </c>
    </row>
    <row r="92" spans="1:12" x14ac:dyDescent="0.25">
      <c r="A92">
        <v>5090</v>
      </c>
      <c r="B92">
        <v>96</v>
      </c>
      <c r="C92" s="5" t="str">
        <f>IFERROR(_xlfn.XLOOKUP(B92, Customers_raw!A:A, Customers_raw!B:B), "Unknown Customer")</f>
        <v>Michael White</v>
      </c>
      <c r="D92" s="1">
        <v>45904</v>
      </c>
      <c r="E92" s="1" t="str">
        <f t="shared" si="3"/>
        <v>2025-09</v>
      </c>
      <c r="F92" t="s">
        <v>11</v>
      </c>
      <c r="G92" t="s">
        <v>6</v>
      </c>
      <c r="H92">
        <v>1</v>
      </c>
      <c r="I92" s="2">
        <v>21</v>
      </c>
      <c r="J92" s="2">
        <f t="shared" si="4"/>
        <v>21</v>
      </c>
      <c r="K92" s="2" t="str">
        <f t="shared" si="5"/>
        <v>Sale</v>
      </c>
      <c r="L92" t="s">
        <v>5</v>
      </c>
    </row>
    <row r="93" spans="1:12" x14ac:dyDescent="0.25">
      <c r="A93">
        <v>5091</v>
      </c>
      <c r="B93">
        <v>89</v>
      </c>
      <c r="C93" s="5" t="str">
        <f>IFERROR(_xlfn.XLOOKUP(B93, Customers_raw!A:A, Customers_raw!B:B), "Unknown Customer")</f>
        <v>Andrew Thompson</v>
      </c>
      <c r="D93" s="1">
        <v>45698</v>
      </c>
      <c r="E93" s="1" t="str">
        <f t="shared" si="3"/>
        <v>2025-02</v>
      </c>
      <c r="F93" t="s">
        <v>22</v>
      </c>
      <c r="G93" t="s">
        <v>17</v>
      </c>
      <c r="H93">
        <v>2</v>
      </c>
      <c r="I93" s="2">
        <v>27</v>
      </c>
      <c r="J93" s="2">
        <f t="shared" si="4"/>
        <v>54</v>
      </c>
      <c r="K93" s="2" t="str">
        <f t="shared" si="5"/>
        <v>Sale</v>
      </c>
      <c r="L93" t="s">
        <v>8</v>
      </c>
    </row>
    <row r="94" spans="1:12" x14ac:dyDescent="0.25">
      <c r="A94">
        <v>5092</v>
      </c>
      <c r="B94">
        <v>56</v>
      </c>
      <c r="C94" s="5" t="str">
        <f>IFERROR(_xlfn.XLOOKUP(B94, Customers_raw!A:A, Customers_raw!B:B), "Unknown Customer")</f>
        <v>Mark Hernandez</v>
      </c>
      <c r="D94" s="1">
        <v>45777</v>
      </c>
      <c r="E94" s="1" t="str">
        <f t="shared" si="3"/>
        <v>2025-04</v>
      </c>
      <c r="F94" t="s">
        <v>19</v>
      </c>
      <c r="G94" t="s">
        <v>17</v>
      </c>
      <c r="H94">
        <v>1</v>
      </c>
      <c r="I94" s="2">
        <v>19</v>
      </c>
      <c r="J94" s="2">
        <f t="shared" si="4"/>
        <v>19</v>
      </c>
      <c r="K94" s="2" t="str">
        <f t="shared" si="5"/>
        <v>Sale</v>
      </c>
      <c r="L94" t="s">
        <v>27</v>
      </c>
    </row>
    <row r="95" spans="1:12" x14ac:dyDescent="0.25">
      <c r="A95">
        <v>5093</v>
      </c>
      <c r="B95">
        <v>22</v>
      </c>
      <c r="C95" s="5" t="str">
        <f>IFERROR(_xlfn.XLOOKUP(B95, Customers_raw!A:A, Customers_raw!B:B), "Unknown Customer")</f>
        <v>Joseph Thompson</v>
      </c>
      <c r="D95" s="1">
        <v>45674</v>
      </c>
      <c r="E95" s="1" t="str">
        <f t="shared" si="3"/>
        <v>2025-01</v>
      </c>
      <c r="F95" t="s">
        <v>20</v>
      </c>
      <c r="G95" t="s">
        <v>10</v>
      </c>
      <c r="H95">
        <v>1</v>
      </c>
      <c r="I95" s="2">
        <v>62</v>
      </c>
      <c r="J95" s="2">
        <f t="shared" si="4"/>
        <v>62</v>
      </c>
      <c r="K95" s="2" t="str">
        <f t="shared" si="5"/>
        <v>Sale</v>
      </c>
      <c r="L95" t="s">
        <v>5</v>
      </c>
    </row>
    <row r="96" spans="1:12" x14ac:dyDescent="0.25">
      <c r="A96">
        <v>5094</v>
      </c>
      <c r="B96">
        <v>19</v>
      </c>
      <c r="C96" s="5" t="str">
        <f>IFERROR(_xlfn.XLOOKUP(B96, Customers_raw!A:A, Customers_raw!B:B), "Unknown Customer")</f>
        <v>Ashley Williams</v>
      </c>
      <c r="D96" s="1">
        <v>45672</v>
      </c>
      <c r="E96" s="1" t="str">
        <f t="shared" si="3"/>
        <v>2025-01</v>
      </c>
      <c r="F96" t="s">
        <v>19</v>
      </c>
      <c r="G96" t="s">
        <v>17</v>
      </c>
      <c r="H96">
        <v>1</v>
      </c>
      <c r="I96" s="2">
        <v>19</v>
      </c>
      <c r="J96" s="2">
        <f t="shared" si="4"/>
        <v>19</v>
      </c>
      <c r="K96" s="2" t="str">
        <f t="shared" si="5"/>
        <v>Sale</v>
      </c>
      <c r="L96" t="s">
        <v>5</v>
      </c>
    </row>
    <row r="97" spans="1:12" x14ac:dyDescent="0.25">
      <c r="A97">
        <v>5095</v>
      </c>
      <c r="B97">
        <v>9</v>
      </c>
      <c r="C97" s="5" t="str">
        <f>IFERROR(_xlfn.XLOOKUP(B97, Customers_raw!A:A, Customers_raw!B:B), "Unknown Customer")</f>
        <v>Andrew Anderson</v>
      </c>
      <c r="D97" s="1">
        <v>45681</v>
      </c>
      <c r="E97" s="1" t="str">
        <f t="shared" si="3"/>
        <v>2025-01</v>
      </c>
      <c r="F97" t="s">
        <v>19</v>
      </c>
      <c r="G97" t="s">
        <v>17</v>
      </c>
      <c r="H97">
        <v>2</v>
      </c>
      <c r="I97" s="2">
        <v>19</v>
      </c>
      <c r="J97" s="2">
        <f t="shared" si="4"/>
        <v>38</v>
      </c>
      <c r="K97" s="2" t="str">
        <f t="shared" si="5"/>
        <v>Sale</v>
      </c>
      <c r="L97" t="s">
        <v>5</v>
      </c>
    </row>
    <row r="98" spans="1:12" x14ac:dyDescent="0.25">
      <c r="A98">
        <v>5096</v>
      </c>
      <c r="B98">
        <v>50</v>
      </c>
      <c r="C98" s="5" t="str">
        <f>IFERROR(_xlfn.XLOOKUP(B98, Customers_raw!A:A, Customers_raw!B:B), "Unknown Customer")</f>
        <v>Elizabeth Garcia</v>
      </c>
      <c r="D98" s="1">
        <v>45784</v>
      </c>
      <c r="E98" s="1" t="str">
        <f t="shared" si="3"/>
        <v>2025-05</v>
      </c>
      <c r="F98" t="s">
        <v>12</v>
      </c>
      <c r="G98" t="s">
        <v>10</v>
      </c>
      <c r="H98">
        <v>1</v>
      </c>
      <c r="I98" s="2">
        <v>19</v>
      </c>
      <c r="J98" s="2">
        <f t="shared" si="4"/>
        <v>19</v>
      </c>
      <c r="K98" s="2" t="str">
        <f t="shared" si="5"/>
        <v>Sale</v>
      </c>
      <c r="L98" t="s">
        <v>5</v>
      </c>
    </row>
    <row r="99" spans="1:12" x14ac:dyDescent="0.25">
      <c r="A99">
        <v>5097</v>
      </c>
      <c r="B99">
        <v>12</v>
      </c>
      <c r="C99" s="5" t="str">
        <f>IFERROR(_xlfn.XLOOKUP(B99, Customers_raw!A:A, Customers_raw!B:B), "Unknown Customer")</f>
        <v>Linda Moore</v>
      </c>
      <c r="D99" s="1">
        <v>45981</v>
      </c>
      <c r="E99" s="1" t="str">
        <f t="shared" si="3"/>
        <v>2025-11</v>
      </c>
      <c r="F99" t="s">
        <v>22</v>
      </c>
      <c r="G99" t="s">
        <v>17</v>
      </c>
      <c r="H99">
        <v>2</v>
      </c>
      <c r="I99" s="2">
        <v>21</v>
      </c>
      <c r="J99" s="2">
        <f t="shared" si="4"/>
        <v>42</v>
      </c>
      <c r="K99" s="2" t="str">
        <f t="shared" si="5"/>
        <v>Sale</v>
      </c>
      <c r="L99" t="s">
        <v>5</v>
      </c>
    </row>
    <row r="100" spans="1:12" x14ac:dyDescent="0.25">
      <c r="A100">
        <v>5098</v>
      </c>
      <c r="B100">
        <v>27</v>
      </c>
      <c r="C100" s="5" t="str">
        <f>IFERROR(_xlfn.XLOOKUP(B100, Customers_raw!A:A, Customers_raw!B:B), "Unknown Customer")</f>
        <v>Nancy Lee</v>
      </c>
      <c r="D100" s="1">
        <v>45821</v>
      </c>
      <c r="E100" s="1" t="str">
        <f t="shared" si="3"/>
        <v>2025-06</v>
      </c>
      <c r="F100" t="s">
        <v>18</v>
      </c>
      <c r="G100" t="s">
        <v>6</v>
      </c>
      <c r="H100">
        <v>2</v>
      </c>
      <c r="I100" s="2">
        <v>89</v>
      </c>
      <c r="J100" s="2">
        <f t="shared" si="4"/>
        <v>178</v>
      </c>
      <c r="K100" s="2" t="str">
        <f t="shared" si="5"/>
        <v>Sale</v>
      </c>
      <c r="L100" t="s">
        <v>5</v>
      </c>
    </row>
    <row r="101" spans="1:12" x14ac:dyDescent="0.25">
      <c r="A101">
        <v>5099</v>
      </c>
      <c r="B101">
        <v>37</v>
      </c>
      <c r="C101" s="5" t="str">
        <f>IFERROR(_xlfn.XLOOKUP(B101, Customers_raw!A:A, Customers_raw!B:B), "Unknown Customer")</f>
        <v>Kenneth Lopez</v>
      </c>
      <c r="D101" s="1">
        <v>45876</v>
      </c>
      <c r="E101" s="1" t="str">
        <f t="shared" si="3"/>
        <v>2025-08</v>
      </c>
      <c r="F101" t="s">
        <v>16</v>
      </c>
      <c r="G101" t="s">
        <v>10</v>
      </c>
      <c r="H101">
        <v>2</v>
      </c>
      <c r="I101" s="2">
        <v>31</v>
      </c>
      <c r="J101" s="2">
        <f t="shared" si="4"/>
        <v>62</v>
      </c>
      <c r="K101" s="2" t="str">
        <f t="shared" si="5"/>
        <v>Sale</v>
      </c>
      <c r="L101" t="s">
        <v>27</v>
      </c>
    </row>
    <row r="102" spans="1:12" x14ac:dyDescent="0.25">
      <c r="A102">
        <v>5100</v>
      </c>
      <c r="B102">
        <v>96</v>
      </c>
      <c r="C102" s="5" t="str">
        <f>IFERROR(_xlfn.XLOOKUP(B102, Customers_raw!A:A, Customers_raw!B:B), "Unknown Customer")</f>
        <v>Michael White</v>
      </c>
      <c r="D102" s="1">
        <v>45869</v>
      </c>
      <c r="E102" s="1" t="str">
        <f t="shared" si="3"/>
        <v>2025-07</v>
      </c>
      <c r="F102" t="s">
        <v>16</v>
      </c>
      <c r="G102" t="s">
        <v>10</v>
      </c>
      <c r="H102">
        <v>2</v>
      </c>
      <c r="I102" s="2">
        <v>31</v>
      </c>
      <c r="J102" s="2">
        <f t="shared" si="4"/>
        <v>62</v>
      </c>
      <c r="K102" s="2" t="str">
        <f t="shared" si="5"/>
        <v>Sale</v>
      </c>
      <c r="L102" t="s">
        <v>8</v>
      </c>
    </row>
    <row r="103" spans="1:12" x14ac:dyDescent="0.25">
      <c r="A103">
        <v>5101</v>
      </c>
      <c r="B103">
        <v>91</v>
      </c>
      <c r="C103" s="5" t="str">
        <f>IFERROR(_xlfn.XLOOKUP(B103, Customers_raw!A:A, Customers_raw!B:B), "Unknown Customer")</f>
        <v>Donald Rodriguez</v>
      </c>
      <c r="D103" s="1">
        <v>45933</v>
      </c>
      <c r="E103" s="1" t="str">
        <f t="shared" si="3"/>
        <v>2025-10</v>
      </c>
      <c r="F103" t="s">
        <v>16</v>
      </c>
      <c r="G103" t="s">
        <v>10</v>
      </c>
      <c r="H103">
        <v>3</v>
      </c>
      <c r="I103" s="2">
        <v>25</v>
      </c>
      <c r="J103" s="2">
        <f t="shared" si="4"/>
        <v>75</v>
      </c>
      <c r="K103" s="2" t="str">
        <f t="shared" si="5"/>
        <v>Sale</v>
      </c>
      <c r="L103" t="s">
        <v>27</v>
      </c>
    </row>
    <row r="104" spans="1:12" x14ac:dyDescent="0.25">
      <c r="A104">
        <v>5102</v>
      </c>
      <c r="B104">
        <v>56</v>
      </c>
      <c r="C104" s="5" t="str">
        <f>IFERROR(_xlfn.XLOOKUP(B104, Customers_raw!A:A, Customers_raw!B:B), "Unknown Customer")</f>
        <v>Mark Hernandez</v>
      </c>
      <c r="D104" s="1">
        <v>45926</v>
      </c>
      <c r="E104" s="1" t="str">
        <f t="shared" si="3"/>
        <v>2025-09</v>
      </c>
      <c r="F104" t="s">
        <v>16</v>
      </c>
      <c r="G104" t="s">
        <v>10</v>
      </c>
      <c r="H104">
        <v>1</v>
      </c>
      <c r="I104" s="2">
        <v>25</v>
      </c>
      <c r="J104" s="2">
        <f t="shared" si="4"/>
        <v>25</v>
      </c>
      <c r="K104" s="2" t="str">
        <f t="shared" si="5"/>
        <v>Sale</v>
      </c>
      <c r="L104" t="s">
        <v>8</v>
      </c>
    </row>
    <row r="105" spans="1:12" x14ac:dyDescent="0.25">
      <c r="A105">
        <v>5103</v>
      </c>
      <c r="B105">
        <v>13</v>
      </c>
      <c r="C105" s="5" t="str">
        <f>IFERROR(_xlfn.XLOOKUP(B105, Customers_raw!A:A, Customers_raw!B:B), "Unknown Customer")</f>
        <v>Anthony Johnson</v>
      </c>
      <c r="D105" s="1">
        <v>46013</v>
      </c>
      <c r="E105" s="1" t="str">
        <f t="shared" si="3"/>
        <v>2025-12</v>
      </c>
      <c r="F105" t="s">
        <v>13</v>
      </c>
      <c r="G105" t="s">
        <v>7</v>
      </c>
      <c r="H105">
        <v>1</v>
      </c>
      <c r="I105" s="2">
        <v>35</v>
      </c>
      <c r="J105" s="2">
        <f t="shared" si="4"/>
        <v>35</v>
      </c>
      <c r="K105" s="2" t="str">
        <f t="shared" si="5"/>
        <v>Sale</v>
      </c>
      <c r="L105" t="s">
        <v>27</v>
      </c>
    </row>
    <row r="106" spans="1:12" x14ac:dyDescent="0.25">
      <c r="A106">
        <v>5104</v>
      </c>
      <c r="B106">
        <v>21</v>
      </c>
      <c r="C106" s="5" t="str">
        <f>IFERROR(_xlfn.XLOOKUP(B106, Customers_raw!A:A, Customers_raw!B:B), "Unknown Customer")</f>
        <v>Daniel Thompson</v>
      </c>
      <c r="D106" s="1">
        <v>45767</v>
      </c>
      <c r="E106" s="1" t="str">
        <f t="shared" si="3"/>
        <v>2025-04</v>
      </c>
      <c r="F106" t="s">
        <v>18</v>
      </c>
      <c r="G106" t="s">
        <v>6</v>
      </c>
      <c r="H106">
        <v>2</v>
      </c>
      <c r="I106" s="2">
        <v>89</v>
      </c>
      <c r="J106" s="2">
        <f t="shared" si="4"/>
        <v>178</v>
      </c>
      <c r="K106" s="2" t="str">
        <f t="shared" si="5"/>
        <v>Sale</v>
      </c>
      <c r="L106" t="s">
        <v>8</v>
      </c>
    </row>
    <row r="107" spans="1:12" x14ac:dyDescent="0.25">
      <c r="A107">
        <v>5105</v>
      </c>
      <c r="B107">
        <v>101</v>
      </c>
      <c r="C107" s="5" t="str">
        <f>IFERROR(_xlfn.XLOOKUP(B107, Customers_raw!A:A, Customers_raw!B:B), "Unknown Customer")</f>
        <v>David Lee</v>
      </c>
      <c r="D107" s="1">
        <v>45945</v>
      </c>
      <c r="E107" s="1" t="str">
        <f t="shared" si="3"/>
        <v>2025-10</v>
      </c>
      <c r="F107" t="s">
        <v>19</v>
      </c>
      <c r="G107" t="s">
        <v>17</v>
      </c>
      <c r="H107">
        <v>3</v>
      </c>
      <c r="I107" s="2">
        <v>19</v>
      </c>
      <c r="J107" s="2">
        <f t="shared" si="4"/>
        <v>57</v>
      </c>
      <c r="K107" s="2" t="str">
        <f t="shared" si="5"/>
        <v>Sale</v>
      </c>
      <c r="L107" t="s">
        <v>8</v>
      </c>
    </row>
    <row r="108" spans="1:12" x14ac:dyDescent="0.25">
      <c r="A108">
        <v>5106</v>
      </c>
      <c r="B108">
        <v>51</v>
      </c>
      <c r="C108" s="5" t="str">
        <f>IFERROR(_xlfn.XLOOKUP(B108, Customers_raw!A:A, Customers_raw!B:B), "Unknown Customer")</f>
        <v>Patricia Hernandez</v>
      </c>
      <c r="D108" s="1">
        <v>45702</v>
      </c>
      <c r="E108" s="1" t="str">
        <f t="shared" si="3"/>
        <v>2025-02</v>
      </c>
      <c r="F108" t="s">
        <v>19</v>
      </c>
      <c r="G108" t="s">
        <v>17</v>
      </c>
      <c r="H108">
        <v>-3</v>
      </c>
      <c r="I108" s="2">
        <v>16</v>
      </c>
      <c r="J108" s="2">
        <f t="shared" si="4"/>
        <v>-48</v>
      </c>
      <c r="K108" s="2" t="str">
        <f t="shared" si="5"/>
        <v>Return</v>
      </c>
      <c r="L108" t="s">
        <v>5</v>
      </c>
    </row>
    <row r="109" spans="1:12" x14ac:dyDescent="0.25">
      <c r="A109">
        <v>5107</v>
      </c>
      <c r="B109">
        <v>34</v>
      </c>
      <c r="C109" s="5" t="str">
        <f>IFERROR(_xlfn.XLOOKUP(B109, Customers_raw!A:A, Customers_raw!B:B), "Unknown Customer")</f>
        <v>Joseph Jackson</v>
      </c>
      <c r="D109" s="1">
        <v>45937</v>
      </c>
      <c r="E109" s="1" t="str">
        <f t="shared" si="3"/>
        <v>2025-10</v>
      </c>
      <c r="F109" t="s">
        <v>14</v>
      </c>
      <c r="G109" t="s">
        <v>7</v>
      </c>
      <c r="H109">
        <v>2</v>
      </c>
      <c r="I109" s="2">
        <v>55</v>
      </c>
      <c r="J109" s="2">
        <f t="shared" si="4"/>
        <v>110</v>
      </c>
      <c r="K109" s="2" t="str">
        <f t="shared" si="5"/>
        <v>Sale</v>
      </c>
      <c r="L109" t="s">
        <v>27</v>
      </c>
    </row>
    <row r="110" spans="1:12" x14ac:dyDescent="0.25">
      <c r="A110">
        <v>5108</v>
      </c>
      <c r="B110">
        <v>77</v>
      </c>
      <c r="C110" s="5" t="str">
        <f>IFERROR(_xlfn.XLOOKUP(B110, Customers_raw!A:A, Customers_raw!B:B), "Unknown Customer")</f>
        <v>Steven Thompson</v>
      </c>
      <c r="D110" s="1">
        <v>45967</v>
      </c>
      <c r="E110" s="1" t="str">
        <f t="shared" si="3"/>
        <v>2025-11</v>
      </c>
      <c r="F110" t="s">
        <v>19</v>
      </c>
      <c r="G110" t="s">
        <v>17</v>
      </c>
      <c r="H110">
        <v>1</v>
      </c>
      <c r="I110" s="2">
        <v>22</v>
      </c>
      <c r="J110" s="2">
        <f t="shared" si="4"/>
        <v>22</v>
      </c>
      <c r="K110" s="2" t="str">
        <f t="shared" si="5"/>
        <v>Sale</v>
      </c>
      <c r="L110" t="s">
        <v>8</v>
      </c>
    </row>
    <row r="111" spans="1:12" x14ac:dyDescent="0.25">
      <c r="A111">
        <v>5109</v>
      </c>
      <c r="B111">
        <v>85</v>
      </c>
      <c r="C111" s="5" t="str">
        <f>IFERROR(_xlfn.XLOOKUP(B111, Customers_raw!A:A, Customers_raw!B:B), "Unknown Customer")</f>
        <v>Elizabeth Martinez</v>
      </c>
      <c r="D111" s="1">
        <v>45823</v>
      </c>
      <c r="E111" s="1" t="str">
        <f t="shared" si="3"/>
        <v>2025-06</v>
      </c>
      <c r="F111" t="s">
        <v>15</v>
      </c>
      <c r="G111" t="s">
        <v>7</v>
      </c>
      <c r="H111">
        <v>2</v>
      </c>
      <c r="I111" s="2">
        <v>70</v>
      </c>
      <c r="J111" s="2">
        <f t="shared" si="4"/>
        <v>140</v>
      </c>
      <c r="K111" s="2" t="str">
        <f t="shared" si="5"/>
        <v>Sale</v>
      </c>
      <c r="L111" t="s">
        <v>27</v>
      </c>
    </row>
    <row r="112" spans="1:12" x14ac:dyDescent="0.25">
      <c r="A112">
        <v>5110</v>
      </c>
      <c r="B112">
        <v>30</v>
      </c>
      <c r="C112" s="5" t="str">
        <f>IFERROR(_xlfn.XLOOKUP(B112, Customers_raw!A:A, Customers_raw!B:B), "Unknown Customer")</f>
        <v>Sandra Taylor</v>
      </c>
      <c r="D112" s="1">
        <v>45829</v>
      </c>
      <c r="E112" s="1" t="str">
        <f t="shared" si="3"/>
        <v>2025-06</v>
      </c>
      <c r="F112" t="s">
        <v>20</v>
      </c>
      <c r="G112" t="s">
        <v>10</v>
      </c>
      <c r="H112">
        <v>3</v>
      </c>
      <c r="I112" s="2">
        <v>65</v>
      </c>
      <c r="J112" s="2">
        <f t="shared" si="4"/>
        <v>195</v>
      </c>
      <c r="K112" s="2" t="str">
        <f t="shared" si="5"/>
        <v>Sale</v>
      </c>
      <c r="L112" t="s">
        <v>5</v>
      </c>
    </row>
    <row r="113" spans="1:12" x14ac:dyDescent="0.25">
      <c r="A113">
        <v>5111</v>
      </c>
      <c r="B113">
        <v>39</v>
      </c>
      <c r="C113" s="5" t="str">
        <f>IFERROR(_xlfn.XLOOKUP(B113, Customers_raw!A:A, Customers_raw!B:B), "Unknown Customer")</f>
        <v>Donald Lee</v>
      </c>
      <c r="D113" s="1">
        <v>45974</v>
      </c>
      <c r="E113" s="1" t="str">
        <f t="shared" si="3"/>
        <v>2025-11</v>
      </c>
      <c r="F113" t="s">
        <v>19</v>
      </c>
      <c r="G113" t="s">
        <v>17</v>
      </c>
      <c r="H113">
        <v>3</v>
      </c>
      <c r="I113" s="2">
        <v>19</v>
      </c>
      <c r="J113" s="2">
        <f t="shared" si="4"/>
        <v>57</v>
      </c>
      <c r="K113" s="2" t="str">
        <f t="shared" si="5"/>
        <v>Sale</v>
      </c>
      <c r="L113" t="s">
        <v>27</v>
      </c>
    </row>
    <row r="114" spans="1:12" x14ac:dyDescent="0.25">
      <c r="A114">
        <v>5112</v>
      </c>
      <c r="B114">
        <v>67</v>
      </c>
      <c r="C114" s="5" t="str">
        <f>IFERROR(_xlfn.XLOOKUP(B114, Customers_raw!A:A, Customers_raw!B:B), "Unknown Customer")</f>
        <v>Thomas Williams</v>
      </c>
      <c r="D114" s="1">
        <v>45740</v>
      </c>
      <c r="E114" s="1" t="str">
        <f t="shared" si="3"/>
        <v>2025-03</v>
      </c>
      <c r="F114" t="s">
        <v>11</v>
      </c>
      <c r="G114" t="s">
        <v>6</v>
      </c>
      <c r="H114">
        <v>1</v>
      </c>
      <c r="I114" s="2">
        <v>18</v>
      </c>
      <c r="J114" s="2">
        <f t="shared" si="4"/>
        <v>18</v>
      </c>
      <c r="K114" s="2" t="str">
        <f t="shared" si="5"/>
        <v>Sale</v>
      </c>
      <c r="L114" t="s">
        <v>27</v>
      </c>
    </row>
    <row r="115" spans="1:12" x14ac:dyDescent="0.25">
      <c r="A115">
        <v>5113</v>
      </c>
      <c r="B115">
        <v>85</v>
      </c>
      <c r="C115" s="5" t="str">
        <f>IFERROR(_xlfn.XLOOKUP(B115, Customers_raw!A:A, Customers_raw!B:B), "Unknown Customer")</f>
        <v>Elizabeth Martinez</v>
      </c>
      <c r="D115" s="1">
        <v>45965</v>
      </c>
      <c r="E115" s="1" t="str">
        <f t="shared" si="3"/>
        <v>2025-11</v>
      </c>
      <c r="F115" t="s">
        <v>12</v>
      </c>
      <c r="G115" t="s">
        <v>10</v>
      </c>
      <c r="H115">
        <v>1</v>
      </c>
      <c r="I115" s="2">
        <v>22</v>
      </c>
      <c r="J115" s="2">
        <f t="shared" si="4"/>
        <v>22</v>
      </c>
      <c r="K115" s="2" t="str">
        <f t="shared" si="5"/>
        <v>Sale</v>
      </c>
      <c r="L115" t="s">
        <v>8</v>
      </c>
    </row>
    <row r="116" spans="1:12" x14ac:dyDescent="0.25">
      <c r="A116">
        <v>5114</v>
      </c>
      <c r="B116">
        <v>36</v>
      </c>
      <c r="C116" s="5" t="str">
        <f>IFERROR(_xlfn.XLOOKUP(B116, Customers_raw!A:A, Customers_raw!B:B), "Unknown Customer")</f>
        <v>Daniel Harris</v>
      </c>
      <c r="D116" s="1">
        <v>45713</v>
      </c>
      <c r="E116" s="1" t="str">
        <f t="shared" si="3"/>
        <v>2025-02</v>
      </c>
      <c r="F116" t="s">
        <v>9</v>
      </c>
      <c r="G116" t="s">
        <v>6</v>
      </c>
      <c r="H116">
        <v>1</v>
      </c>
      <c r="I116" s="2">
        <v>45</v>
      </c>
      <c r="J116" s="2">
        <f t="shared" si="4"/>
        <v>45</v>
      </c>
      <c r="K116" s="2" t="str">
        <f t="shared" si="5"/>
        <v>Sale</v>
      </c>
      <c r="L116" t="s">
        <v>8</v>
      </c>
    </row>
    <row r="117" spans="1:12" x14ac:dyDescent="0.25">
      <c r="A117">
        <v>5115</v>
      </c>
      <c r="B117">
        <v>2</v>
      </c>
      <c r="C117" s="5" t="str">
        <f>IFERROR(_xlfn.XLOOKUP(B117, Customers_raw!A:A, Customers_raw!B:B), "Unknown Customer")</f>
        <v>Michael Lopez</v>
      </c>
      <c r="D117" s="1">
        <v>45881</v>
      </c>
      <c r="E117" s="1" t="str">
        <f t="shared" si="3"/>
        <v>2025-08</v>
      </c>
      <c r="F117" t="s">
        <v>14</v>
      </c>
      <c r="G117" t="s">
        <v>7</v>
      </c>
      <c r="H117">
        <v>2</v>
      </c>
      <c r="I117" s="2">
        <v>55</v>
      </c>
      <c r="J117" s="2">
        <f t="shared" si="4"/>
        <v>110</v>
      </c>
      <c r="K117" s="2" t="str">
        <f t="shared" si="5"/>
        <v>Sale</v>
      </c>
      <c r="L117" t="s">
        <v>27</v>
      </c>
    </row>
    <row r="118" spans="1:12" x14ac:dyDescent="0.25">
      <c r="A118">
        <v>5116</v>
      </c>
      <c r="B118">
        <v>33</v>
      </c>
      <c r="C118" s="5" t="str">
        <f>IFERROR(_xlfn.XLOOKUP(B118, Customers_raw!A:A, Customers_raw!B:B), "Unknown Customer")</f>
        <v>Jennifer White</v>
      </c>
      <c r="D118" s="1">
        <v>45865</v>
      </c>
      <c r="E118" s="1" t="str">
        <f t="shared" si="3"/>
        <v>2025-07</v>
      </c>
      <c r="F118" t="s">
        <v>21</v>
      </c>
      <c r="G118" t="s">
        <v>17</v>
      </c>
      <c r="H118">
        <v>3</v>
      </c>
      <c r="I118" s="2">
        <v>60</v>
      </c>
      <c r="J118" s="2">
        <f t="shared" si="4"/>
        <v>180</v>
      </c>
      <c r="K118" s="2" t="str">
        <f t="shared" si="5"/>
        <v>Sale</v>
      </c>
      <c r="L118" t="s">
        <v>27</v>
      </c>
    </row>
    <row r="119" spans="1:12" x14ac:dyDescent="0.25">
      <c r="A119">
        <v>5117</v>
      </c>
      <c r="B119">
        <v>86</v>
      </c>
      <c r="C119" s="5" t="str">
        <f>IFERROR(_xlfn.XLOOKUP(B119, Customers_raw!A:A, Customers_raw!B:B), "Unknown Customer")</f>
        <v>Steven Jones</v>
      </c>
      <c r="D119" s="1">
        <v>45992</v>
      </c>
      <c r="E119" s="1" t="str">
        <f t="shared" si="3"/>
        <v>2025-12</v>
      </c>
      <c r="F119" t="s">
        <v>19</v>
      </c>
      <c r="G119" t="s">
        <v>17</v>
      </c>
      <c r="H119">
        <v>3</v>
      </c>
      <c r="I119" s="2">
        <v>19</v>
      </c>
      <c r="J119" s="2">
        <f t="shared" si="4"/>
        <v>57</v>
      </c>
      <c r="K119" s="2" t="str">
        <f t="shared" si="5"/>
        <v>Sale</v>
      </c>
      <c r="L119" t="s">
        <v>8</v>
      </c>
    </row>
    <row r="120" spans="1:12" x14ac:dyDescent="0.25">
      <c r="A120">
        <v>5118</v>
      </c>
      <c r="B120">
        <v>56</v>
      </c>
      <c r="C120" s="5" t="str">
        <f>IFERROR(_xlfn.XLOOKUP(B120, Customers_raw!A:A, Customers_raw!B:B), "Unknown Customer")</f>
        <v>Mark Hernandez</v>
      </c>
      <c r="D120" s="1">
        <v>45791</v>
      </c>
      <c r="E120" s="1" t="str">
        <f t="shared" si="3"/>
        <v>2025-05</v>
      </c>
      <c r="F120" t="s">
        <v>11</v>
      </c>
      <c r="G120" t="s">
        <v>6</v>
      </c>
      <c r="H120">
        <v>2</v>
      </c>
      <c r="I120" s="2">
        <v>18</v>
      </c>
      <c r="J120" s="2">
        <f t="shared" si="4"/>
        <v>36</v>
      </c>
      <c r="K120" s="2" t="str">
        <f t="shared" si="5"/>
        <v>Sale</v>
      </c>
      <c r="L120" t="s">
        <v>5</v>
      </c>
    </row>
    <row r="121" spans="1:12" x14ac:dyDescent="0.25">
      <c r="A121">
        <v>5119</v>
      </c>
      <c r="B121">
        <v>109</v>
      </c>
      <c r="C121" s="5" t="str">
        <f>IFERROR(_xlfn.XLOOKUP(B121, Customers_raw!A:A, Customers_raw!B:B), "Unknown Customer")</f>
        <v>Richard Sanchez</v>
      </c>
      <c r="D121" s="1">
        <v>45786</v>
      </c>
      <c r="E121" s="1" t="str">
        <f t="shared" si="3"/>
        <v>2025-05</v>
      </c>
      <c r="F121" t="s">
        <v>14</v>
      </c>
      <c r="G121" t="s">
        <v>7</v>
      </c>
      <c r="H121">
        <v>1</v>
      </c>
      <c r="I121" s="2">
        <v>58</v>
      </c>
      <c r="J121" s="2">
        <f t="shared" si="4"/>
        <v>58</v>
      </c>
      <c r="K121" s="2" t="str">
        <f t="shared" si="5"/>
        <v>Sale</v>
      </c>
      <c r="L121" t="s">
        <v>5</v>
      </c>
    </row>
    <row r="122" spans="1:12" x14ac:dyDescent="0.25">
      <c r="A122">
        <v>5120</v>
      </c>
      <c r="B122">
        <v>42</v>
      </c>
      <c r="C122" s="5" t="str">
        <f>IFERROR(_xlfn.XLOOKUP(B122, Customers_raw!A:A, Customers_raw!B:B), "Unknown Customer")</f>
        <v>Jennifer Harris</v>
      </c>
      <c r="D122" s="1">
        <v>45857</v>
      </c>
      <c r="E122" s="1" t="str">
        <f t="shared" si="3"/>
        <v>2025-07</v>
      </c>
      <c r="F122" t="s">
        <v>16</v>
      </c>
      <c r="G122" t="s">
        <v>10</v>
      </c>
      <c r="H122">
        <v>1</v>
      </c>
      <c r="I122" s="2">
        <v>25</v>
      </c>
      <c r="J122" s="2">
        <f t="shared" si="4"/>
        <v>25</v>
      </c>
      <c r="K122" s="2" t="str">
        <f t="shared" si="5"/>
        <v>Sale</v>
      </c>
      <c r="L122" t="s">
        <v>27</v>
      </c>
    </row>
    <row r="123" spans="1:12" x14ac:dyDescent="0.25">
      <c r="A123">
        <v>5121</v>
      </c>
      <c r="B123">
        <v>92</v>
      </c>
      <c r="C123" s="5" t="str">
        <f>IFERROR(_xlfn.XLOOKUP(B123, Customers_raw!A:A, Customers_raw!B:B), "Unknown Customer")</f>
        <v>Joseph Harris</v>
      </c>
      <c r="D123" s="1">
        <v>45923</v>
      </c>
      <c r="E123" s="1" t="str">
        <f t="shared" si="3"/>
        <v>2025-09</v>
      </c>
      <c r="F123" t="s">
        <v>9</v>
      </c>
      <c r="G123" t="s">
        <v>6</v>
      </c>
      <c r="H123">
        <v>1</v>
      </c>
      <c r="I123" s="2">
        <v>48</v>
      </c>
      <c r="J123" s="2">
        <f t="shared" si="4"/>
        <v>48</v>
      </c>
      <c r="K123" s="2" t="str">
        <f t="shared" si="5"/>
        <v>Sale</v>
      </c>
      <c r="L123" t="s">
        <v>5</v>
      </c>
    </row>
    <row r="124" spans="1:12" x14ac:dyDescent="0.25">
      <c r="A124">
        <v>5122</v>
      </c>
      <c r="B124">
        <v>61</v>
      </c>
      <c r="C124" s="5" t="str">
        <f>IFERROR(_xlfn.XLOOKUP(B124, Customers_raw!A:A, Customers_raw!B:B), "Unknown Customer")</f>
        <v>Jennifer Harris</v>
      </c>
      <c r="D124" s="1">
        <v>45901</v>
      </c>
      <c r="E124" s="1" t="str">
        <f t="shared" si="3"/>
        <v>2025-09</v>
      </c>
      <c r="F124" t="s">
        <v>15</v>
      </c>
      <c r="G124" t="s">
        <v>7</v>
      </c>
      <c r="H124">
        <v>2</v>
      </c>
      <c r="I124" s="2">
        <v>70</v>
      </c>
      <c r="J124" s="2">
        <f t="shared" si="4"/>
        <v>140</v>
      </c>
      <c r="K124" s="2" t="str">
        <f t="shared" si="5"/>
        <v>Sale</v>
      </c>
      <c r="L124" t="s">
        <v>27</v>
      </c>
    </row>
    <row r="125" spans="1:12" x14ac:dyDescent="0.25">
      <c r="A125">
        <v>5123</v>
      </c>
      <c r="B125">
        <v>88</v>
      </c>
      <c r="C125" s="5" t="str">
        <f>IFERROR(_xlfn.XLOOKUP(B125, Customers_raw!A:A, Customers_raw!B:B), "Unknown Customer")</f>
        <v>Michael Wilson</v>
      </c>
      <c r="D125" s="1">
        <v>45858</v>
      </c>
      <c r="E125" s="1" t="str">
        <f t="shared" si="3"/>
        <v>2025-07</v>
      </c>
      <c r="F125" t="s">
        <v>20</v>
      </c>
      <c r="G125" t="s">
        <v>10</v>
      </c>
      <c r="H125">
        <v>3</v>
      </c>
      <c r="I125" s="2">
        <v>68</v>
      </c>
      <c r="J125" s="2">
        <f t="shared" si="4"/>
        <v>204</v>
      </c>
      <c r="K125" s="2" t="str">
        <f t="shared" si="5"/>
        <v>Sale</v>
      </c>
      <c r="L125" t="s">
        <v>5</v>
      </c>
    </row>
    <row r="126" spans="1:12" x14ac:dyDescent="0.25">
      <c r="A126">
        <v>5124</v>
      </c>
      <c r="B126">
        <v>36</v>
      </c>
      <c r="C126" s="5" t="str">
        <f>IFERROR(_xlfn.XLOOKUP(B126, Customers_raw!A:A, Customers_raw!B:B), "Unknown Customer")</f>
        <v>Daniel Harris</v>
      </c>
      <c r="D126" s="1">
        <v>45862</v>
      </c>
      <c r="E126" s="1" t="str">
        <f t="shared" si="3"/>
        <v>2025-07</v>
      </c>
      <c r="F126" t="s">
        <v>14</v>
      </c>
      <c r="G126" t="s">
        <v>7</v>
      </c>
      <c r="H126">
        <v>1</v>
      </c>
      <c r="I126" s="2">
        <v>52</v>
      </c>
      <c r="J126" s="2">
        <f t="shared" si="4"/>
        <v>52</v>
      </c>
      <c r="K126" s="2" t="str">
        <f t="shared" si="5"/>
        <v>Sale</v>
      </c>
      <c r="L126" t="s">
        <v>5</v>
      </c>
    </row>
    <row r="127" spans="1:12" x14ac:dyDescent="0.25">
      <c r="A127">
        <v>5125</v>
      </c>
      <c r="B127">
        <v>90</v>
      </c>
      <c r="C127" s="5" t="str">
        <f>IFERROR(_xlfn.XLOOKUP(B127, Customers_raw!A:A, Customers_raw!B:B), "Unknown Customer")</f>
        <v>John Harris</v>
      </c>
      <c r="D127" s="1">
        <v>45838</v>
      </c>
      <c r="E127" s="1" t="str">
        <f t="shared" si="3"/>
        <v>2025-06</v>
      </c>
      <c r="F127" t="s">
        <v>22</v>
      </c>
      <c r="G127" t="s">
        <v>17</v>
      </c>
      <c r="H127">
        <v>1</v>
      </c>
      <c r="I127" s="2">
        <v>24</v>
      </c>
      <c r="J127" s="2">
        <f t="shared" si="4"/>
        <v>24</v>
      </c>
      <c r="K127" s="2" t="str">
        <f t="shared" si="5"/>
        <v>Sale</v>
      </c>
      <c r="L127" t="s">
        <v>27</v>
      </c>
    </row>
    <row r="128" spans="1:12" x14ac:dyDescent="0.25">
      <c r="A128">
        <v>5126</v>
      </c>
      <c r="B128">
        <v>29</v>
      </c>
      <c r="C128" s="5" t="str">
        <f>IFERROR(_xlfn.XLOOKUP(B128, Customers_raw!A:A, Customers_raw!B:B), "Unknown Customer")</f>
        <v>Thomas Lopez</v>
      </c>
      <c r="D128" s="1">
        <v>45894</v>
      </c>
      <c r="E128" s="1" t="str">
        <f t="shared" si="3"/>
        <v>2025-08</v>
      </c>
      <c r="F128" t="s">
        <v>14</v>
      </c>
      <c r="G128" t="s">
        <v>7</v>
      </c>
      <c r="H128">
        <v>1</v>
      </c>
      <c r="I128" s="2">
        <v>55</v>
      </c>
      <c r="J128" s="2">
        <f t="shared" si="4"/>
        <v>55</v>
      </c>
      <c r="K128" s="2" t="str">
        <f t="shared" si="5"/>
        <v>Sale</v>
      </c>
      <c r="L128" t="s">
        <v>8</v>
      </c>
    </row>
    <row r="129" spans="1:12" x14ac:dyDescent="0.25">
      <c r="A129">
        <v>5127</v>
      </c>
      <c r="B129">
        <v>83</v>
      </c>
      <c r="C129" s="5" t="str">
        <f>IFERROR(_xlfn.XLOOKUP(B129, Customers_raw!A:A, Customers_raw!B:B), "Unknown Customer")</f>
        <v>Mary Martinez</v>
      </c>
      <c r="D129" s="1">
        <v>45773</v>
      </c>
      <c r="E129" s="1" t="str">
        <f t="shared" si="3"/>
        <v>2025-04</v>
      </c>
      <c r="F129" t="s">
        <v>15</v>
      </c>
      <c r="G129" t="s">
        <v>7</v>
      </c>
      <c r="H129">
        <v>1</v>
      </c>
      <c r="I129" s="2">
        <v>70</v>
      </c>
      <c r="J129" s="2">
        <f t="shared" si="4"/>
        <v>70</v>
      </c>
      <c r="K129" s="2" t="str">
        <f t="shared" si="5"/>
        <v>Sale</v>
      </c>
      <c r="L129" t="s">
        <v>27</v>
      </c>
    </row>
    <row r="130" spans="1:12" x14ac:dyDescent="0.25">
      <c r="A130">
        <v>5128</v>
      </c>
      <c r="B130">
        <v>84</v>
      </c>
      <c r="C130" s="5" t="str">
        <f>IFERROR(_xlfn.XLOOKUP(B130, Customers_raw!A:A, Customers_raw!B:B), "Unknown Customer")</f>
        <v>Kimberly Lewis</v>
      </c>
      <c r="D130" s="1">
        <v>45898</v>
      </c>
      <c r="E130" s="1" t="str">
        <f t="shared" si="3"/>
        <v>2025-08</v>
      </c>
      <c r="F130" t="s">
        <v>20</v>
      </c>
      <c r="G130" t="s">
        <v>10</v>
      </c>
      <c r="H130">
        <v>1</v>
      </c>
      <c r="I130" s="2">
        <v>65</v>
      </c>
      <c r="J130" s="2">
        <f t="shared" si="4"/>
        <v>65</v>
      </c>
      <c r="K130" s="2" t="str">
        <f t="shared" si="5"/>
        <v>Sale</v>
      </c>
      <c r="L130" t="s">
        <v>5</v>
      </c>
    </row>
    <row r="131" spans="1:12" x14ac:dyDescent="0.25">
      <c r="A131">
        <v>5129</v>
      </c>
      <c r="B131">
        <v>33</v>
      </c>
      <c r="C131" s="5" t="str">
        <f>IFERROR(_xlfn.XLOOKUP(B131, Customers_raw!A:A, Customers_raw!B:B), "Unknown Customer")</f>
        <v>Jennifer White</v>
      </c>
      <c r="D131" s="1">
        <v>46005</v>
      </c>
      <c r="E131" s="1" t="str">
        <f t="shared" ref="E131:E194" si="6">TEXT(D:D,"YYYY-MM")</f>
        <v>2025-12</v>
      </c>
      <c r="F131" t="s">
        <v>14</v>
      </c>
      <c r="G131" t="s">
        <v>7</v>
      </c>
      <c r="H131">
        <v>2</v>
      </c>
      <c r="I131" s="2">
        <v>52</v>
      </c>
      <c r="J131" s="2">
        <f t="shared" ref="J131:J194" si="7">H131*I131</f>
        <v>104</v>
      </c>
      <c r="K131" s="2" t="str">
        <f t="shared" ref="K131:K194" si="8">IF(H131&lt;0,"Return","Sale")</f>
        <v>Sale</v>
      </c>
      <c r="L131" t="s">
        <v>5</v>
      </c>
    </row>
    <row r="132" spans="1:12" x14ac:dyDescent="0.25">
      <c r="A132">
        <v>5130</v>
      </c>
      <c r="B132">
        <v>32</v>
      </c>
      <c r="C132" s="5" t="str">
        <f>IFERROR(_xlfn.XLOOKUP(B132, Customers_raw!A:A, Customers_raw!B:B), "Unknown Customer")</f>
        <v>Kimberly Lopez</v>
      </c>
      <c r="D132" s="1">
        <v>45753</v>
      </c>
      <c r="E132" s="1" t="str">
        <f t="shared" si="6"/>
        <v>2025-04</v>
      </c>
      <c r="F132" t="s">
        <v>22</v>
      </c>
      <c r="G132" t="s">
        <v>17</v>
      </c>
      <c r="H132">
        <v>2</v>
      </c>
      <c r="I132" s="2">
        <v>24</v>
      </c>
      <c r="J132" s="2">
        <f t="shared" si="7"/>
        <v>48</v>
      </c>
      <c r="K132" s="2" t="str">
        <f t="shared" si="8"/>
        <v>Sale</v>
      </c>
      <c r="L132" t="s">
        <v>5</v>
      </c>
    </row>
    <row r="133" spans="1:12" x14ac:dyDescent="0.25">
      <c r="A133">
        <v>5131</v>
      </c>
      <c r="B133">
        <v>47</v>
      </c>
      <c r="C133" s="5" t="str">
        <f>IFERROR(_xlfn.XLOOKUP(B133, Customers_raw!A:A, Customers_raw!B:B), "Unknown Customer")</f>
        <v>Christopher Rodriguez</v>
      </c>
      <c r="D133" s="1">
        <v>45783</v>
      </c>
      <c r="E133" s="1" t="str">
        <f t="shared" si="6"/>
        <v>2025-05</v>
      </c>
      <c r="F133" t="s">
        <v>20</v>
      </c>
      <c r="G133" t="s">
        <v>10</v>
      </c>
      <c r="H133">
        <v>1</v>
      </c>
      <c r="I133" s="2">
        <v>62</v>
      </c>
      <c r="J133" s="2">
        <f t="shared" si="7"/>
        <v>62</v>
      </c>
      <c r="K133" s="2" t="str">
        <f t="shared" si="8"/>
        <v>Sale</v>
      </c>
      <c r="L133" t="s">
        <v>27</v>
      </c>
    </row>
    <row r="134" spans="1:12" x14ac:dyDescent="0.25">
      <c r="A134">
        <v>5132</v>
      </c>
      <c r="B134">
        <v>68</v>
      </c>
      <c r="C134" s="5" t="str">
        <f>IFERROR(_xlfn.XLOOKUP(B134, Customers_raw!A:A, Customers_raw!B:B), "Unknown Customer")</f>
        <v>James Hernandez</v>
      </c>
      <c r="D134" s="1">
        <v>45982</v>
      </c>
      <c r="E134" s="1" t="str">
        <f t="shared" si="6"/>
        <v>2025-11</v>
      </c>
      <c r="F134" t="s">
        <v>11</v>
      </c>
      <c r="G134" t="s">
        <v>6</v>
      </c>
      <c r="H134">
        <v>3</v>
      </c>
      <c r="I134" s="2">
        <v>15</v>
      </c>
      <c r="J134" s="2">
        <f t="shared" si="7"/>
        <v>45</v>
      </c>
      <c r="K134" s="2" t="str">
        <f t="shared" si="8"/>
        <v>Sale</v>
      </c>
      <c r="L134" t="s">
        <v>23</v>
      </c>
    </row>
    <row r="135" spans="1:12" x14ac:dyDescent="0.25">
      <c r="A135">
        <v>5133</v>
      </c>
      <c r="B135">
        <v>38</v>
      </c>
      <c r="C135" s="5" t="str">
        <f>IFERROR(_xlfn.XLOOKUP(B135, Customers_raw!A:A, Customers_raw!B:B), "Unknown Customer")</f>
        <v>Jennifer Davis</v>
      </c>
      <c r="D135" s="1">
        <v>45969</v>
      </c>
      <c r="E135" s="1" t="str">
        <f t="shared" si="6"/>
        <v>2025-11</v>
      </c>
      <c r="F135" t="s">
        <v>18</v>
      </c>
      <c r="G135" t="s">
        <v>6</v>
      </c>
      <c r="H135">
        <v>2</v>
      </c>
      <c r="I135" s="2">
        <v>89</v>
      </c>
      <c r="J135" s="2">
        <f t="shared" si="7"/>
        <v>178</v>
      </c>
      <c r="K135" s="2" t="str">
        <f t="shared" si="8"/>
        <v>Sale</v>
      </c>
      <c r="L135" t="s">
        <v>8</v>
      </c>
    </row>
    <row r="136" spans="1:12" x14ac:dyDescent="0.25">
      <c r="A136">
        <v>5134</v>
      </c>
      <c r="B136">
        <v>45</v>
      </c>
      <c r="C136" s="5" t="str">
        <f>IFERROR(_xlfn.XLOOKUP(B136, Customers_raw!A:A, Customers_raw!B:B), "Unknown Customer")</f>
        <v>Michael Moore</v>
      </c>
      <c r="D136" s="1">
        <v>45764</v>
      </c>
      <c r="E136" s="1" t="str">
        <f t="shared" si="6"/>
        <v>2025-04</v>
      </c>
      <c r="F136" t="s">
        <v>20</v>
      </c>
      <c r="G136" t="s">
        <v>10</v>
      </c>
      <c r="H136">
        <v>2</v>
      </c>
      <c r="I136" s="2">
        <v>65</v>
      </c>
      <c r="J136" s="2">
        <f t="shared" si="7"/>
        <v>130</v>
      </c>
      <c r="K136" s="2" t="str">
        <f t="shared" si="8"/>
        <v>Sale</v>
      </c>
      <c r="L136" t="s">
        <v>5</v>
      </c>
    </row>
    <row r="137" spans="1:12" x14ac:dyDescent="0.25">
      <c r="A137">
        <v>5135</v>
      </c>
      <c r="B137">
        <v>71</v>
      </c>
      <c r="C137" s="5" t="str">
        <f>IFERROR(_xlfn.XLOOKUP(B137, Customers_raw!A:A, Customers_raw!B:B), "Unknown Customer")</f>
        <v>Barbara Rodriguez</v>
      </c>
      <c r="D137" s="1">
        <v>45810</v>
      </c>
      <c r="E137" s="1" t="str">
        <f t="shared" si="6"/>
        <v>2025-06</v>
      </c>
      <c r="F137" t="s">
        <v>22</v>
      </c>
      <c r="G137" t="s">
        <v>17</v>
      </c>
      <c r="H137">
        <v>2</v>
      </c>
      <c r="I137" s="2">
        <v>24</v>
      </c>
      <c r="J137" s="2">
        <f t="shared" si="7"/>
        <v>48</v>
      </c>
      <c r="K137" s="2" t="str">
        <f t="shared" si="8"/>
        <v>Sale</v>
      </c>
      <c r="L137" t="s">
        <v>5</v>
      </c>
    </row>
    <row r="138" spans="1:12" x14ac:dyDescent="0.25">
      <c r="A138">
        <v>5136</v>
      </c>
      <c r="B138">
        <v>108</v>
      </c>
      <c r="C138" s="5" t="str">
        <f>IFERROR(_xlfn.XLOOKUP(B138, Customers_raw!A:A, Customers_raw!B:B), "Unknown Customer")</f>
        <v>Charles Perez</v>
      </c>
      <c r="D138" s="1">
        <v>46001</v>
      </c>
      <c r="E138" s="1" t="str">
        <f t="shared" si="6"/>
        <v>2025-12</v>
      </c>
      <c r="F138" t="s">
        <v>13</v>
      </c>
      <c r="G138" t="s">
        <v>7</v>
      </c>
      <c r="H138">
        <v>2</v>
      </c>
      <c r="I138" s="2">
        <v>29</v>
      </c>
      <c r="J138" s="2">
        <f t="shared" si="7"/>
        <v>58</v>
      </c>
      <c r="K138" s="2" t="str">
        <f t="shared" si="8"/>
        <v>Sale</v>
      </c>
      <c r="L138" t="s">
        <v>27</v>
      </c>
    </row>
    <row r="139" spans="1:12" x14ac:dyDescent="0.25">
      <c r="A139">
        <v>5137</v>
      </c>
      <c r="B139">
        <v>106</v>
      </c>
      <c r="C139" s="5" t="str">
        <f>IFERROR(_xlfn.XLOOKUP(B139, Customers_raw!A:A, Customers_raw!B:B), "Unknown Customer")</f>
        <v>Thomas Lopez</v>
      </c>
      <c r="D139" s="1">
        <v>45900</v>
      </c>
      <c r="E139" s="1" t="str">
        <f t="shared" si="6"/>
        <v>2025-08</v>
      </c>
      <c r="F139" t="s">
        <v>20</v>
      </c>
      <c r="G139" t="s">
        <v>10</v>
      </c>
      <c r="H139">
        <v>2</v>
      </c>
      <c r="I139" s="2">
        <v>62</v>
      </c>
      <c r="J139" s="2">
        <f t="shared" si="7"/>
        <v>124</v>
      </c>
      <c r="K139" s="2" t="str">
        <f t="shared" si="8"/>
        <v>Sale</v>
      </c>
      <c r="L139" t="s">
        <v>27</v>
      </c>
    </row>
    <row r="140" spans="1:12" x14ac:dyDescent="0.25">
      <c r="A140">
        <v>5138</v>
      </c>
      <c r="B140">
        <v>90</v>
      </c>
      <c r="C140" s="5" t="str">
        <f>IFERROR(_xlfn.XLOOKUP(B140, Customers_raw!A:A, Customers_raw!B:B), "Unknown Customer")</f>
        <v>John Harris</v>
      </c>
      <c r="D140" s="1">
        <v>45843</v>
      </c>
      <c r="E140" s="1" t="str">
        <f t="shared" si="6"/>
        <v>2025-07</v>
      </c>
      <c r="F140" t="s">
        <v>13</v>
      </c>
      <c r="G140" t="s">
        <v>7</v>
      </c>
      <c r="H140">
        <v>1</v>
      </c>
      <c r="I140" s="2">
        <v>35</v>
      </c>
      <c r="J140" s="2">
        <f t="shared" si="7"/>
        <v>35</v>
      </c>
      <c r="K140" s="2" t="str">
        <f t="shared" si="8"/>
        <v>Sale</v>
      </c>
      <c r="L140" t="s">
        <v>27</v>
      </c>
    </row>
    <row r="141" spans="1:12" x14ac:dyDescent="0.25">
      <c r="A141">
        <v>5139</v>
      </c>
      <c r="B141">
        <v>108</v>
      </c>
      <c r="C141" s="5" t="str">
        <f>IFERROR(_xlfn.XLOOKUP(B141, Customers_raw!A:A, Customers_raw!B:B), "Unknown Customer")</f>
        <v>Charles Perez</v>
      </c>
      <c r="D141" s="1">
        <v>45897</v>
      </c>
      <c r="E141" s="1" t="str">
        <f t="shared" si="6"/>
        <v>2025-08</v>
      </c>
      <c r="F141" t="s">
        <v>11</v>
      </c>
      <c r="G141" t="s">
        <v>6</v>
      </c>
      <c r="H141">
        <v>3</v>
      </c>
      <c r="I141" s="2">
        <v>17.804347826086957</v>
      </c>
      <c r="J141" s="2">
        <f t="shared" si="7"/>
        <v>53.413043478260875</v>
      </c>
      <c r="K141" s="2" t="str">
        <f t="shared" si="8"/>
        <v>Sale</v>
      </c>
      <c r="L141" t="s">
        <v>23</v>
      </c>
    </row>
    <row r="142" spans="1:12" x14ac:dyDescent="0.25">
      <c r="A142">
        <v>5140</v>
      </c>
      <c r="B142">
        <v>54</v>
      </c>
      <c r="C142" s="5" t="str">
        <f>IFERROR(_xlfn.XLOOKUP(B142, Customers_raw!A:A, Customers_raw!B:B), "Unknown Customer")</f>
        <v>Donald Moore</v>
      </c>
      <c r="D142" s="1">
        <v>45696</v>
      </c>
      <c r="E142" s="1" t="str">
        <f t="shared" si="6"/>
        <v>2025-02</v>
      </c>
      <c r="F142" t="s">
        <v>22</v>
      </c>
      <c r="G142" t="s">
        <v>17</v>
      </c>
      <c r="H142">
        <v>3</v>
      </c>
      <c r="I142" s="2">
        <v>24</v>
      </c>
      <c r="J142" s="2">
        <f t="shared" si="7"/>
        <v>72</v>
      </c>
      <c r="K142" s="2" t="str">
        <f t="shared" si="8"/>
        <v>Sale</v>
      </c>
      <c r="L142" t="s">
        <v>8</v>
      </c>
    </row>
    <row r="143" spans="1:12" x14ac:dyDescent="0.25">
      <c r="A143">
        <v>5141</v>
      </c>
      <c r="B143">
        <v>79</v>
      </c>
      <c r="C143" s="5" t="str">
        <f>IFERROR(_xlfn.XLOOKUP(B143, Customers_raw!A:A, Customers_raw!B:B), "Unknown Customer")</f>
        <v>Nancy Jackson</v>
      </c>
      <c r="D143" s="1">
        <v>46007</v>
      </c>
      <c r="E143" s="1" t="str">
        <f t="shared" si="6"/>
        <v>2025-12</v>
      </c>
      <c r="F143" t="s">
        <v>16</v>
      </c>
      <c r="G143" t="s">
        <v>10</v>
      </c>
      <c r="H143">
        <v>1</v>
      </c>
      <c r="I143" s="2">
        <v>31</v>
      </c>
      <c r="J143" s="2">
        <f t="shared" si="7"/>
        <v>31</v>
      </c>
      <c r="K143" s="2" t="str">
        <f t="shared" si="8"/>
        <v>Sale</v>
      </c>
      <c r="L143" t="s">
        <v>27</v>
      </c>
    </row>
    <row r="144" spans="1:12" x14ac:dyDescent="0.25">
      <c r="A144">
        <v>5142</v>
      </c>
      <c r="B144">
        <v>5</v>
      </c>
      <c r="C144" s="5" t="str">
        <f>IFERROR(_xlfn.XLOOKUP(B144, Customers_raw!A:A, Customers_raw!B:B), "Unknown Customer")</f>
        <v>Joshua Martin</v>
      </c>
      <c r="D144" s="1">
        <v>45870</v>
      </c>
      <c r="E144" s="1" t="str">
        <f t="shared" si="6"/>
        <v>2025-08</v>
      </c>
      <c r="F144" t="s">
        <v>9</v>
      </c>
      <c r="G144" t="s">
        <v>6</v>
      </c>
      <c r="H144">
        <v>1</v>
      </c>
      <c r="I144" s="2">
        <v>42</v>
      </c>
      <c r="J144" s="2">
        <f t="shared" si="7"/>
        <v>42</v>
      </c>
      <c r="K144" s="2" t="str">
        <f t="shared" si="8"/>
        <v>Sale</v>
      </c>
      <c r="L144" t="s">
        <v>5</v>
      </c>
    </row>
    <row r="145" spans="1:12" x14ac:dyDescent="0.25">
      <c r="A145">
        <v>5143</v>
      </c>
      <c r="B145">
        <v>61</v>
      </c>
      <c r="C145" s="5" t="str">
        <f>IFERROR(_xlfn.XLOOKUP(B145, Customers_raw!A:A, Customers_raw!B:B), "Unknown Customer")</f>
        <v>Jennifer Harris</v>
      </c>
      <c r="D145" s="1">
        <v>45941</v>
      </c>
      <c r="E145" s="1" t="str">
        <f t="shared" si="6"/>
        <v>2025-10</v>
      </c>
      <c r="F145" t="s">
        <v>15</v>
      </c>
      <c r="G145" t="s">
        <v>7</v>
      </c>
      <c r="H145">
        <v>1</v>
      </c>
      <c r="I145" s="2">
        <v>70</v>
      </c>
      <c r="J145" s="2">
        <f t="shared" si="7"/>
        <v>70</v>
      </c>
      <c r="K145" s="2" t="str">
        <f t="shared" si="8"/>
        <v>Sale</v>
      </c>
      <c r="L145" t="s">
        <v>5</v>
      </c>
    </row>
    <row r="146" spans="1:12" x14ac:dyDescent="0.25">
      <c r="A146">
        <v>5144</v>
      </c>
      <c r="B146">
        <v>71</v>
      </c>
      <c r="C146" s="5" t="str">
        <f>IFERROR(_xlfn.XLOOKUP(B146, Customers_raw!A:A, Customers_raw!B:B), "Unknown Customer")</f>
        <v>Barbara Rodriguez</v>
      </c>
      <c r="D146" s="1">
        <v>45806</v>
      </c>
      <c r="E146" s="1" t="str">
        <f t="shared" si="6"/>
        <v>2025-05</v>
      </c>
      <c r="F146" t="s">
        <v>16</v>
      </c>
      <c r="G146" t="s">
        <v>10</v>
      </c>
      <c r="H146">
        <v>1</v>
      </c>
      <c r="I146" s="2">
        <v>28</v>
      </c>
      <c r="J146" s="2">
        <f t="shared" si="7"/>
        <v>28</v>
      </c>
      <c r="K146" s="2" t="str">
        <f t="shared" si="8"/>
        <v>Sale</v>
      </c>
      <c r="L146" t="s">
        <v>27</v>
      </c>
    </row>
    <row r="147" spans="1:12" x14ac:dyDescent="0.25">
      <c r="A147">
        <v>5145</v>
      </c>
      <c r="B147">
        <v>35</v>
      </c>
      <c r="C147" s="5" t="str">
        <f>IFERROR(_xlfn.XLOOKUP(B147, Customers_raw!A:A, Customers_raw!B:B), "Unknown Customer")</f>
        <v>Richard Clark</v>
      </c>
      <c r="D147" s="1">
        <v>45834</v>
      </c>
      <c r="E147" s="1" t="str">
        <f t="shared" si="6"/>
        <v>2025-06</v>
      </c>
      <c r="F147" t="s">
        <v>15</v>
      </c>
      <c r="G147" t="s">
        <v>7</v>
      </c>
      <c r="H147">
        <v>3</v>
      </c>
      <c r="I147" s="2">
        <v>70</v>
      </c>
      <c r="J147" s="2">
        <f t="shared" si="7"/>
        <v>210</v>
      </c>
      <c r="K147" s="2" t="str">
        <f t="shared" si="8"/>
        <v>Sale</v>
      </c>
      <c r="L147" t="s">
        <v>27</v>
      </c>
    </row>
    <row r="148" spans="1:12" x14ac:dyDescent="0.25">
      <c r="A148">
        <v>5146</v>
      </c>
      <c r="B148">
        <v>41</v>
      </c>
      <c r="C148" s="5" t="str">
        <f>IFERROR(_xlfn.XLOOKUP(B148, Customers_raw!A:A, Customers_raw!B:B), "Unknown Customer")</f>
        <v>Margaret Clark</v>
      </c>
      <c r="D148" s="1">
        <v>45811</v>
      </c>
      <c r="E148" s="1" t="str">
        <f t="shared" si="6"/>
        <v>2025-06</v>
      </c>
      <c r="F148" t="s">
        <v>19</v>
      </c>
      <c r="G148" t="s">
        <v>17</v>
      </c>
      <c r="H148">
        <v>2</v>
      </c>
      <c r="I148" s="2">
        <v>16</v>
      </c>
      <c r="J148" s="2">
        <f t="shared" si="7"/>
        <v>32</v>
      </c>
      <c r="K148" s="2" t="str">
        <f t="shared" si="8"/>
        <v>Sale</v>
      </c>
      <c r="L148" t="s">
        <v>5</v>
      </c>
    </row>
    <row r="149" spans="1:12" x14ac:dyDescent="0.25">
      <c r="A149">
        <v>5147</v>
      </c>
      <c r="B149">
        <v>71</v>
      </c>
      <c r="C149" s="5" t="str">
        <f>IFERROR(_xlfn.XLOOKUP(B149, Customers_raw!A:A, Customers_raw!B:B), "Unknown Customer")</f>
        <v>Barbara Rodriguez</v>
      </c>
      <c r="D149" s="1">
        <v>45937</v>
      </c>
      <c r="E149" s="1" t="str">
        <f t="shared" si="6"/>
        <v>2025-10</v>
      </c>
      <c r="F149" t="s">
        <v>14</v>
      </c>
      <c r="G149" t="s">
        <v>7</v>
      </c>
      <c r="H149">
        <v>2</v>
      </c>
      <c r="I149" s="2">
        <v>55</v>
      </c>
      <c r="J149" s="2">
        <f t="shared" si="7"/>
        <v>110</v>
      </c>
      <c r="K149" s="2" t="str">
        <f t="shared" si="8"/>
        <v>Sale</v>
      </c>
      <c r="L149" t="s">
        <v>8</v>
      </c>
    </row>
    <row r="150" spans="1:12" x14ac:dyDescent="0.25">
      <c r="A150">
        <v>5148</v>
      </c>
      <c r="B150">
        <v>25</v>
      </c>
      <c r="C150" s="5" t="str">
        <f>IFERROR(_xlfn.XLOOKUP(B150, Customers_raw!A:A, Customers_raw!B:B), "Unknown Customer")</f>
        <v>Emily Wilson</v>
      </c>
      <c r="D150" s="1">
        <v>45969</v>
      </c>
      <c r="E150" s="1" t="str">
        <f t="shared" si="6"/>
        <v>2025-11</v>
      </c>
      <c r="F150" t="s">
        <v>13</v>
      </c>
      <c r="G150" t="s">
        <v>7</v>
      </c>
      <c r="H150">
        <v>2</v>
      </c>
      <c r="I150" s="2">
        <v>32.154639175257735</v>
      </c>
      <c r="J150" s="2">
        <f t="shared" si="7"/>
        <v>64.30927835051547</v>
      </c>
      <c r="K150" s="2" t="str">
        <f t="shared" si="8"/>
        <v>Sale</v>
      </c>
      <c r="L150" t="s">
        <v>27</v>
      </c>
    </row>
    <row r="151" spans="1:12" x14ac:dyDescent="0.25">
      <c r="A151">
        <v>5149</v>
      </c>
      <c r="B151">
        <v>19</v>
      </c>
      <c r="C151" s="5" t="str">
        <f>IFERROR(_xlfn.XLOOKUP(B151, Customers_raw!A:A, Customers_raw!B:B), "Unknown Customer")</f>
        <v>Ashley Williams</v>
      </c>
      <c r="D151" s="1">
        <v>46002</v>
      </c>
      <c r="E151" s="1" t="str">
        <f t="shared" si="6"/>
        <v>2025-12</v>
      </c>
      <c r="F151" t="s">
        <v>22</v>
      </c>
      <c r="G151" t="s">
        <v>17</v>
      </c>
      <c r="H151">
        <v>1</v>
      </c>
      <c r="I151" s="2">
        <v>21</v>
      </c>
      <c r="J151" s="2">
        <f t="shared" si="7"/>
        <v>21</v>
      </c>
      <c r="K151" s="2" t="str">
        <f t="shared" si="8"/>
        <v>Sale</v>
      </c>
      <c r="L151" t="s">
        <v>23</v>
      </c>
    </row>
    <row r="152" spans="1:12" x14ac:dyDescent="0.25">
      <c r="A152">
        <v>5150</v>
      </c>
      <c r="B152">
        <v>98</v>
      </c>
      <c r="C152" s="5" t="str">
        <f>IFERROR(_xlfn.XLOOKUP(B152, Customers_raw!A:A, Customers_raw!B:B), "Unknown Customer")</f>
        <v>Karen Williams</v>
      </c>
      <c r="D152" s="1">
        <v>45709</v>
      </c>
      <c r="E152" s="1" t="str">
        <f t="shared" si="6"/>
        <v>2025-02</v>
      </c>
      <c r="F152" t="s">
        <v>20</v>
      </c>
      <c r="G152" t="s">
        <v>10</v>
      </c>
      <c r="H152">
        <v>1</v>
      </c>
      <c r="I152" s="2">
        <v>65</v>
      </c>
      <c r="J152" s="2">
        <f t="shared" si="7"/>
        <v>65</v>
      </c>
      <c r="K152" s="2" t="str">
        <f t="shared" si="8"/>
        <v>Sale</v>
      </c>
      <c r="L152" t="s">
        <v>5</v>
      </c>
    </row>
    <row r="153" spans="1:12" x14ac:dyDescent="0.25">
      <c r="A153">
        <v>5151</v>
      </c>
      <c r="B153">
        <v>45</v>
      </c>
      <c r="C153" s="5" t="str">
        <f>IFERROR(_xlfn.XLOOKUP(B153, Customers_raw!A:A, Customers_raw!B:B), "Unknown Customer")</f>
        <v>Michael Moore</v>
      </c>
      <c r="D153" s="1">
        <v>45875</v>
      </c>
      <c r="E153" s="1" t="str">
        <f t="shared" si="6"/>
        <v>2025-08</v>
      </c>
      <c r="F153" t="s">
        <v>20</v>
      </c>
      <c r="G153" t="s">
        <v>10</v>
      </c>
      <c r="H153">
        <v>1</v>
      </c>
      <c r="I153" s="2">
        <v>65</v>
      </c>
      <c r="J153" s="2">
        <f t="shared" si="7"/>
        <v>65</v>
      </c>
      <c r="K153" s="2" t="str">
        <f t="shared" si="8"/>
        <v>Sale</v>
      </c>
      <c r="L153" t="s">
        <v>5</v>
      </c>
    </row>
    <row r="154" spans="1:12" x14ac:dyDescent="0.25">
      <c r="A154">
        <v>5152</v>
      </c>
      <c r="B154">
        <v>3</v>
      </c>
      <c r="C154" s="5" t="str">
        <f>IFERROR(_xlfn.XLOOKUP(B154, Customers_raw!A:A, Customers_raw!B:B), "Unknown Customer")</f>
        <v>Anthony Williams</v>
      </c>
      <c r="D154" s="1">
        <v>45947</v>
      </c>
      <c r="E154" s="1" t="str">
        <f t="shared" si="6"/>
        <v>2025-10</v>
      </c>
      <c r="F154" t="s">
        <v>14</v>
      </c>
      <c r="G154" t="s">
        <v>7</v>
      </c>
      <c r="H154">
        <v>2</v>
      </c>
      <c r="I154" s="2">
        <v>58</v>
      </c>
      <c r="J154" s="2">
        <f t="shared" si="7"/>
        <v>116</v>
      </c>
      <c r="K154" s="2" t="str">
        <f t="shared" si="8"/>
        <v>Sale</v>
      </c>
      <c r="L154" t="s">
        <v>8</v>
      </c>
    </row>
    <row r="155" spans="1:12" x14ac:dyDescent="0.25">
      <c r="A155">
        <v>5153</v>
      </c>
      <c r="B155">
        <v>100</v>
      </c>
      <c r="C155" s="5" t="str">
        <f>IFERROR(_xlfn.XLOOKUP(B155, Customers_raw!A:A, Customers_raw!B:B), "Unknown Customer")</f>
        <v>Susan Williams</v>
      </c>
      <c r="D155" s="1">
        <v>45952</v>
      </c>
      <c r="E155" s="1" t="str">
        <f t="shared" si="6"/>
        <v>2025-10</v>
      </c>
      <c r="F155" t="s">
        <v>14</v>
      </c>
      <c r="G155" t="s">
        <v>7</v>
      </c>
      <c r="H155">
        <v>2</v>
      </c>
      <c r="I155" s="2">
        <v>52</v>
      </c>
      <c r="J155" s="2">
        <f t="shared" si="7"/>
        <v>104</v>
      </c>
      <c r="K155" s="2" t="str">
        <f t="shared" si="8"/>
        <v>Sale</v>
      </c>
      <c r="L155" t="s">
        <v>27</v>
      </c>
    </row>
    <row r="156" spans="1:12" x14ac:dyDescent="0.25">
      <c r="A156">
        <v>5154</v>
      </c>
      <c r="B156">
        <v>76</v>
      </c>
      <c r="C156" s="5" t="str">
        <f>IFERROR(_xlfn.XLOOKUP(B156, Customers_raw!A:A, Customers_raw!B:B), "Unknown Customer")</f>
        <v>Thomas Anderson</v>
      </c>
      <c r="D156" s="1">
        <v>45737</v>
      </c>
      <c r="E156" s="1" t="str">
        <f t="shared" si="6"/>
        <v>2025-03</v>
      </c>
      <c r="F156" t="s">
        <v>22</v>
      </c>
      <c r="G156" t="s">
        <v>17</v>
      </c>
      <c r="H156">
        <v>2</v>
      </c>
      <c r="I156" s="2">
        <v>27</v>
      </c>
      <c r="J156" s="2">
        <f t="shared" si="7"/>
        <v>54</v>
      </c>
      <c r="K156" s="2" t="str">
        <f t="shared" si="8"/>
        <v>Sale</v>
      </c>
      <c r="L156" t="s">
        <v>5</v>
      </c>
    </row>
    <row r="157" spans="1:12" x14ac:dyDescent="0.25">
      <c r="A157">
        <v>5155</v>
      </c>
      <c r="B157">
        <v>61</v>
      </c>
      <c r="C157" s="5" t="str">
        <f>IFERROR(_xlfn.XLOOKUP(B157, Customers_raw!A:A, Customers_raw!B:B), "Unknown Customer")</f>
        <v>Jennifer Harris</v>
      </c>
      <c r="D157" s="1">
        <v>45735</v>
      </c>
      <c r="E157" s="1" t="str">
        <f t="shared" si="6"/>
        <v>2025-03</v>
      </c>
      <c r="F157" t="s">
        <v>9</v>
      </c>
      <c r="G157" t="s">
        <v>6</v>
      </c>
      <c r="H157">
        <v>2</v>
      </c>
      <c r="I157" s="2">
        <v>42</v>
      </c>
      <c r="J157" s="2">
        <f t="shared" si="7"/>
        <v>84</v>
      </c>
      <c r="K157" s="2" t="str">
        <f t="shared" si="8"/>
        <v>Sale</v>
      </c>
      <c r="L157" t="s">
        <v>8</v>
      </c>
    </row>
    <row r="158" spans="1:12" x14ac:dyDescent="0.25">
      <c r="A158">
        <v>5156</v>
      </c>
      <c r="B158">
        <v>28</v>
      </c>
      <c r="C158" s="5" t="str">
        <f>IFERROR(_xlfn.XLOOKUP(B158, Customers_raw!A:A, Customers_raw!B:B), "Unknown Customer")</f>
        <v>Michael Lopez</v>
      </c>
      <c r="D158" s="1">
        <v>45872</v>
      </c>
      <c r="E158" s="1" t="str">
        <f t="shared" si="6"/>
        <v>2025-08</v>
      </c>
      <c r="F158" t="s">
        <v>12</v>
      </c>
      <c r="G158" t="s">
        <v>10</v>
      </c>
      <c r="H158">
        <v>1</v>
      </c>
      <c r="I158" s="2">
        <v>22</v>
      </c>
      <c r="J158" s="2">
        <f t="shared" si="7"/>
        <v>22</v>
      </c>
      <c r="K158" s="2" t="str">
        <f t="shared" si="8"/>
        <v>Sale</v>
      </c>
      <c r="L158" t="s">
        <v>8</v>
      </c>
    </row>
    <row r="159" spans="1:12" x14ac:dyDescent="0.25">
      <c r="A159">
        <v>5157</v>
      </c>
      <c r="B159">
        <v>94</v>
      </c>
      <c r="C159" s="5" t="str">
        <f>IFERROR(_xlfn.XLOOKUP(B159, Customers_raw!A:A, Customers_raw!B:B), "Unknown Customer")</f>
        <v>Kenneth Jones</v>
      </c>
      <c r="D159" s="1">
        <v>45753</v>
      </c>
      <c r="E159" s="1" t="str">
        <f t="shared" si="6"/>
        <v>2025-04</v>
      </c>
      <c r="F159" t="s">
        <v>19</v>
      </c>
      <c r="G159" t="s">
        <v>17</v>
      </c>
      <c r="H159">
        <v>1</v>
      </c>
      <c r="I159" s="2">
        <v>19</v>
      </c>
      <c r="J159" s="2">
        <f t="shared" si="7"/>
        <v>19</v>
      </c>
      <c r="K159" s="2" t="str">
        <f t="shared" si="8"/>
        <v>Sale</v>
      </c>
      <c r="L159" t="s">
        <v>5</v>
      </c>
    </row>
    <row r="160" spans="1:12" x14ac:dyDescent="0.25">
      <c r="A160">
        <v>5158</v>
      </c>
      <c r="B160">
        <v>81</v>
      </c>
      <c r="C160" s="5" t="str">
        <f>IFERROR(_xlfn.XLOOKUP(B160, Customers_raw!A:A, Customers_raw!B:B), "Unknown Customer")</f>
        <v>Sarah Moore</v>
      </c>
      <c r="D160" s="1">
        <v>46021</v>
      </c>
      <c r="E160" s="1" t="str">
        <f t="shared" si="6"/>
        <v>2025-12</v>
      </c>
      <c r="F160" t="s">
        <v>15</v>
      </c>
      <c r="G160" t="s">
        <v>7</v>
      </c>
      <c r="H160">
        <v>2</v>
      </c>
      <c r="I160" s="2">
        <v>70</v>
      </c>
      <c r="J160" s="2">
        <f t="shared" si="7"/>
        <v>140</v>
      </c>
      <c r="K160" s="2" t="str">
        <f t="shared" si="8"/>
        <v>Sale</v>
      </c>
      <c r="L160" t="s">
        <v>8</v>
      </c>
    </row>
    <row r="161" spans="1:12" x14ac:dyDescent="0.25">
      <c r="A161">
        <v>5159</v>
      </c>
      <c r="B161">
        <v>8</v>
      </c>
      <c r="C161" s="5" t="str">
        <f>IFERROR(_xlfn.XLOOKUP(B161, Customers_raw!A:A, Customers_raw!B:B), "Unknown Customer")</f>
        <v>Lisa Brown</v>
      </c>
      <c r="D161" s="1">
        <v>45991</v>
      </c>
      <c r="E161" s="1" t="str">
        <f t="shared" si="6"/>
        <v>2025-11</v>
      </c>
      <c r="F161" t="s">
        <v>16</v>
      </c>
      <c r="G161" t="s">
        <v>10</v>
      </c>
      <c r="H161">
        <v>1</v>
      </c>
      <c r="I161" s="2">
        <v>28</v>
      </c>
      <c r="J161" s="2">
        <f t="shared" si="7"/>
        <v>28</v>
      </c>
      <c r="K161" s="2" t="str">
        <f t="shared" si="8"/>
        <v>Sale</v>
      </c>
      <c r="L161" t="s">
        <v>23</v>
      </c>
    </row>
    <row r="162" spans="1:12" x14ac:dyDescent="0.25">
      <c r="A162">
        <v>5160</v>
      </c>
      <c r="B162">
        <v>78</v>
      </c>
      <c r="C162" s="5" t="str">
        <f>IFERROR(_xlfn.XLOOKUP(B162, Customers_raw!A:A, Customers_raw!B:B), "Unknown Customer")</f>
        <v>Sandra Garcia</v>
      </c>
      <c r="D162" s="1">
        <v>45967</v>
      </c>
      <c r="E162" s="1" t="str">
        <f t="shared" si="6"/>
        <v>2025-11</v>
      </c>
      <c r="F162" t="s">
        <v>16</v>
      </c>
      <c r="G162" t="s">
        <v>10</v>
      </c>
      <c r="H162">
        <v>2</v>
      </c>
      <c r="I162" s="2">
        <v>28</v>
      </c>
      <c r="J162" s="2">
        <f t="shared" si="7"/>
        <v>56</v>
      </c>
      <c r="K162" s="2" t="str">
        <f t="shared" si="8"/>
        <v>Sale</v>
      </c>
      <c r="L162" t="s">
        <v>27</v>
      </c>
    </row>
    <row r="163" spans="1:12" x14ac:dyDescent="0.25">
      <c r="A163">
        <v>5161</v>
      </c>
      <c r="B163">
        <v>103</v>
      </c>
      <c r="C163" s="5" t="str">
        <f>IFERROR(_xlfn.XLOOKUP(B163, Customers_raw!A:A, Customers_raw!B:B), "Unknown Customer")</f>
        <v>Mark Wilson</v>
      </c>
      <c r="D163" s="1">
        <v>45843</v>
      </c>
      <c r="E163" s="1" t="str">
        <f t="shared" si="6"/>
        <v>2025-07</v>
      </c>
      <c r="F163" t="s">
        <v>12</v>
      </c>
      <c r="G163" t="s">
        <v>10</v>
      </c>
      <c r="H163">
        <v>3</v>
      </c>
      <c r="I163" s="2">
        <v>22.047244094488189</v>
      </c>
      <c r="J163" s="2">
        <f t="shared" si="7"/>
        <v>66.141732283464563</v>
      </c>
      <c r="K163" s="2" t="str">
        <f t="shared" si="8"/>
        <v>Sale</v>
      </c>
      <c r="L163" t="s">
        <v>8</v>
      </c>
    </row>
    <row r="164" spans="1:12" x14ac:dyDescent="0.25">
      <c r="A164">
        <v>5162</v>
      </c>
      <c r="B164">
        <v>35</v>
      </c>
      <c r="C164" s="5" t="str">
        <f>IFERROR(_xlfn.XLOOKUP(B164, Customers_raw!A:A, Customers_raw!B:B), "Unknown Customer")</f>
        <v>Richard Clark</v>
      </c>
      <c r="D164" s="1">
        <v>45828</v>
      </c>
      <c r="E164" s="1" t="str">
        <f t="shared" si="6"/>
        <v>2025-06</v>
      </c>
      <c r="F164" t="s">
        <v>21</v>
      </c>
      <c r="G164" t="s">
        <v>17</v>
      </c>
      <c r="H164">
        <v>1</v>
      </c>
      <c r="I164" s="2">
        <v>57</v>
      </c>
      <c r="J164" s="2">
        <f t="shared" si="7"/>
        <v>57</v>
      </c>
      <c r="K164" s="2" t="str">
        <f t="shared" si="8"/>
        <v>Sale</v>
      </c>
      <c r="L164" t="s">
        <v>27</v>
      </c>
    </row>
    <row r="165" spans="1:12" x14ac:dyDescent="0.25">
      <c r="A165">
        <v>5163</v>
      </c>
      <c r="B165">
        <v>93</v>
      </c>
      <c r="C165" s="5" t="str">
        <f>IFERROR(_xlfn.XLOOKUP(B165, Customers_raw!A:A, Customers_raw!B:B), "Unknown Customer")</f>
        <v>Charles Sanchez</v>
      </c>
      <c r="D165" s="1">
        <v>45735</v>
      </c>
      <c r="E165" s="1" t="str">
        <f t="shared" si="6"/>
        <v>2025-03</v>
      </c>
      <c r="F165" t="s">
        <v>16</v>
      </c>
      <c r="G165" t="s">
        <v>10</v>
      </c>
      <c r="H165">
        <v>2</v>
      </c>
      <c r="I165" s="2">
        <v>28</v>
      </c>
      <c r="J165" s="2">
        <f t="shared" si="7"/>
        <v>56</v>
      </c>
      <c r="K165" s="2" t="str">
        <f t="shared" si="8"/>
        <v>Sale</v>
      </c>
      <c r="L165" t="s">
        <v>8</v>
      </c>
    </row>
    <row r="166" spans="1:12" x14ac:dyDescent="0.25">
      <c r="A166">
        <v>5164</v>
      </c>
      <c r="B166">
        <v>88</v>
      </c>
      <c r="C166" s="5" t="str">
        <f>IFERROR(_xlfn.XLOOKUP(B166, Customers_raw!A:A, Customers_raw!B:B), "Unknown Customer")</f>
        <v>Michael Wilson</v>
      </c>
      <c r="D166" s="1">
        <v>45966</v>
      </c>
      <c r="E166" s="1" t="str">
        <f t="shared" si="6"/>
        <v>2025-11</v>
      </c>
      <c r="F166" t="s">
        <v>14</v>
      </c>
      <c r="G166" t="s">
        <v>7</v>
      </c>
      <c r="H166">
        <v>2</v>
      </c>
      <c r="I166" s="2">
        <v>55</v>
      </c>
      <c r="J166" s="2">
        <f t="shared" si="7"/>
        <v>110</v>
      </c>
      <c r="K166" s="2" t="str">
        <f t="shared" si="8"/>
        <v>Sale</v>
      </c>
      <c r="L166" t="s">
        <v>5</v>
      </c>
    </row>
    <row r="167" spans="1:12" x14ac:dyDescent="0.25">
      <c r="A167">
        <v>5165</v>
      </c>
      <c r="B167">
        <v>34</v>
      </c>
      <c r="C167" s="5" t="str">
        <f>IFERROR(_xlfn.XLOOKUP(B167, Customers_raw!A:A, Customers_raw!B:B), "Unknown Customer")</f>
        <v>Joseph Jackson</v>
      </c>
      <c r="D167" s="1">
        <v>45874</v>
      </c>
      <c r="E167" s="1" t="str">
        <f t="shared" si="6"/>
        <v>2025-08</v>
      </c>
      <c r="F167" t="s">
        <v>18</v>
      </c>
      <c r="G167" t="s">
        <v>6</v>
      </c>
      <c r="H167">
        <v>2</v>
      </c>
      <c r="I167" s="2">
        <v>89.144230769230774</v>
      </c>
      <c r="J167" s="2">
        <f t="shared" si="7"/>
        <v>178.28846153846155</v>
      </c>
      <c r="K167" s="2" t="str">
        <f t="shared" si="8"/>
        <v>Sale</v>
      </c>
      <c r="L167" t="s">
        <v>27</v>
      </c>
    </row>
    <row r="168" spans="1:12" x14ac:dyDescent="0.25">
      <c r="A168">
        <v>5166</v>
      </c>
      <c r="B168">
        <v>19</v>
      </c>
      <c r="C168" s="5" t="str">
        <f>IFERROR(_xlfn.XLOOKUP(B168, Customers_raw!A:A, Customers_raw!B:B), "Unknown Customer")</f>
        <v>Ashley Williams</v>
      </c>
      <c r="D168" s="1">
        <v>45879</v>
      </c>
      <c r="E168" s="1" t="str">
        <f t="shared" si="6"/>
        <v>2025-08</v>
      </c>
      <c r="F168" t="s">
        <v>18</v>
      </c>
      <c r="G168" t="s">
        <v>6</v>
      </c>
      <c r="H168">
        <v>1</v>
      </c>
      <c r="I168" s="2">
        <v>92</v>
      </c>
      <c r="J168" s="2">
        <f t="shared" si="7"/>
        <v>92</v>
      </c>
      <c r="K168" s="2" t="str">
        <f t="shared" si="8"/>
        <v>Sale</v>
      </c>
      <c r="L168" t="s">
        <v>8</v>
      </c>
    </row>
    <row r="169" spans="1:12" x14ac:dyDescent="0.25">
      <c r="A169">
        <v>5167</v>
      </c>
      <c r="B169">
        <v>26</v>
      </c>
      <c r="C169" s="5" t="str">
        <f>IFERROR(_xlfn.XLOOKUP(B169, Customers_raw!A:A, Customers_raw!B:B), "Unknown Customer")</f>
        <v>Betty Johnson</v>
      </c>
      <c r="D169" s="1">
        <v>45777</v>
      </c>
      <c r="E169" s="1" t="str">
        <f t="shared" si="6"/>
        <v>2025-04</v>
      </c>
      <c r="F169" t="s">
        <v>19</v>
      </c>
      <c r="G169" t="s">
        <v>17</v>
      </c>
      <c r="H169">
        <v>2</v>
      </c>
      <c r="I169" s="2">
        <v>19.095238095238095</v>
      </c>
      <c r="J169" s="2">
        <f t="shared" si="7"/>
        <v>38.19047619047619</v>
      </c>
      <c r="K169" s="2" t="str">
        <f t="shared" si="8"/>
        <v>Sale</v>
      </c>
      <c r="L169" t="s">
        <v>8</v>
      </c>
    </row>
    <row r="170" spans="1:12" x14ac:dyDescent="0.25">
      <c r="A170">
        <v>5168</v>
      </c>
      <c r="B170">
        <v>91</v>
      </c>
      <c r="C170" s="5" t="str">
        <f>IFERROR(_xlfn.XLOOKUP(B170, Customers_raw!A:A, Customers_raw!B:B), "Unknown Customer")</f>
        <v>Donald Rodriguez</v>
      </c>
      <c r="D170" s="1">
        <v>45788</v>
      </c>
      <c r="E170" s="1" t="str">
        <f t="shared" si="6"/>
        <v>2025-05</v>
      </c>
      <c r="F170" t="s">
        <v>9</v>
      </c>
      <c r="G170" t="s">
        <v>6</v>
      </c>
      <c r="H170">
        <v>2</v>
      </c>
      <c r="I170" s="2">
        <v>45</v>
      </c>
      <c r="J170" s="2">
        <f t="shared" si="7"/>
        <v>90</v>
      </c>
      <c r="K170" s="2" t="str">
        <f t="shared" si="8"/>
        <v>Sale</v>
      </c>
      <c r="L170" t="s">
        <v>27</v>
      </c>
    </row>
    <row r="171" spans="1:12" x14ac:dyDescent="0.25">
      <c r="A171">
        <v>5169</v>
      </c>
      <c r="B171">
        <v>104</v>
      </c>
      <c r="C171" s="5" t="str">
        <f>IFERROR(_xlfn.XLOOKUP(B171, Customers_raw!A:A, Customers_raw!B:B), "Unknown Customer")</f>
        <v>Christopher Brown</v>
      </c>
      <c r="D171" s="1">
        <v>45690</v>
      </c>
      <c r="E171" s="1" t="str">
        <f t="shared" si="6"/>
        <v>2025-02</v>
      </c>
      <c r="F171" t="s">
        <v>11</v>
      </c>
      <c r="G171" t="s">
        <v>6</v>
      </c>
      <c r="H171">
        <v>2</v>
      </c>
      <c r="I171" s="2">
        <v>21</v>
      </c>
      <c r="J171" s="2">
        <f t="shared" si="7"/>
        <v>42</v>
      </c>
      <c r="K171" s="2" t="str">
        <f t="shared" si="8"/>
        <v>Sale</v>
      </c>
      <c r="L171" t="s">
        <v>27</v>
      </c>
    </row>
    <row r="172" spans="1:12" x14ac:dyDescent="0.25">
      <c r="A172">
        <v>5170</v>
      </c>
      <c r="B172">
        <v>42</v>
      </c>
      <c r="C172" s="5" t="str">
        <f>IFERROR(_xlfn.XLOOKUP(B172, Customers_raw!A:A, Customers_raw!B:B), "Unknown Customer")</f>
        <v>Jennifer Harris</v>
      </c>
      <c r="D172" s="1">
        <v>45917</v>
      </c>
      <c r="E172" s="1" t="str">
        <f t="shared" si="6"/>
        <v>2025-09</v>
      </c>
      <c r="F172" t="s">
        <v>13</v>
      </c>
      <c r="G172" t="s">
        <v>7</v>
      </c>
      <c r="H172">
        <v>1</v>
      </c>
      <c r="I172" s="2">
        <v>32</v>
      </c>
      <c r="J172" s="2">
        <f t="shared" si="7"/>
        <v>32</v>
      </c>
      <c r="K172" s="2" t="str">
        <f t="shared" si="8"/>
        <v>Sale</v>
      </c>
      <c r="L172" t="s">
        <v>27</v>
      </c>
    </row>
    <row r="173" spans="1:12" x14ac:dyDescent="0.25">
      <c r="A173">
        <v>5171</v>
      </c>
      <c r="B173">
        <v>104</v>
      </c>
      <c r="C173" s="5" t="str">
        <f>IFERROR(_xlfn.XLOOKUP(B173, Customers_raw!A:A, Customers_raw!B:B), "Unknown Customer")</f>
        <v>Christopher Brown</v>
      </c>
      <c r="D173" s="1">
        <v>45806</v>
      </c>
      <c r="E173" s="1" t="str">
        <f t="shared" si="6"/>
        <v>2025-05</v>
      </c>
      <c r="F173" t="s">
        <v>19</v>
      </c>
      <c r="G173" t="s">
        <v>17</v>
      </c>
      <c r="H173">
        <v>1</v>
      </c>
      <c r="I173" s="2">
        <v>19.095238095238095</v>
      </c>
      <c r="J173" s="2">
        <f t="shared" si="7"/>
        <v>19.095238095238095</v>
      </c>
      <c r="K173" s="2" t="str">
        <f t="shared" si="8"/>
        <v>Sale</v>
      </c>
      <c r="L173" t="s">
        <v>27</v>
      </c>
    </row>
    <row r="174" spans="1:12" x14ac:dyDescent="0.25">
      <c r="A174">
        <v>5172</v>
      </c>
      <c r="B174">
        <v>110</v>
      </c>
      <c r="C174" s="5" t="str">
        <f>IFERROR(_xlfn.XLOOKUP(B174, Customers_raw!A:A, Customers_raw!B:B), "Unknown Customer")</f>
        <v>Betty Walker</v>
      </c>
      <c r="D174" s="1">
        <v>45784</v>
      </c>
      <c r="E174" s="1" t="str">
        <f t="shared" si="6"/>
        <v>2025-05</v>
      </c>
      <c r="F174" t="s">
        <v>20</v>
      </c>
      <c r="G174" t="s">
        <v>10</v>
      </c>
      <c r="H174">
        <v>2</v>
      </c>
      <c r="I174" s="2">
        <v>65</v>
      </c>
      <c r="J174" s="2">
        <f t="shared" si="7"/>
        <v>130</v>
      </c>
      <c r="K174" s="2" t="str">
        <f t="shared" si="8"/>
        <v>Sale</v>
      </c>
      <c r="L174" t="s">
        <v>5</v>
      </c>
    </row>
    <row r="175" spans="1:12" x14ac:dyDescent="0.25">
      <c r="A175">
        <v>5173</v>
      </c>
      <c r="B175">
        <v>60</v>
      </c>
      <c r="C175" s="5" t="str">
        <f>IFERROR(_xlfn.XLOOKUP(B175, Customers_raw!A:A, Customers_raw!B:B), "Unknown Customer")</f>
        <v>Margaret Moore</v>
      </c>
      <c r="D175" s="1">
        <v>45737</v>
      </c>
      <c r="E175" s="1" t="str">
        <f t="shared" si="6"/>
        <v>2025-03</v>
      </c>
      <c r="F175" t="s">
        <v>12</v>
      </c>
      <c r="G175" t="s">
        <v>10</v>
      </c>
      <c r="H175">
        <v>2</v>
      </c>
      <c r="I175" s="2">
        <v>19</v>
      </c>
      <c r="J175" s="2">
        <f t="shared" si="7"/>
        <v>38</v>
      </c>
      <c r="K175" s="2" t="str">
        <f t="shared" si="8"/>
        <v>Sale</v>
      </c>
      <c r="L175" t="s">
        <v>27</v>
      </c>
    </row>
    <row r="176" spans="1:12" x14ac:dyDescent="0.25">
      <c r="A176">
        <v>5174</v>
      </c>
      <c r="B176">
        <v>78</v>
      </c>
      <c r="C176" s="5" t="str">
        <f>IFERROR(_xlfn.XLOOKUP(B176, Customers_raw!A:A, Customers_raw!B:B), "Unknown Customer")</f>
        <v>Sandra Garcia</v>
      </c>
      <c r="D176" s="1">
        <v>45706</v>
      </c>
      <c r="E176" s="1" t="str">
        <f t="shared" si="6"/>
        <v>2025-02</v>
      </c>
      <c r="F176" t="s">
        <v>16</v>
      </c>
      <c r="G176" t="s">
        <v>10</v>
      </c>
      <c r="H176">
        <v>1</v>
      </c>
      <c r="I176" s="2">
        <v>31</v>
      </c>
      <c r="J176" s="2">
        <f t="shared" si="7"/>
        <v>31</v>
      </c>
      <c r="K176" s="2" t="str">
        <f t="shared" si="8"/>
        <v>Sale</v>
      </c>
      <c r="L176" t="s">
        <v>5</v>
      </c>
    </row>
    <row r="177" spans="1:12" x14ac:dyDescent="0.25">
      <c r="A177">
        <v>5175</v>
      </c>
      <c r="B177">
        <v>100</v>
      </c>
      <c r="C177" s="5" t="str">
        <f>IFERROR(_xlfn.XLOOKUP(B177, Customers_raw!A:A, Customers_raw!B:B), "Unknown Customer")</f>
        <v>Susan Williams</v>
      </c>
      <c r="D177" s="1">
        <v>45876</v>
      </c>
      <c r="E177" s="1" t="str">
        <f t="shared" si="6"/>
        <v>2025-08</v>
      </c>
      <c r="F177" t="s">
        <v>18</v>
      </c>
      <c r="G177" t="s">
        <v>6</v>
      </c>
      <c r="H177">
        <v>2</v>
      </c>
      <c r="I177" s="2">
        <v>92</v>
      </c>
      <c r="J177" s="2">
        <f t="shared" si="7"/>
        <v>184</v>
      </c>
      <c r="K177" s="2" t="str">
        <f t="shared" si="8"/>
        <v>Sale</v>
      </c>
      <c r="L177" t="s">
        <v>5</v>
      </c>
    </row>
    <row r="178" spans="1:12" x14ac:dyDescent="0.25">
      <c r="A178">
        <v>5176</v>
      </c>
      <c r="B178">
        <v>108</v>
      </c>
      <c r="C178" s="5" t="str">
        <f>IFERROR(_xlfn.XLOOKUP(B178, Customers_raw!A:A, Customers_raw!B:B), "Unknown Customer")</f>
        <v>Charles Perez</v>
      </c>
      <c r="D178" s="1">
        <v>45831</v>
      </c>
      <c r="E178" s="1" t="str">
        <f t="shared" si="6"/>
        <v>2025-06</v>
      </c>
      <c r="F178" t="s">
        <v>16</v>
      </c>
      <c r="G178" t="s">
        <v>10</v>
      </c>
      <c r="H178">
        <v>1</v>
      </c>
      <c r="I178" s="2">
        <v>28</v>
      </c>
      <c r="J178" s="2">
        <f t="shared" si="7"/>
        <v>28</v>
      </c>
      <c r="K178" s="2" t="str">
        <f t="shared" si="8"/>
        <v>Sale</v>
      </c>
      <c r="L178" t="s">
        <v>8</v>
      </c>
    </row>
    <row r="179" spans="1:12" x14ac:dyDescent="0.25">
      <c r="A179">
        <v>5177</v>
      </c>
      <c r="B179">
        <v>5</v>
      </c>
      <c r="C179" s="5" t="str">
        <f>IFERROR(_xlfn.XLOOKUP(B179, Customers_raw!A:A, Customers_raw!B:B), "Unknown Customer")</f>
        <v>Joshua Martin</v>
      </c>
      <c r="D179" s="1">
        <v>45907</v>
      </c>
      <c r="E179" s="1" t="str">
        <f t="shared" si="6"/>
        <v>2025-09</v>
      </c>
      <c r="F179" t="s">
        <v>15</v>
      </c>
      <c r="G179" t="s">
        <v>7</v>
      </c>
      <c r="H179">
        <v>2</v>
      </c>
      <c r="I179" s="2">
        <v>67</v>
      </c>
      <c r="J179" s="2">
        <f t="shared" si="7"/>
        <v>134</v>
      </c>
      <c r="K179" s="2" t="str">
        <f t="shared" si="8"/>
        <v>Sale</v>
      </c>
      <c r="L179" t="s">
        <v>8</v>
      </c>
    </row>
    <row r="180" spans="1:12" x14ac:dyDescent="0.25">
      <c r="A180">
        <v>5178</v>
      </c>
      <c r="B180">
        <v>91</v>
      </c>
      <c r="C180" s="5" t="str">
        <f>IFERROR(_xlfn.XLOOKUP(B180, Customers_raw!A:A, Customers_raw!B:B), "Unknown Customer")</f>
        <v>Donald Rodriguez</v>
      </c>
      <c r="D180" s="1">
        <v>45996</v>
      </c>
      <c r="E180" s="1" t="str">
        <f t="shared" si="6"/>
        <v>2025-12</v>
      </c>
      <c r="F180" t="s">
        <v>12</v>
      </c>
      <c r="G180" t="s">
        <v>10</v>
      </c>
      <c r="H180">
        <v>2</v>
      </c>
      <c r="I180" s="2">
        <v>22</v>
      </c>
      <c r="J180" s="2">
        <f t="shared" si="7"/>
        <v>44</v>
      </c>
      <c r="K180" s="2" t="str">
        <f t="shared" si="8"/>
        <v>Sale</v>
      </c>
      <c r="L180" t="s">
        <v>5</v>
      </c>
    </row>
    <row r="181" spans="1:12" x14ac:dyDescent="0.25">
      <c r="A181">
        <v>5179</v>
      </c>
      <c r="B181">
        <v>65</v>
      </c>
      <c r="C181" s="5" t="str">
        <f>IFERROR(_xlfn.XLOOKUP(B181, Customers_raw!A:A, Customers_raw!B:B), "Unknown Customer")</f>
        <v>Betty Jones</v>
      </c>
      <c r="D181" s="1">
        <v>45751</v>
      </c>
      <c r="E181" s="1" t="str">
        <f t="shared" si="6"/>
        <v>2025-04</v>
      </c>
      <c r="F181" t="s">
        <v>14</v>
      </c>
      <c r="G181" t="s">
        <v>7</v>
      </c>
      <c r="H181">
        <v>1</v>
      </c>
      <c r="I181" s="2">
        <v>54.794117647058826</v>
      </c>
      <c r="J181" s="2">
        <f t="shared" si="7"/>
        <v>54.794117647058826</v>
      </c>
      <c r="K181" s="2" t="str">
        <f t="shared" si="8"/>
        <v>Sale</v>
      </c>
      <c r="L181" t="s">
        <v>27</v>
      </c>
    </row>
    <row r="182" spans="1:12" x14ac:dyDescent="0.25">
      <c r="A182">
        <v>5180</v>
      </c>
      <c r="B182">
        <v>5</v>
      </c>
      <c r="C182" s="5" t="str">
        <f>IFERROR(_xlfn.XLOOKUP(B182, Customers_raw!A:A, Customers_raw!B:B), "Unknown Customer")</f>
        <v>Joshua Martin</v>
      </c>
      <c r="D182" s="1">
        <v>45838</v>
      </c>
      <c r="E182" s="1" t="str">
        <f t="shared" si="6"/>
        <v>2025-06</v>
      </c>
      <c r="F182" t="s">
        <v>18</v>
      </c>
      <c r="G182" t="s">
        <v>6</v>
      </c>
      <c r="H182">
        <v>2</v>
      </c>
      <c r="I182" s="2">
        <v>86</v>
      </c>
      <c r="J182" s="2">
        <f t="shared" si="7"/>
        <v>172</v>
      </c>
      <c r="K182" s="2" t="str">
        <f t="shared" si="8"/>
        <v>Sale</v>
      </c>
      <c r="L182" t="s">
        <v>27</v>
      </c>
    </row>
    <row r="183" spans="1:12" x14ac:dyDescent="0.25">
      <c r="A183">
        <v>5181</v>
      </c>
      <c r="B183">
        <v>91</v>
      </c>
      <c r="C183" s="5" t="str">
        <f>IFERROR(_xlfn.XLOOKUP(B183, Customers_raw!A:A, Customers_raw!B:B), "Unknown Customer")</f>
        <v>Donald Rodriguez</v>
      </c>
      <c r="D183" s="1">
        <v>45989</v>
      </c>
      <c r="E183" s="1" t="str">
        <f t="shared" si="6"/>
        <v>2025-11</v>
      </c>
      <c r="F183" t="s">
        <v>19</v>
      </c>
      <c r="G183" t="s">
        <v>17</v>
      </c>
      <c r="H183">
        <v>1</v>
      </c>
      <c r="I183" s="2">
        <v>16</v>
      </c>
      <c r="J183" s="2">
        <f t="shared" si="7"/>
        <v>16</v>
      </c>
      <c r="K183" s="2" t="str">
        <f t="shared" si="8"/>
        <v>Sale</v>
      </c>
      <c r="L183" t="s">
        <v>8</v>
      </c>
    </row>
    <row r="184" spans="1:12" x14ac:dyDescent="0.25">
      <c r="A184">
        <v>5182</v>
      </c>
      <c r="B184">
        <v>26</v>
      </c>
      <c r="C184" s="5" t="str">
        <f>IFERROR(_xlfn.XLOOKUP(B184, Customers_raw!A:A, Customers_raw!B:B), "Unknown Customer")</f>
        <v>Betty Johnson</v>
      </c>
      <c r="D184" s="1">
        <v>45694</v>
      </c>
      <c r="E184" s="1" t="str">
        <f t="shared" si="6"/>
        <v>2025-02</v>
      </c>
      <c r="F184" t="s">
        <v>22</v>
      </c>
      <c r="G184" t="s">
        <v>17</v>
      </c>
      <c r="H184">
        <v>3</v>
      </c>
      <c r="I184" s="2">
        <v>21</v>
      </c>
      <c r="J184" s="2">
        <f t="shared" si="7"/>
        <v>63</v>
      </c>
      <c r="K184" s="2" t="str">
        <f t="shared" si="8"/>
        <v>Sale</v>
      </c>
      <c r="L184" t="s">
        <v>5</v>
      </c>
    </row>
    <row r="185" spans="1:12" x14ac:dyDescent="0.25">
      <c r="A185">
        <v>5183</v>
      </c>
      <c r="B185">
        <v>33</v>
      </c>
      <c r="C185" s="5" t="str">
        <f>IFERROR(_xlfn.XLOOKUP(B185, Customers_raw!A:A, Customers_raw!B:B), "Unknown Customer")</f>
        <v>Jennifer White</v>
      </c>
      <c r="D185" s="1">
        <v>45780</v>
      </c>
      <c r="E185" s="1" t="str">
        <f t="shared" si="6"/>
        <v>2025-05</v>
      </c>
      <c r="F185" t="s">
        <v>14</v>
      </c>
      <c r="G185" t="s">
        <v>7</v>
      </c>
      <c r="H185">
        <v>2</v>
      </c>
      <c r="I185" s="2">
        <v>55</v>
      </c>
      <c r="J185" s="2">
        <f t="shared" si="7"/>
        <v>110</v>
      </c>
      <c r="K185" s="2" t="str">
        <f t="shared" si="8"/>
        <v>Sale</v>
      </c>
      <c r="L185" t="s">
        <v>27</v>
      </c>
    </row>
    <row r="186" spans="1:12" x14ac:dyDescent="0.25">
      <c r="A186">
        <v>5184</v>
      </c>
      <c r="B186">
        <v>104</v>
      </c>
      <c r="C186" s="5" t="str">
        <f>IFERROR(_xlfn.XLOOKUP(B186, Customers_raw!A:A, Customers_raw!B:B), "Unknown Customer")</f>
        <v>Christopher Brown</v>
      </c>
      <c r="D186" s="1">
        <v>46004</v>
      </c>
      <c r="E186" s="1" t="str">
        <f t="shared" si="6"/>
        <v>2025-12</v>
      </c>
      <c r="F186" t="s">
        <v>20</v>
      </c>
      <c r="G186" t="s">
        <v>10</v>
      </c>
      <c r="H186">
        <v>2</v>
      </c>
      <c r="I186" s="2">
        <v>65</v>
      </c>
      <c r="J186" s="2">
        <f t="shared" si="7"/>
        <v>130</v>
      </c>
      <c r="K186" s="2" t="str">
        <f t="shared" si="8"/>
        <v>Sale</v>
      </c>
      <c r="L186" t="s">
        <v>27</v>
      </c>
    </row>
    <row r="187" spans="1:12" x14ac:dyDescent="0.25">
      <c r="A187">
        <v>5185</v>
      </c>
      <c r="B187">
        <v>10</v>
      </c>
      <c r="C187" s="5" t="str">
        <f>IFERROR(_xlfn.XLOOKUP(B187, Customers_raw!A:A, Customers_raw!B:B), "Unknown Customer")</f>
        <v>Karen Davis</v>
      </c>
      <c r="D187" s="1">
        <v>45849</v>
      </c>
      <c r="E187" s="1" t="str">
        <f t="shared" si="6"/>
        <v>2025-07</v>
      </c>
      <c r="F187" t="s">
        <v>21</v>
      </c>
      <c r="G187" t="s">
        <v>17</v>
      </c>
      <c r="H187">
        <v>2</v>
      </c>
      <c r="I187" s="2">
        <v>57</v>
      </c>
      <c r="J187" s="2">
        <f t="shared" si="7"/>
        <v>114</v>
      </c>
      <c r="K187" s="2" t="str">
        <f t="shared" si="8"/>
        <v>Sale</v>
      </c>
      <c r="L187" t="s">
        <v>5</v>
      </c>
    </row>
    <row r="188" spans="1:12" x14ac:dyDescent="0.25">
      <c r="A188">
        <v>5186</v>
      </c>
      <c r="B188">
        <v>10</v>
      </c>
      <c r="C188" s="5" t="str">
        <f>IFERROR(_xlfn.XLOOKUP(B188, Customers_raw!A:A, Customers_raw!B:B), "Unknown Customer")</f>
        <v>Karen Davis</v>
      </c>
      <c r="D188" s="1">
        <v>45831</v>
      </c>
      <c r="E188" s="1" t="str">
        <f t="shared" si="6"/>
        <v>2025-06</v>
      </c>
      <c r="F188" t="s">
        <v>13</v>
      </c>
      <c r="G188" t="s">
        <v>7</v>
      </c>
      <c r="H188">
        <v>1</v>
      </c>
      <c r="I188" s="2">
        <v>32</v>
      </c>
      <c r="J188" s="2">
        <f t="shared" si="7"/>
        <v>32</v>
      </c>
      <c r="K188" s="2" t="str">
        <f t="shared" si="8"/>
        <v>Sale</v>
      </c>
      <c r="L188" t="s">
        <v>27</v>
      </c>
    </row>
    <row r="189" spans="1:12" x14ac:dyDescent="0.25">
      <c r="A189">
        <v>5187</v>
      </c>
      <c r="B189">
        <v>43</v>
      </c>
      <c r="C189" s="5" t="str">
        <f>IFERROR(_xlfn.XLOOKUP(B189, Customers_raw!A:A, Customers_raw!B:B), "Unknown Customer")</f>
        <v>Sandra Clark</v>
      </c>
      <c r="D189" s="1">
        <v>45687</v>
      </c>
      <c r="E189" s="1" t="str">
        <f t="shared" si="6"/>
        <v>2025-01</v>
      </c>
      <c r="F189" t="s">
        <v>9</v>
      </c>
      <c r="G189" t="s">
        <v>6</v>
      </c>
      <c r="H189">
        <v>3</v>
      </c>
      <c r="I189" s="2">
        <v>45.091836734693878</v>
      </c>
      <c r="J189" s="2">
        <f t="shared" si="7"/>
        <v>135.27551020408163</v>
      </c>
      <c r="K189" s="2" t="str">
        <f t="shared" si="8"/>
        <v>Sale</v>
      </c>
      <c r="L189" t="s">
        <v>8</v>
      </c>
    </row>
    <row r="190" spans="1:12" x14ac:dyDescent="0.25">
      <c r="A190">
        <v>5188</v>
      </c>
      <c r="B190">
        <v>45</v>
      </c>
      <c r="C190" s="5" t="str">
        <f>IFERROR(_xlfn.XLOOKUP(B190, Customers_raw!A:A, Customers_raw!B:B), "Unknown Customer")</f>
        <v>Michael Moore</v>
      </c>
      <c r="D190" s="1">
        <v>45794</v>
      </c>
      <c r="E190" s="1" t="str">
        <f t="shared" si="6"/>
        <v>2025-05</v>
      </c>
      <c r="F190" t="s">
        <v>20</v>
      </c>
      <c r="G190" t="s">
        <v>10</v>
      </c>
      <c r="H190">
        <v>2</v>
      </c>
      <c r="I190" s="2">
        <v>65</v>
      </c>
      <c r="J190" s="2">
        <f t="shared" si="7"/>
        <v>130</v>
      </c>
      <c r="K190" s="2" t="str">
        <f t="shared" si="8"/>
        <v>Sale</v>
      </c>
      <c r="L190" t="s">
        <v>5</v>
      </c>
    </row>
    <row r="191" spans="1:12" x14ac:dyDescent="0.25">
      <c r="A191">
        <v>5189</v>
      </c>
      <c r="B191">
        <v>74</v>
      </c>
      <c r="C191" s="5" t="str">
        <f>IFERROR(_xlfn.XLOOKUP(B191, Customers_raw!A:A, Customers_raw!B:B), "Unknown Customer")</f>
        <v>Betty Moore</v>
      </c>
      <c r="D191" s="1">
        <v>45829</v>
      </c>
      <c r="E191" s="1" t="str">
        <f t="shared" si="6"/>
        <v>2025-06</v>
      </c>
      <c r="F191" t="s">
        <v>18</v>
      </c>
      <c r="G191" t="s">
        <v>6</v>
      </c>
      <c r="H191">
        <v>1</v>
      </c>
      <c r="I191" s="2">
        <v>89</v>
      </c>
      <c r="J191" s="2">
        <f t="shared" si="7"/>
        <v>89</v>
      </c>
      <c r="K191" s="2" t="str">
        <f t="shared" si="8"/>
        <v>Sale</v>
      </c>
      <c r="L191" t="s">
        <v>8</v>
      </c>
    </row>
    <row r="192" spans="1:12" x14ac:dyDescent="0.25">
      <c r="A192">
        <v>5190</v>
      </c>
      <c r="B192">
        <v>62</v>
      </c>
      <c r="C192" s="5" t="str">
        <f>IFERROR(_xlfn.XLOOKUP(B192, Customers_raw!A:A, Customers_raw!B:B), "Unknown Customer")</f>
        <v>Mary Wilson</v>
      </c>
      <c r="D192" s="1">
        <v>45736</v>
      </c>
      <c r="E192" s="1" t="str">
        <f t="shared" si="6"/>
        <v>2025-03</v>
      </c>
      <c r="F192" t="s">
        <v>12</v>
      </c>
      <c r="G192" t="s">
        <v>10</v>
      </c>
      <c r="H192">
        <v>3</v>
      </c>
      <c r="I192" s="2">
        <v>22</v>
      </c>
      <c r="J192" s="2">
        <f t="shared" si="7"/>
        <v>66</v>
      </c>
      <c r="K192" s="2" t="str">
        <f t="shared" si="8"/>
        <v>Sale</v>
      </c>
      <c r="L192" t="s">
        <v>5</v>
      </c>
    </row>
    <row r="193" spans="1:12" x14ac:dyDescent="0.25">
      <c r="A193">
        <v>5191</v>
      </c>
      <c r="B193">
        <v>16</v>
      </c>
      <c r="C193" s="5" t="str">
        <f>IFERROR(_xlfn.XLOOKUP(B193, Customers_raw!A:A, Customers_raw!B:B), "Unknown Customer")</f>
        <v>Karen Perez</v>
      </c>
      <c r="D193" s="1">
        <v>45761</v>
      </c>
      <c r="E193" s="1" t="str">
        <f t="shared" si="6"/>
        <v>2025-04</v>
      </c>
      <c r="F193" t="s">
        <v>18</v>
      </c>
      <c r="G193" t="s">
        <v>6</v>
      </c>
      <c r="H193">
        <v>2</v>
      </c>
      <c r="I193" s="2">
        <v>89</v>
      </c>
      <c r="J193" s="2">
        <f t="shared" si="7"/>
        <v>178</v>
      </c>
      <c r="K193" s="2" t="str">
        <f t="shared" si="8"/>
        <v>Sale</v>
      </c>
      <c r="L193" t="s">
        <v>8</v>
      </c>
    </row>
    <row r="194" spans="1:12" x14ac:dyDescent="0.25">
      <c r="A194">
        <v>5192</v>
      </c>
      <c r="B194">
        <v>50</v>
      </c>
      <c r="C194" s="5" t="str">
        <f>IFERROR(_xlfn.XLOOKUP(B194, Customers_raw!A:A, Customers_raw!B:B), "Unknown Customer")</f>
        <v>Elizabeth Garcia</v>
      </c>
      <c r="D194" s="1">
        <v>45870</v>
      </c>
      <c r="E194" s="1" t="str">
        <f t="shared" si="6"/>
        <v>2025-08</v>
      </c>
      <c r="F194" t="s">
        <v>18</v>
      </c>
      <c r="G194" t="s">
        <v>6</v>
      </c>
      <c r="H194">
        <v>1</v>
      </c>
      <c r="I194" s="2">
        <v>89</v>
      </c>
      <c r="J194" s="2">
        <f t="shared" si="7"/>
        <v>89</v>
      </c>
      <c r="K194" s="2" t="str">
        <f t="shared" si="8"/>
        <v>Sale</v>
      </c>
      <c r="L194" t="s">
        <v>8</v>
      </c>
    </row>
    <row r="195" spans="1:12" x14ac:dyDescent="0.25">
      <c r="A195">
        <v>5193</v>
      </c>
      <c r="B195">
        <v>104</v>
      </c>
      <c r="C195" s="5" t="str">
        <f>IFERROR(_xlfn.XLOOKUP(B195, Customers_raw!A:A, Customers_raw!B:B), "Unknown Customer")</f>
        <v>Christopher Brown</v>
      </c>
      <c r="D195" s="1">
        <v>45832</v>
      </c>
      <c r="E195" s="1" t="str">
        <f t="shared" ref="E195:E258" si="9">TEXT(D:D,"YYYY-MM")</f>
        <v>2025-06</v>
      </c>
      <c r="F195" t="s">
        <v>15</v>
      </c>
      <c r="G195" t="s">
        <v>7</v>
      </c>
      <c r="H195">
        <v>2</v>
      </c>
      <c r="I195" s="2">
        <v>67</v>
      </c>
      <c r="J195" s="2">
        <f t="shared" ref="J195:J258" si="10">H195*I195</f>
        <v>134</v>
      </c>
      <c r="K195" s="2" t="str">
        <f t="shared" ref="K195:K258" si="11">IF(H195&lt;0,"Return","Sale")</f>
        <v>Sale</v>
      </c>
      <c r="L195" t="s">
        <v>27</v>
      </c>
    </row>
    <row r="196" spans="1:12" x14ac:dyDescent="0.25">
      <c r="A196">
        <v>5194</v>
      </c>
      <c r="B196">
        <v>47</v>
      </c>
      <c r="C196" s="5" t="str">
        <f>IFERROR(_xlfn.XLOOKUP(B196, Customers_raw!A:A, Customers_raw!B:B), "Unknown Customer")</f>
        <v>Christopher Rodriguez</v>
      </c>
      <c r="D196" s="1">
        <v>45678</v>
      </c>
      <c r="E196" s="1" t="str">
        <f t="shared" si="9"/>
        <v>2025-01</v>
      </c>
      <c r="F196" t="s">
        <v>14</v>
      </c>
      <c r="G196" t="s">
        <v>7</v>
      </c>
      <c r="H196">
        <v>1</v>
      </c>
      <c r="I196" s="2">
        <v>55</v>
      </c>
      <c r="J196" s="2">
        <f t="shared" si="10"/>
        <v>55</v>
      </c>
      <c r="K196" s="2" t="str">
        <f t="shared" si="11"/>
        <v>Sale</v>
      </c>
      <c r="L196" t="s">
        <v>27</v>
      </c>
    </row>
    <row r="197" spans="1:12" x14ac:dyDescent="0.25">
      <c r="A197">
        <v>5195</v>
      </c>
      <c r="B197">
        <v>108</v>
      </c>
      <c r="C197" s="5" t="str">
        <f>IFERROR(_xlfn.XLOOKUP(B197, Customers_raw!A:A, Customers_raw!B:B), "Unknown Customer")</f>
        <v>Charles Perez</v>
      </c>
      <c r="D197" s="1">
        <v>45925</v>
      </c>
      <c r="E197" s="1" t="str">
        <f t="shared" si="9"/>
        <v>2025-09</v>
      </c>
      <c r="F197" t="s">
        <v>20</v>
      </c>
      <c r="G197" t="s">
        <v>10</v>
      </c>
      <c r="H197">
        <v>1</v>
      </c>
      <c r="I197" s="2">
        <v>65.099999999999994</v>
      </c>
      <c r="J197" s="2">
        <f t="shared" si="10"/>
        <v>65.099999999999994</v>
      </c>
      <c r="K197" s="2" t="str">
        <f t="shared" si="11"/>
        <v>Sale</v>
      </c>
      <c r="L197" t="s">
        <v>8</v>
      </c>
    </row>
    <row r="198" spans="1:12" x14ac:dyDescent="0.25">
      <c r="A198">
        <v>5196</v>
      </c>
      <c r="B198">
        <v>82</v>
      </c>
      <c r="C198" s="5" t="str">
        <f>IFERROR(_xlfn.XLOOKUP(B198, Customers_raw!A:A, Customers_raw!B:B), "Unknown Customer")</f>
        <v>Thomas Ramirez</v>
      </c>
      <c r="D198" s="1">
        <v>45970</v>
      </c>
      <c r="E198" s="1" t="str">
        <f t="shared" si="9"/>
        <v>2025-11</v>
      </c>
      <c r="F198" t="s">
        <v>21</v>
      </c>
      <c r="G198" t="s">
        <v>17</v>
      </c>
      <c r="H198">
        <v>1</v>
      </c>
      <c r="I198" s="2">
        <v>60</v>
      </c>
      <c r="J198" s="2">
        <f t="shared" si="10"/>
        <v>60</v>
      </c>
      <c r="K198" s="2" t="str">
        <f t="shared" si="11"/>
        <v>Sale</v>
      </c>
      <c r="L198" t="s">
        <v>27</v>
      </c>
    </row>
    <row r="199" spans="1:12" x14ac:dyDescent="0.25">
      <c r="A199">
        <v>5197</v>
      </c>
      <c r="B199">
        <v>40</v>
      </c>
      <c r="C199" s="5" t="str">
        <f>IFERROR(_xlfn.XLOOKUP(B199, Customers_raw!A:A, Customers_raw!B:B), "Unknown Customer")</f>
        <v>Jennifer Ramirez</v>
      </c>
      <c r="D199" s="1">
        <v>45663</v>
      </c>
      <c r="E199" s="1" t="str">
        <f t="shared" si="9"/>
        <v>2025-01</v>
      </c>
      <c r="F199" t="s">
        <v>9</v>
      </c>
      <c r="G199" t="s">
        <v>6</v>
      </c>
      <c r="H199">
        <v>3</v>
      </c>
      <c r="I199" s="2">
        <v>48</v>
      </c>
      <c r="J199" s="2">
        <f t="shared" si="10"/>
        <v>144</v>
      </c>
      <c r="K199" s="2" t="str">
        <f t="shared" si="11"/>
        <v>Sale</v>
      </c>
      <c r="L199" t="s">
        <v>27</v>
      </c>
    </row>
    <row r="200" spans="1:12" x14ac:dyDescent="0.25">
      <c r="A200">
        <v>5198</v>
      </c>
      <c r="B200">
        <v>104</v>
      </c>
      <c r="C200" s="5" t="str">
        <f>IFERROR(_xlfn.XLOOKUP(B200, Customers_raw!A:A, Customers_raw!B:B), "Unknown Customer")</f>
        <v>Christopher Brown</v>
      </c>
      <c r="D200" s="1">
        <v>45829</v>
      </c>
      <c r="E200" s="1" t="str">
        <f t="shared" si="9"/>
        <v>2025-06</v>
      </c>
      <c r="F200" t="s">
        <v>11</v>
      </c>
      <c r="G200" t="s">
        <v>6</v>
      </c>
      <c r="H200">
        <v>3</v>
      </c>
      <c r="I200" s="2">
        <v>17.804347826086957</v>
      </c>
      <c r="J200" s="2">
        <f t="shared" si="10"/>
        <v>53.413043478260875</v>
      </c>
      <c r="K200" s="2" t="str">
        <f t="shared" si="11"/>
        <v>Sale</v>
      </c>
      <c r="L200" t="s">
        <v>8</v>
      </c>
    </row>
    <row r="201" spans="1:12" x14ac:dyDescent="0.25">
      <c r="A201">
        <v>5199</v>
      </c>
      <c r="B201">
        <v>98</v>
      </c>
      <c r="C201" s="5" t="str">
        <f>IFERROR(_xlfn.XLOOKUP(B201, Customers_raw!A:A, Customers_raw!B:B), "Unknown Customer")</f>
        <v>Karen Williams</v>
      </c>
      <c r="D201" s="1">
        <v>45933</v>
      </c>
      <c r="E201" s="1" t="str">
        <f t="shared" si="9"/>
        <v>2025-10</v>
      </c>
      <c r="F201" t="s">
        <v>13</v>
      </c>
      <c r="G201" t="s">
        <v>7</v>
      </c>
      <c r="H201">
        <v>1</v>
      </c>
      <c r="I201" s="2">
        <v>32</v>
      </c>
      <c r="J201" s="2">
        <f t="shared" si="10"/>
        <v>32</v>
      </c>
      <c r="K201" s="2" t="str">
        <f t="shared" si="11"/>
        <v>Sale</v>
      </c>
      <c r="L201" t="s">
        <v>23</v>
      </c>
    </row>
    <row r="202" spans="1:12" x14ac:dyDescent="0.25">
      <c r="A202">
        <v>5200</v>
      </c>
      <c r="B202">
        <v>21</v>
      </c>
      <c r="C202" s="5" t="str">
        <f>IFERROR(_xlfn.XLOOKUP(B202, Customers_raw!A:A, Customers_raw!B:B), "Unknown Customer")</f>
        <v>Daniel Thompson</v>
      </c>
      <c r="D202" s="1">
        <v>45848</v>
      </c>
      <c r="E202" s="1" t="str">
        <f t="shared" si="9"/>
        <v>2025-07</v>
      </c>
      <c r="F202" t="s">
        <v>19</v>
      </c>
      <c r="G202" t="s">
        <v>17</v>
      </c>
      <c r="H202">
        <v>1</v>
      </c>
      <c r="I202" s="2">
        <v>22</v>
      </c>
      <c r="J202" s="2">
        <f t="shared" si="10"/>
        <v>22</v>
      </c>
      <c r="K202" s="2" t="str">
        <f t="shared" si="11"/>
        <v>Sale</v>
      </c>
      <c r="L202" t="s">
        <v>8</v>
      </c>
    </row>
    <row r="203" spans="1:12" x14ac:dyDescent="0.25">
      <c r="A203">
        <v>5201</v>
      </c>
      <c r="B203">
        <v>46</v>
      </c>
      <c r="C203" s="5" t="str">
        <f>IFERROR(_xlfn.XLOOKUP(B203, Customers_raw!A:A, Customers_raw!B:B), "Unknown Customer")</f>
        <v>Mary Rodriguez</v>
      </c>
      <c r="D203" s="1">
        <v>45813</v>
      </c>
      <c r="E203" s="1" t="str">
        <f t="shared" si="9"/>
        <v>2025-06</v>
      </c>
      <c r="F203" t="s">
        <v>19</v>
      </c>
      <c r="G203" t="s">
        <v>17</v>
      </c>
      <c r="H203">
        <v>3</v>
      </c>
      <c r="I203" s="2">
        <v>19</v>
      </c>
      <c r="J203" s="2">
        <f t="shared" si="10"/>
        <v>57</v>
      </c>
      <c r="K203" s="2" t="str">
        <f t="shared" si="11"/>
        <v>Sale</v>
      </c>
      <c r="L203" t="s">
        <v>5</v>
      </c>
    </row>
    <row r="204" spans="1:12" x14ac:dyDescent="0.25">
      <c r="A204">
        <v>5202</v>
      </c>
      <c r="B204">
        <v>45</v>
      </c>
      <c r="C204" s="5" t="str">
        <f>IFERROR(_xlfn.XLOOKUP(B204, Customers_raw!A:A, Customers_raw!B:B), "Unknown Customer")</f>
        <v>Michael Moore</v>
      </c>
      <c r="D204" s="1">
        <v>45970</v>
      </c>
      <c r="E204" s="1" t="str">
        <f t="shared" si="9"/>
        <v>2025-11</v>
      </c>
      <c r="F204" t="s">
        <v>12</v>
      </c>
      <c r="G204" t="s">
        <v>10</v>
      </c>
      <c r="H204">
        <v>2</v>
      </c>
      <c r="I204" s="2">
        <v>19</v>
      </c>
      <c r="J204" s="2">
        <f t="shared" si="10"/>
        <v>38</v>
      </c>
      <c r="K204" s="2" t="str">
        <f t="shared" si="11"/>
        <v>Sale</v>
      </c>
      <c r="L204" t="s">
        <v>8</v>
      </c>
    </row>
    <row r="205" spans="1:12" x14ac:dyDescent="0.25">
      <c r="A205">
        <v>5203</v>
      </c>
      <c r="B205">
        <v>32</v>
      </c>
      <c r="C205" s="5" t="str">
        <f>IFERROR(_xlfn.XLOOKUP(B205, Customers_raw!A:A, Customers_raw!B:B), "Unknown Customer")</f>
        <v>Kimberly Lopez</v>
      </c>
      <c r="D205" s="1">
        <v>45772</v>
      </c>
      <c r="E205" s="1" t="str">
        <f t="shared" si="9"/>
        <v>2025-04</v>
      </c>
      <c r="F205" t="s">
        <v>12</v>
      </c>
      <c r="G205" t="s">
        <v>10</v>
      </c>
      <c r="H205">
        <v>1</v>
      </c>
      <c r="I205" s="2">
        <v>19</v>
      </c>
      <c r="J205" s="2">
        <f t="shared" si="10"/>
        <v>19</v>
      </c>
      <c r="K205" s="2" t="str">
        <f t="shared" si="11"/>
        <v>Sale</v>
      </c>
      <c r="L205" t="s">
        <v>27</v>
      </c>
    </row>
    <row r="206" spans="1:12" x14ac:dyDescent="0.25">
      <c r="A206">
        <v>5204</v>
      </c>
      <c r="B206">
        <v>105</v>
      </c>
      <c r="C206" s="5" t="str">
        <f>IFERROR(_xlfn.XLOOKUP(B206, Customers_raw!A:A, Customers_raw!B:B), "Unknown Customer")</f>
        <v>Betty Brown</v>
      </c>
      <c r="D206" s="1">
        <v>45667</v>
      </c>
      <c r="E206" s="1" t="str">
        <f t="shared" si="9"/>
        <v>2025-01</v>
      </c>
      <c r="F206" t="s">
        <v>16</v>
      </c>
      <c r="G206" t="s">
        <v>10</v>
      </c>
      <c r="H206">
        <v>3</v>
      </c>
      <c r="I206" s="2">
        <v>28</v>
      </c>
      <c r="J206" s="2">
        <f t="shared" si="10"/>
        <v>84</v>
      </c>
      <c r="K206" s="2" t="str">
        <f t="shared" si="11"/>
        <v>Sale</v>
      </c>
      <c r="L206" t="s">
        <v>27</v>
      </c>
    </row>
    <row r="207" spans="1:12" x14ac:dyDescent="0.25">
      <c r="A207">
        <v>5205</v>
      </c>
      <c r="B207">
        <v>82</v>
      </c>
      <c r="C207" s="5" t="str">
        <f>IFERROR(_xlfn.XLOOKUP(B207, Customers_raw!A:A, Customers_raw!B:B), "Unknown Customer")</f>
        <v>Thomas Ramirez</v>
      </c>
      <c r="D207" s="1">
        <v>45895</v>
      </c>
      <c r="E207" s="1" t="str">
        <f t="shared" si="9"/>
        <v>2025-08</v>
      </c>
      <c r="F207" t="s">
        <v>21</v>
      </c>
      <c r="G207" t="s">
        <v>17</v>
      </c>
      <c r="H207">
        <v>3</v>
      </c>
      <c r="I207" s="2">
        <v>60</v>
      </c>
      <c r="J207" s="2">
        <f t="shared" si="10"/>
        <v>180</v>
      </c>
      <c r="K207" s="2" t="str">
        <f t="shared" si="11"/>
        <v>Sale</v>
      </c>
      <c r="L207" t="s">
        <v>8</v>
      </c>
    </row>
    <row r="208" spans="1:12" x14ac:dyDescent="0.25">
      <c r="A208">
        <v>5206</v>
      </c>
      <c r="B208">
        <v>92</v>
      </c>
      <c r="C208" s="5" t="str">
        <f>IFERROR(_xlfn.XLOOKUP(B208, Customers_raw!A:A, Customers_raw!B:B), "Unknown Customer")</f>
        <v>Joseph Harris</v>
      </c>
      <c r="D208" s="1">
        <v>45681</v>
      </c>
      <c r="E208" s="1" t="str">
        <f t="shared" si="9"/>
        <v>2025-01</v>
      </c>
      <c r="F208" t="s">
        <v>20</v>
      </c>
      <c r="G208" t="s">
        <v>10</v>
      </c>
      <c r="H208">
        <v>1</v>
      </c>
      <c r="I208" s="2">
        <v>65</v>
      </c>
      <c r="J208" s="2">
        <f t="shared" si="10"/>
        <v>65</v>
      </c>
      <c r="K208" s="2" t="str">
        <f t="shared" si="11"/>
        <v>Sale</v>
      </c>
      <c r="L208" t="s">
        <v>8</v>
      </c>
    </row>
    <row r="209" spans="1:12" x14ac:dyDescent="0.25">
      <c r="A209">
        <v>5207</v>
      </c>
      <c r="B209">
        <v>16</v>
      </c>
      <c r="C209" s="5" t="str">
        <f>IFERROR(_xlfn.XLOOKUP(B209, Customers_raw!A:A, Customers_raw!B:B), "Unknown Customer")</f>
        <v>Karen Perez</v>
      </c>
      <c r="D209" s="1">
        <v>45865</v>
      </c>
      <c r="E209" s="1" t="str">
        <f t="shared" si="9"/>
        <v>2025-07</v>
      </c>
      <c r="F209" t="s">
        <v>12</v>
      </c>
      <c r="G209" t="s">
        <v>10</v>
      </c>
      <c r="H209">
        <v>2</v>
      </c>
      <c r="I209" s="2">
        <v>25</v>
      </c>
      <c r="J209" s="2">
        <f t="shared" si="10"/>
        <v>50</v>
      </c>
      <c r="K209" s="2" t="str">
        <f t="shared" si="11"/>
        <v>Sale</v>
      </c>
      <c r="L209" t="s">
        <v>27</v>
      </c>
    </row>
    <row r="210" spans="1:12" x14ac:dyDescent="0.25">
      <c r="A210">
        <v>5208</v>
      </c>
      <c r="B210">
        <v>86</v>
      </c>
      <c r="C210" s="5" t="str">
        <f>IFERROR(_xlfn.XLOOKUP(B210, Customers_raw!A:A, Customers_raw!B:B), "Unknown Customer")</f>
        <v>Steven Jones</v>
      </c>
      <c r="D210" s="1">
        <v>45894</v>
      </c>
      <c r="E210" s="1" t="str">
        <f t="shared" si="9"/>
        <v>2025-08</v>
      </c>
      <c r="F210" t="s">
        <v>21</v>
      </c>
      <c r="G210" t="s">
        <v>17</v>
      </c>
      <c r="H210">
        <v>1</v>
      </c>
      <c r="I210" s="2">
        <v>57</v>
      </c>
      <c r="J210" s="2">
        <f t="shared" si="10"/>
        <v>57</v>
      </c>
      <c r="K210" s="2" t="str">
        <f t="shared" si="11"/>
        <v>Sale</v>
      </c>
      <c r="L210" t="s">
        <v>5</v>
      </c>
    </row>
    <row r="211" spans="1:12" x14ac:dyDescent="0.25">
      <c r="A211">
        <v>5209</v>
      </c>
      <c r="B211">
        <v>54</v>
      </c>
      <c r="C211" s="5" t="str">
        <f>IFERROR(_xlfn.XLOOKUP(B211, Customers_raw!A:A, Customers_raw!B:B), "Unknown Customer")</f>
        <v>Donald Moore</v>
      </c>
      <c r="D211" s="1">
        <v>45966</v>
      </c>
      <c r="E211" s="1" t="str">
        <f t="shared" si="9"/>
        <v>2025-11</v>
      </c>
      <c r="F211" t="s">
        <v>21</v>
      </c>
      <c r="G211" t="s">
        <v>17</v>
      </c>
      <c r="H211">
        <v>2</v>
      </c>
      <c r="I211" s="2">
        <v>57</v>
      </c>
      <c r="J211" s="2">
        <f t="shared" si="10"/>
        <v>114</v>
      </c>
      <c r="K211" s="2" t="str">
        <f t="shared" si="11"/>
        <v>Sale</v>
      </c>
      <c r="L211" t="s">
        <v>8</v>
      </c>
    </row>
    <row r="212" spans="1:12" x14ac:dyDescent="0.25">
      <c r="A212">
        <v>5210</v>
      </c>
      <c r="B212">
        <v>31</v>
      </c>
      <c r="C212" s="5" t="str">
        <f>IFERROR(_xlfn.XLOOKUP(B212, Customers_raw!A:A, Customers_raw!B:B), "Unknown Customer")</f>
        <v>Nancy Harris</v>
      </c>
      <c r="D212" s="1">
        <v>45999</v>
      </c>
      <c r="E212" s="1" t="str">
        <f t="shared" si="9"/>
        <v>2025-12</v>
      </c>
      <c r="F212" t="s">
        <v>11</v>
      </c>
      <c r="G212" t="s">
        <v>6</v>
      </c>
      <c r="H212">
        <v>2</v>
      </c>
      <c r="I212" s="2">
        <v>21</v>
      </c>
      <c r="J212" s="2">
        <f t="shared" si="10"/>
        <v>42</v>
      </c>
      <c r="K212" s="2" t="str">
        <f t="shared" si="11"/>
        <v>Sale</v>
      </c>
      <c r="L212" t="s">
        <v>27</v>
      </c>
    </row>
    <row r="213" spans="1:12" x14ac:dyDescent="0.25">
      <c r="A213">
        <v>5211</v>
      </c>
      <c r="B213">
        <v>19</v>
      </c>
      <c r="C213" s="5" t="str">
        <f>IFERROR(_xlfn.XLOOKUP(B213, Customers_raw!A:A, Customers_raw!B:B), "Unknown Customer")</f>
        <v>Ashley Williams</v>
      </c>
      <c r="D213" s="1">
        <v>45838</v>
      </c>
      <c r="E213" s="1" t="str">
        <f t="shared" si="9"/>
        <v>2025-06</v>
      </c>
      <c r="F213" t="s">
        <v>22</v>
      </c>
      <c r="G213" t="s">
        <v>17</v>
      </c>
      <c r="H213">
        <v>2</v>
      </c>
      <c r="I213" s="2">
        <v>21</v>
      </c>
      <c r="J213" s="2">
        <f t="shared" si="10"/>
        <v>42</v>
      </c>
      <c r="K213" s="2" t="str">
        <f t="shared" si="11"/>
        <v>Sale</v>
      </c>
      <c r="L213" t="s">
        <v>27</v>
      </c>
    </row>
    <row r="214" spans="1:12" x14ac:dyDescent="0.25">
      <c r="A214">
        <v>5212</v>
      </c>
      <c r="B214">
        <v>24</v>
      </c>
      <c r="C214" s="5" t="str">
        <f>IFERROR(_xlfn.XLOOKUP(B214, Customers_raw!A:A, Customers_raw!B:B), "Unknown Customer")</f>
        <v>Joshua Hernandez</v>
      </c>
      <c r="D214" s="1">
        <v>45824</v>
      </c>
      <c r="E214" s="1" t="str">
        <f t="shared" si="9"/>
        <v>2025-06</v>
      </c>
      <c r="F214" t="s">
        <v>12</v>
      </c>
      <c r="G214" t="s">
        <v>10</v>
      </c>
      <c r="H214">
        <v>1</v>
      </c>
      <c r="I214" s="2">
        <v>25</v>
      </c>
      <c r="J214" s="2">
        <f t="shared" si="10"/>
        <v>25</v>
      </c>
      <c r="K214" s="2" t="str">
        <f t="shared" si="11"/>
        <v>Sale</v>
      </c>
      <c r="L214" t="s">
        <v>27</v>
      </c>
    </row>
    <row r="215" spans="1:12" x14ac:dyDescent="0.25">
      <c r="A215">
        <v>5213</v>
      </c>
      <c r="B215">
        <v>18</v>
      </c>
      <c r="C215" s="5" t="str">
        <f>IFERROR(_xlfn.XLOOKUP(B215, Customers_raw!A:A, Customers_raw!B:B), "Unknown Customer")</f>
        <v>Susan Sanchez</v>
      </c>
      <c r="D215" s="1">
        <v>45861</v>
      </c>
      <c r="E215" s="1" t="str">
        <f t="shared" si="9"/>
        <v>2025-07</v>
      </c>
      <c r="F215" t="s">
        <v>14</v>
      </c>
      <c r="G215" t="s">
        <v>7</v>
      </c>
      <c r="H215">
        <v>3</v>
      </c>
      <c r="I215" s="2">
        <v>52</v>
      </c>
      <c r="J215" s="2">
        <f t="shared" si="10"/>
        <v>156</v>
      </c>
      <c r="K215" s="2" t="str">
        <f t="shared" si="11"/>
        <v>Sale</v>
      </c>
      <c r="L215" t="s">
        <v>5</v>
      </c>
    </row>
    <row r="216" spans="1:12" x14ac:dyDescent="0.25">
      <c r="A216">
        <v>5214</v>
      </c>
      <c r="B216">
        <v>80</v>
      </c>
      <c r="C216" s="5" t="str">
        <f>IFERROR(_xlfn.XLOOKUP(B216, Customers_raw!A:A, Customers_raw!B:B), "Unknown Customer")</f>
        <v>Susan Lopez</v>
      </c>
      <c r="D216" s="1">
        <v>46005</v>
      </c>
      <c r="E216" s="1" t="str">
        <f t="shared" si="9"/>
        <v>2025-12</v>
      </c>
      <c r="F216" t="s">
        <v>18</v>
      </c>
      <c r="G216" t="s">
        <v>6</v>
      </c>
      <c r="H216">
        <v>3</v>
      </c>
      <c r="I216" s="2">
        <v>92</v>
      </c>
      <c r="J216" s="2">
        <f t="shared" si="10"/>
        <v>276</v>
      </c>
      <c r="K216" s="2" t="str">
        <f t="shared" si="11"/>
        <v>Sale</v>
      </c>
      <c r="L216" t="s">
        <v>5</v>
      </c>
    </row>
    <row r="217" spans="1:12" x14ac:dyDescent="0.25">
      <c r="A217">
        <v>5215</v>
      </c>
      <c r="B217">
        <v>16</v>
      </c>
      <c r="C217" s="5" t="str">
        <f>IFERROR(_xlfn.XLOOKUP(B217, Customers_raw!A:A, Customers_raw!B:B), "Unknown Customer")</f>
        <v>Karen Perez</v>
      </c>
      <c r="D217" s="1">
        <v>45839</v>
      </c>
      <c r="E217" s="1" t="str">
        <f t="shared" si="9"/>
        <v>2025-07</v>
      </c>
      <c r="F217" t="s">
        <v>15</v>
      </c>
      <c r="G217" t="s">
        <v>7</v>
      </c>
      <c r="H217">
        <v>1</v>
      </c>
      <c r="I217" s="2">
        <v>67</v>
      </c>
      <c r="J217" s="2">
        <f t="shared" si="10"/>
        <v>67</v>
      </c>
      <c r="K217" s="2" t="str">
        <f t="shared" si="11"/>
        <v>Sale</v>
      </c>
      <c r="L217" t="s">
        <v>5</v>
      </c>
    </row>
    <row r="218" spans="1:12" x14ac:dyDescent="0.25">
      <c r="A218">
        <v>5216</v>
      </c>
      <c r="B218">
        <v>45</v>
      </c>
      <c r="C218" s="5" t="str">
        <f>IFERROR(_xlfn.XLOOKUP(B218, Customers_raw!A:A, Customers_raw!B:B), "Unknown Customer")</f>
        <v>Michael Moore</v>
      </c>
      <c r="D218" s="1">
        <v>45743</v>
      </c>
      <c r="E218" s="1" t="str">
        <f t="shared" si="9"/>
        <v>2025-03</v>
      </c>
      <c r="F218" t="s">
        <v>22</v>
      </c>
      <c r="G218" t="s">
        <v>17</v>
      </c>
      <c r="H218">
        <v>1</v>
      </c>
      <c r="I218" s="2">
        <v>27</v>
      </c>
      <c r="J218" s="2">
        <f t="shared" si="10"/>
        <v>27</v>
      </c>
      <c r="K218" s="2" t="str">
        <f t="shared" si="11"/>
        <v>Sale</v>
      </c>
      <c r="L218" t="s">
        <v>8</v>
      </c>
    </row>
    <row r="219" spans="1:12" x14ac:dyDescent="0.25">
      <c r="A219">
        <v>5217</v>
      </c>
      <c r="B219">
        <v>60</v>
      </c>
      <c r="C219" s="5" t="str">
        <f>IFERROR(_xlfn.XLOOKUP(B219, Customers_raw!A:A, Customers_raw!B:B), "Unknown Customer")</f>
        <v>Margaret Moore</v>
      </c>
      <c r="D219" s="1">
        <v>45931</v>
      </c>
      <c r="E219" s="1" t="str">
        <f t="shared" si="9"/>
        <v>2025-10</v>
      </c>
      <c r="F219" t="s">
        <v>21</v>
      </c>
      <c r="G219" t="s">
        <v>17</v>
      </c>
      <c r="H219">
        <v>2</v>
      </c>
      <c r="I219" s="2">
        <v>57</v>
      </c>
      <c r="J219" s="2">
        <f t="shared" si="10"/>
        <v>114</v>
      </c>
      <c r="K219" s="2" t="str">
        <f t="shared" si="11"/>
        <v>Sale</v>
      </c>
      <c r="L219" t="s">
        <v>5</v>
      </c>
    </row>
    <row r="220" spans="1:12" x14ac:dyDescent="0.25">
      <c r="A220">
        <v>5218</v>
      </c>
      <c r="B220">
        <v>53</v>
      </c>
      <c r="C220" s="5" t="str">
        <f>IFERROR(_xlfn.XLOOKUP(B220, Customers_raw!A:A, Customers_raw!B:B), "Unknown Customer")</f>
        <v>John Thomas</v>
      </c>
      <c r="D220" s="1">
        <v>45805</v>
      </c>
      <c r="E220" s="1" t="str">
        <f t="shared" si="9"/>
        <v>2025-05</v>
      </c>
      <c r="F220" t="s">
        <v>21</v>
      </c>
      <c r="G220" t="s">
        <v>17</v>
      </c>
      <c r="H220">
        <v>1</v>
      </c>
      <c r="I220" s="2">
        <v>57</v>
      </c>
      <c r="J220" s="2">
        <f t="shared" si="10"/>
        <v>57</v>
      </c>
      <c r="K220" s="2" t="str">
        <f t="shared" si="11"/>
        <v>Sale</v>
      </c>
      <c r="L220" t="s">
        <v>8</v>
      </c>
    </row>
    <row r="221" spans="1:12" x14ac:dyDescent="0.25">
      <c r="A221">
        <v>5219</v>
      </c>
      <c r="B221">
        <v>79</v>
      </c>
      <c r="C221" s="5" t="str">
        <f>IFERROR(_xlfn.XLOOKUP(B221, Customers_raw!A:A, Customers_raw!B:B), "Unknown Customer")</f>
        <v>Nancy Jackson</v>
      </c>
      <c r="D221" s="1">
        <v>45949</v>
      </c>
      <c r="E221" s="1" t="str">
        <f t="shared" si="9"/>
        <v>2025-10</v>
      </c>
      <c r="F221" t="s">
        <v>19</v>
      </c>
      <c r="G221" t="s">
        <v>17</v>
      </c>
      <c r="H221">
        <v>3</v>
      </c>
      <c r="I221" s="2">
        <v>19</v>
      </c>
      <c r="J221" s="2">
        <f t="shared" si="10"/>
        <v>57</v>
      </c>
      <c r="K221" s="2" t="str">
        <f t="shared" si="11"/>
        <v>Sale</v>
      </c>
      <c r="L221" t="s">
        <v>8</v>
      </c>
    </row>
    <row r="222" spans="1:12" x14ac:dyDescent="0.25">
      <c r="A222">
        <v>5220</v>
      </c>
      <c r="B222">
        <v>71</v>
      </c>
      <c r="C222" s="5" t="str">
        <f>IFERROR(_xlfn.XLOOKUP(B222, Customers_raw!A:A, Customers_raw!B:B), "Unknown Customer")</f>
        <v>Barbara Rodriguez</v>
      </c>
      <c r="D222" s="1">
        <v>45941</v>
      </c>
      <c r="E222" s="1" t="str">
        <f t="shared" si="9"/>
        <v>2025-10</v>
      </c>
      <c r="F222" t="s">
        <v>18</v>
      </c>
      <c r="G222" t="s">
        <v>6</v>
      </c>
      <c r="H222">
        <v>-2</v>
      </c>
      <c r="I222" s="2">
        <v>89.144230769230774</v>
      </c>
      <c r="J222" s="2">
        <f t="shared" si="10"/>
        <v>-178.28846153846155</v>
      </c>
      <c r="K222" s="2" t="str">
        <f t="shared" si="11"/>
        <v>Return</v>
      </c>
      <c r="L222" t="s">
        <v>5</v>
      </c>
    </row>
    <row r="223" spans="1:12" x14ac:dyDescent="0.25">
      <c r="A223">
        <v>5221</v>
      </c>
      <c r="B223">
        <v>29</v>
      </c>
      <c r="C223" s="5" t="str">
        <f>IFERROR(_xlfn.XLOOKUP(B223, Customers_raw!A:A, Customers_raw!B:B), "Unknown Customer")</f>
        <v>Thomas Lopez</v>
      </c>
      <c r="D223" s="1">
        <v>45920</v>
      </c>
      <c r="E223" s="1" t="str">
        <f t="shared" si="9"/>
        <v>2025-09</v>
      </c>
      <c r="F223" t="s">
        <v>9</v>
      </c>
      <c r="G223" t="s">
        <v>6</v>
      </c>
      <c r="H223">
        <v>2</v>
      </c>
      <c r="I223" s="2">
        <v>45.091836734693878</v>
      </c>
      <c r="J223" s="2">
        <f t="shared" si="10"/>
        <v>90.183673469387756</v>
      </c>
      <c r="K223" s="2" t="str">
        <f t="shared" si="11"/>
        <v>Sale</v>
      </c>
      <c r="L223" t="s">
        <v>27</v>
      </c>
    </row>
    <row r="224" spans="1:12" x14ac:dyDescent="0.25">
      <c r="A224">
        <v>5222</v>
      </c>
      <c r="B224">
        <v>90</v>
      </c>
      <c r="C224" s="5" t="str">
        <f>IFERROR(_xlfn.XLOOKUP(B224, Customers_raw!A:A, Customers_raw!B:B), "Unknown Customer")</f>
        <v>John Harris</v>
      </c>
      <c r="D224" s="1">
        <v>45823</v>
      </c>
      <c r="E224" s="1" t="str">
        <f t="shared" si="9"/>
        <v>2025-06</v>
      </c>
      <c r="F224" t="s">
        <v>9</v>
      </c>
      <c r="G224" t="s">
        <v>6</v>
      </c>
      <c r="H224">
        <v>2</v>
      </c>
      <c r="I224" s="2">
        <v>45</v>
      </c>
      <c r="J224" s="2">
        <f t="shared" si="10"/>
        <v>90</v>
      </c>
      <c r="K224" s="2" t="str">
        <f t="shared" si="11"/>
        <v>Sale</v>
      </c>
      <c r="L224" t="s">
        <v>5</v>
      </c>
    </row>
    <row r="225" spans="1:12" x14ac:dyDescent="0.25">
      <c r="A225">
        <v>5223</v>
      </c>
      <c r="B225">
        <v>8</v>
      </c>
      <c r="C225" s="5" t="str">
        <f>IFERROR(_xlfn.XLOOKUP(B225, Customers_raw!A:A, Customers_raw!B:B), "Unknown Customer")</f>
        <v>Lisa Brown</v>
      </c>
      <c r="D225" s="1">
        <v>45739</v>
      </c>
      <c r="E225" s="1" t="str">
        <f t="shared" si="9"/>
        <v>2025-03</v>
      </c>
      <c r="F225" t="s">
        <v>16</v>
      </c>
      <c r="G225" t="s">
        <v>10</v>
      </c>
      <c r="H225">
        <v>2</v>
      </c>
      <c r="I225" s="2">
        <v>28</v>
      </c>
      <c r="J225" s="2">
        <f t="shared" si="10"/>
        <v>56</v>
      </c>
      <c r="K225" s="2" t="str">
        <f t="shared" si="11"/>
        <v>Sale</v>
      </c>
      <c r="L225" t="s">
        <v>27</v>
      </c>
    </row>
    <row r="226" spans="1:12" x14ac:dyDescent="0.25">
      <c r="A226">
        <v>5224</v>
      </c>
      <c r="B226">
        <v>50</v>
      </c>
      <c r="C226" s="5" t="str">
        <f>IFERROR(_xlfn.XLOOKUP(B226, Customers_raw!A:A, Customers_raw!B:B), "Unknown Customer")</f>
        <v>Elizabeth Garcia</v>
      </c>
      <c r="D226" s="1">
        <v>45839</v>
      </c>
      <c r="E226" s="1" t="str">
        <f t="shared" si="9"/>
        <v>2025-07</v>
      </c>
      <c r="F226" t="s">
        <v>13</v>
      </c>
      <c r="G226" t="s">
        <v>7</v>
      </c>
      <c r="H226">
        <v>2</v>
      </c>
      <c r="I226" s="2">
        <v>32</v>
      </c>
      <c r="J226" s="2">
        <f t="shared" si="10"/>
        <v>64</v>
      </c>
      <c r="K226" s="2" t="str">
        <f t="shared" si="11"/>
        <v>Sale</v>
      </c>
      <c r="L226" t="s">
        <v>8</v>
      </c>
    </row>
    <row r="227" spans="1:12" x14ac:dyDescent="0.25">
      <c r="A227">
        <v>5225</v>
      </c>
      <c r="B227">
        <v>44</v>
      </c>
      <c r="C227" s="5" t="str">
        <f>IFERROR(_xlfn.XLOOKUP(B227, Customers_raw!A:A, Customers_raw!B:B), "Unknown Customer")</f>
        <v>Emily Jackson</v>
      </c>
      <c r="D227" s="1">
        <v>45838</v>
      </c>
      <c r="E227" s="1" t="str">
        <f t="shared" si="9"/>
        <v>2025-06</v>
      </c>
      <c r="F227" t="s">
        <v>22</v>
      </c>
      <c r="G227" t="s">
        <v>17</v>
      </c>
      <c r="H227">
        <v>3</v>
      </c>
      <c r="I227" s="2">
        <v>24</v>
      </c>
      <c r="J227" s="2">
        <f t="shared" si="10"/>
        <v>72</v>
      </c>
      <c r="K227" s="2" t="str">
        <f t="shared" si="11"/>
        <v>Sale</v>
      </c>
      <c r="L227" t="s">
        <v>27</v>
      </c>
    </row>
    <row r="228" spans="1:12" x14ac:dyDescent="0.25">
      <c r="A228">
        <v>5226</v>
      </c>
      <c r="B228">
        <v>13</v>
      </c>
      <c r="C228" s="5" t="str">
        <f>IFERROR(_xlfn.XLOOKUP(B228, Customers_raw!A:A, Customers_raw!B:B), "Unknown Customer")</f>
        <v>Anthony Johnson</v>
      </c>
      <c r="D228" s="1">
        <v>45666</v>
      </c>
      <c r="E228" s="1" t="str">
        <f t="shared" si="9"/>
        <v>2025-01</v>
      </c>
      <c r="F228" t="s">
        <v>19</v>
      </c>
      <c r="G228" t="s">
        <v>17</v>
      </c>
      <c r="H228">
        <v>3</v>
      </c>
      <c r="I228" s="2">
        <v>19</v>
      </c>
      <c r="J228" s="2">
        <f t="shared" si="10"/>
        <v>57</v>
      </c>
      <c r="K228" s="2" t="str">
        <f t="shared" si="11"/>
        <v>Sale</v>
      </c>
      <c r="L228" t="s">
        <v>8</v>
      </c>
    </row>
    <row r="229" spans="1:12" x14ac:dyDescent="0.25">
      <c r="A229">
        <v>5227</v>
      </c>
      <c r="B229">
        <v>53</v>
      </c>
      <c r="C229" s="5" t="str">
        <f>IFERROR(_xlfn.XLOOKUP(B229, Customers_raw!A:A, Customers_raw!B:B), "Unknown Customer")</f>
        <v>John Thomas</v>
      </c>
      <c r="D229" s="1">
        <v>45957</v>
      </c>
      <c r="E229" s="1" t="str">
        <f t="shared" si="9"/>
        <v>2025-10</v>
      </c>
      <c r="F229" t="s">
        <v>15</v>
      </c>
      <c r="G229" t="s">
        <v>7</v>
      </c>
      <c r="H229">
        <v>2</v>
      </c>
      <c r="I229" s="2">
        <v>70</v>
      </c>
      <c r="J229" s="2">
        <f t="shared" si="10"/>
        <v>140</v>
      </c>
      <c r="K229" s="2" t="str">
        <f t="shared" si="11"/>
        <v>Sale</v>
      </c>
      <c r="L229" t="s">
        <v>8</v>
      </c>
    </row>
    <row r="230" spans="1:12" x14ac:dyDescent="0.25">
      <c r="A230">
        <v>5228</v>
      </c>
      <c r="B230">
        <v>109</v>
      </c>
      <c r="C230" s="5" t="str">
        <f>IFERROR(_xlfn.XLOOKUP(B230, Customers_raw!A:A, Customers_raw!B:B), "Unknown Customer")</f>
        <v>Richard Sanchez</v>
      </c>
      <c r="D230" s="1">
        <v>45976</v>
      </c>
      <c r="E230" s="1" t="str">
        <f t="shared" si="9"/>
        <v>2025-11</v>
      </c>
      <c r="F230" t="s">
        <v>18</v>
      </c>
      <c r="G230" t="s">
        <v>6</v>
      </c>
      <c r="H230">
        <v>2</v>
      </c>
      <c r="I230" s="2">
        <v>89</v>
      </c>
      <c r="J230" s="2">
        <f t="shared" si="10"/>
        <v>178</v>
      </c>
      <c r="K230" s="2" t="str">
        <f t="shared" si="11"/>
        <v>Sale</v>
      </c>
      <c r="L230" t="s">
        <v>5</v>
      </c>
    </row>
    <row r="231" spans="1:12" x14ac:dyDescent="0.25">
      <c r="A231">
        <v>5229</v>
      </c>
      <c r="B231">
        <v>93</v>
      </c>
      <c r="C231" s="5" t="str">
        <f>IFERROR(_xlfn.XLOOKUP(B231, Customers_raw!A:A, Customers_raw!B:B), "Unknown Customer")</f>
        <v>Charles Sanchez</v>
      </c>
      <c r="D231" s="1">
        <v>45807</v>
      </c>
      <c r="E231" s="1" t="str">
        <f t="shared" si="9"/>
        <v>2025-05</v>
      </c>
      <c r="F231" t="s">
        <v>11</v>
      </c>
      <c r="G231" t="s">
        <v>6</v>
      </c>
      <c r="H231">
        <v>2</v>
      </c>
      <c r="I231" s="2">
        <v>21</v>
      </c>
      <c r="J231" s="2">
        <f t="shared" si="10"/>
        <v>42</v>
      </c>
      <c r="K231" s="2" t="str">
        <f t="shared" si="11"/>
        <v>Sale</v>
      </c>
      <c r="L231" t="s">
        <v>5</v>
      </c>
    </row>
    <row r="232" spans="1:12" x14ac:dyDescent="0.25">
      <c r="A232">
        <v>5230</v>
      </c>
      <c r="B232">
        <v>42</v>
      </c>
      <c r="C232" s="5" t="str">
        <f>IFERROR(_xlfn.XLOOKUP(B232, Customers_raw!A:A, Customers_raw!B:B), "Unknown Customer")</f>
        <v>Jennifer Harris</v>
      </c>
      <c r="D232" s="1">
        <v>45913</v>
      </c>
      <c r="E232" s="1" t="str">
        <f t="shared" si="9"/>
        <v>2025-09</v>
      </c>
      <c r="F232" t="s">
        <v>16</v>
      </c>
      <c r="G232" t="s">
        <v>10</v>
      </c>
      <c r="H232">
        <v>2</v>
      </c>
      <c r="I232" s="2">
        <v>28</v>
      </c>
      <c r="J232" s="2">
        <f t="shared" si="10"/>
        <v>56</v>
      </c>
      <c r="K232" s="2" t="str">
        <f t="shared" si="11"/>
        <v>Sale</v>
      </c>
      <c r="L232" t="s">
        <v>27</v>
      </c>
    </row>
    <row r="233" spans="1:12" x14ac:dyDescent="0.25">
      <c r="A233">
        <v>5231</v>
      </c>
      <c r="B233">
        <v>56</v>
      </c>
      <c r="C233" s="5" t="str">
        <f>IFERROR(_xlfn.XLOOKUP(B233, Customers_raw!A:A, Customers_raw!B:B), "Unknown Customer")</f>
        <v>Mark Hernandez</v>
      </c>
      <c r="D233" s="1">
        <v>45851</v>
      </c>
      <c r="E233" s="1" t="str">
        <f t="shared" si="9"/>
        <v>2025-07</v>
      </c>
      <c r="F233" t="s">
        <v>21</v>
      </c>
      <c r="G233" t="s">
        <v>17</v>
      </c>
      <c r="H233">
        <v>1</v>
      </c>
      <c r="I233" s="2">
        <v>60</v>
      </c>
      <c r="J233" s="2">
        <f t="shared" si="10"/>
        <v>60</v>
      </c>
      <c r="K233" s="2" t="str">
        <f t="shared" si="11"/>
        <v>Sale</v>
      </c>
      <c r="L233" t="s">
        <v>5</v>
      </c>
    </row>
    <row r="234" spans="1:12" x14ac:dyDescent="0.25">
      <c r="A234">
        <v>5232</v>
      </c>
      <c r="B234">
        <v>27</v>
      </c>
      <c r="C234" s="5" t="str">
        <f>IFERROR(_xlfn.XLOOKUP(B234, Customers_raw!A:A, Customers_raw!B:B), "Unknown Customer")</f>
        <v>Nancy Lee</v>
      </c>
      <c r="D234" s="1">
        <v>45663</v>
      </c>
      <c r="E234" s="1" t="str">
        <f t="shared" si="9"/>
        <v>2025-01</v>
      </c>
      <c r="F234" t="s">
        <v>14</v>
      </c>
      <c r="G234" t="s">
        <v>7</v>
      </c>
      <c r="H234">
        <v>1</v>
      </c>
      <c r="I234" s="2">
        <v>55</v>
      </c>
      <c r="J234" s="2">
        <f t="shared" si="10"/>
        <v>55</v>
      </c>
      <c r="K234" s="2" t="str">
        <f t="shared" si="11"/>
        <v>Sale</v>
      </c>
      <c r="L234" t="s">
        <v>5</v>
      </c>
    </row>
    <row r="235" spans="1:12" x14ac:dyDescent="0.25">
      <c r="A235">
        <v>5233</v>
      </c>
      <c r="B235">
        <v>69</v>
      </c>
      <c r="C235" s="5" t="str">
        <f>IFERROR(_xlfn.XLOOKUP(B235, Customers_raw!A:A, Customers_raw!B:B), "Unknown Customer")</f>
        <v>Jessica Brown</v>
      </c>
      <c r="D235" s="1">
        <v>45726</v>
      </c>
      <c r="E235" s="1" t="str">
        <f t="shared" si="9"/>
        <v>2025-03</v>
      </c>
      <c r="F235" t="s">
        <v>18</v>
      </c>
      <c r="G235" t="s">
        <v>6</v>
      </c>
      <c r="H235">
        <v>2</v>
      </c>
      <c r="I235" s="2">
        <v>92</v>
      </c>
      <c r="J235" s="2">
        <f t="shared" si="10"/>
        <v>184</v>
      </c>
      <c r="K235" s="2" t="str">
        <f t="shared" si="11"/>
        <v>Sale</v>
      </c>
      <c r="L235" t="s">
        <v>8</v>
      </c>
    </row>
    <row r="236" spans="1:12" x14ac:dyDescent="0.25">
      <c r="A236">
        <v>5234</v>
      </c>
      <c r="B236">
        <v>60</v>
      </c>
      <c r="C236" s="5" t="str">
        <f>IFERROR(_xlfn.XLOOKUP(B236, Customers_raw!A:A, Customers_raw!B:B), "Unknown Customer")</f>
        <v>Margaret Moore</v>
      </c>
      <c r="D236" s="1">
        <v>45678</v>
      </c>
      <c r="E236" s="1" t="str">
        <f t="shared" si="9"/>
        <v>2025-01</v>
      </c>
      <c r="F236" t="s">
        <v>11</v>
      </c>
      <c r="G236" t="s">
        <v>6</v>
      </c>
      <c r="H236">
        <v>2</v>
      </c>
      <c r="I236" s="2">
        <v>15</v>
      </c>
      <c r="J236" s="2">
        <f t="shared" si="10"/>
        <v>30</v>
      </c>
      <c r="K236" s="2" t="str">
        <f t="shared" si="11"/>
        <v>Sale</v>
      </c>
      <c r="L236" t="s">
        <v>27</v>
      </c>
    </row>
    <row r="237" spans="1:12" x14ac:dyDescent="0.25">
      <c r="A237">
        <v>5235</v>
      </c>
      <c r="B237">
        <v>30</v>
      </c>
      <c r="C237" s="5" t="str">
        <f>IFERROR(_xlfn.XLOOKUP(B237, Customers_raw!A:A, Customers_raw!B:B), "Unknown Customer")</f>
        <v>Sandra Taylor</v>
      </c>
      <c r="D237" s="1">
        <v>45867</v>
      </c>
      <c r="E237" s="1" t="str">
        <f t="shared" si="9"/>
        <v>2025-07</v>
      </c>
      <c r="F237" t="s">
        <v>12</v>
      </c>
      <c r="G237" t="s">
        <v>10</v>
      </c>
      <c r="H237">
        <v>-2</v>
      </c>
      <c r="I237" s="2">
        <v>22</v>
      </c>
      <c r="J237" s="2">
        <f t="shared" si="10"/>
        <v>-44</v>
      </c>
      <c r="K237" s="2" t="str">
        <f t="shared" si="11"/>
        <v>Return</v>
      </c>
      <c r="L237" t="s">
        <v>27</v>
      </c>
    </row>
    <row r="238" spans="1:12" x14ac:dyDescent="0.25">
      <c r="A238">
        <v>5236</v>
      </c>
      <c r="B238">
        <v>54</v>
      </c>
      <c r="C238" s="5" t="str">
        <f>IFERROR(_xlfn.XLOOKUP(B238, Customers_raw!A:A, Customers_raw!B:B), "Unknown Customer")</f>
        <v>Donald Moore</v>
      </c>
      <c r="D238" s="1">
        <v>45863</v>
      </c>
      <c r="E238" s="1" t="str">
        <f t="shared" si="9"/>
        <v>2025-07</v>
      </c>
      <c r="F238" t="s">
        <v>13</v>
      </c>
      <c r="G238" t="s">
        <v>7</v>
      </c>
      <c r="H238">
        <v>2</v>
      </c>
      <c r="I238" s="2">
        <v>35</v>
      </c>
      <c r="J238" s="2">
        <f t="shared" si="10"/>
        <v>70</v>
      </c>
      <c r="K238" s="2" t="str">
        <f t="shared" si="11"/>
        <v>Sale</v>
      </c>
      <c r="L238" t="s">
        <v>27</v>
      </c>
    </row>
    <row r="239" spans="1:12" x14ac:dyDescent="0.25">
      <c r="A239">
        <v>5237</v>
      </c>
      <c r="B239">
        <v>47</v>
      </c>
      <c r="C239" s="5" t="str">
        <f>IFERROR(_xlfn.XLOOKUP(B239, Customers_raw!A:A, Customers_raw!B:B), "Unknown Customer")</f>
        <v>Christopher Rodriguez</v>
      </c>
      <c r="D239" s="1">
        <v>45845</v>
      </c>
      <c r="E239" s="1" t="str">
        <f t="shared" si="9"/>
        <v>2025-07</v>
      </c>
      <c r="F239" t="s">
        <v>11</v>
      </c>
      <c r="G239" t="s">
        <v>6</v>
      </c>
      <c r="H239">
        <v>1</v>
      </c>
      <c r="I239" s="2">
        <v>21</v>
      </c>
      <c r="J239" s="2">
        <f t="shared" si="10"/>
        <v>21</v>
      </c>
      <c r="K239" s="2" t="str">
        <f t="shared" si="11"/>
        <v>Sale</v>
      </c>
      <c r="L239" t="s">
        <v>5</v>
      </c>
    </row>
    <row r="240" spans="1:12" x14ac:dyDescent="0.25">
      <c r="A240">
        <v>5238</v>
      </c>
      <c r="B240">
        <v>38</v>
      </c>
      <c r="C240" s="5" t="str">
        <f>IFERROR(_xlfn.XLOOKUP(B240, Customers_raw!A:A, Customers_raw!B:B), "Unknown Customer")</f>
        <v>Jennifer Davis</v>
      </c>
      <c r="D240" s="1">
        <v>45833</v>
      </c>
      <c r="E240" s="1" t="str">
        <f t="shared" si="9"/>
        <v>2025-06</v>
      </c>
      <c r="F240" t="s">
        <v>19</v>
      </c>
      <c r="G240" t="s">
        <v>17</v>
      </c>
      <c r="H240">
        <v>3</v>
      </c>
      <c r="I240" s="2">
        <v>19</v>
      </c>
      <c r="J240" s="2">
        <f t="shared" si="10"/>
        <v>57</v>
      </c>
      <c r="K240" s="2" t="str">
        <f t="shared" si="11"/>
        <v>Sale</v>
      </c>
      <c r="L240" t="s">
        <v>27</v>
      </c>
    </row>
    <row r="241" spans="1:12" x14ac:dyDescent="0.25">
      <c r="A241">
        <v>5239</v>
      </c>
      <c r="B241">
        <v>27</v>
      </c>
      <c r="C241" s="5" t="str">
        <f>IFERROR(_xlfn.XLOOKUP(B241, Customers_raw!A:A, Customers_raw!B:B), "Unknown Customer")</f>
        <v>Nancy Lee</v>
      </c>
      <c r="D241" s="1">
        <v>45842</v>
      </c>
      <c r="E241" s="1" t="str">
        <f t="shared" si="9"/>
        <v>2025-07</v>
      </c>
      <c r="F241" t="s">
        <v>15</v>
      </c>
      <c r="G241" t="s">
        <v>7</v>
      </c>
      <c r="H241">
        <v>1</v>
      </c>
      <c r="I241" s="2">
        <v>67</v>
      </c>
      <c r="J241" s="2">
        <f t="shared" si="10"/>
        <v>67</v>
      </c>
      <c r="K241" s="2" t="str">
        <f t="shared" si="11"/>
        <v>Sale</v>
      </c>
      <c r="L241" t="s">
        <v>5</v>
      </c>
    </row>
    <row r="242" spans="1:12" x14ac:dyDescent="0.25">
      <c r="A242">
        <v>5240</v>
      </c>
      <c r="B242">
        <v>73</v>
      </c>
      <c r="C242" s="5" t="str">
        <f>IFERROR(_xlfn.XLOOKUP(B242, Customers_raw!A:A, Customers_raw!B:B), "Unknown Customer")</f>
        <v>Michael Thompson</v>
      </c>
      <c r="D242" s="1">
        <v>45983</v>
      </c>
      <c r="E242" s="1" t="str">
        <f t="shared" si="9"/>
        <v>2025-11</v>
      </c>
      <c r="F242" t="s">
        <v>22</v>
      </c>
      <c r="G242" t="s">
        <v>17</v>
      </c>
      <c r="H242">
        <v>3</v>
      </c>
      <c r="I242" s="2">
        <v>24</v>
      </c>
      <c r="J242" s="2">
        <f t="shared" si="10"/>
        <v>72</v>
      </c>
      <c r="K242" s="2" t="str">
        <f t="shared" si="11"/>
        <v>Sale</v>
      </c>
      <c r="L242" t="s">
        <v>5</v>
      </c>
    </row>
    <row r="243" spans="1:12" x14ac:dyDescent="0.25">
      <c r="A243">
        <v>5241</v>
      </c>
      <c r="B243">
        <v>91</v>
      </c>
      <c r="C243" s="5" t="str">
        <f>IFERROR(_xlfn.XLOOKUP(B243, Customers_raw!A:A, Customers_raw!B:B), "Unknown Customer")</f>
        <v>Donald Rodriguez</v>
      </c>
      <c r="D243" s="1">
        <v>45941</v>
      </c>
      <c r="E243" s="1" t="str">
        <f t="shared" si="9"/>
        <v>2025-10</v>
      </c>
      <c r="F243" t="s">
        <v>19</v>
      </c>
      <c r="G243" t="s">
        <v>17</v>
      </c>
      <c r="H243">
        <v>1</v>
      </c>
      <c r="I243" s="2">
        <v>19</v>
      </c>
      <c r="J243" s="2">
        <f t="shared" si="10"/>
        <v>19</v>
      </c>
      <c r="K243" s="2" t="str">
        <f t="shared" si="11"/>
        <v>Sale</v>
      </c>
      <c r="L243" t="s">
        <v>5</v>
      </c>
    </row>
    <row r="244" spans="1:12" x14ac:dyDescent="0.25">
      <c r="A244">
        <v>5242</v>
      </c>
      <c r="B244">
        <v>4</v>
      </c>
      <c r="C244" s="5" t="str">
        <f>IFERROR(_xlfn.XLOOKUP(B244, Customers_raw!A:A, Customers_raw!B:B), "Unknown Customer")</f>
        <v>Joshua Brown</v>
      </c>
      <c r="D244" s="1">
        <v>45747</v>
      </c>
      <c r="E244" s="1" t="str">
        <f t="shared" si="9"/>
        <v>2025-03</v>
      </c>
      <c r="F244" t="s">
        <v>9</v>
      </c>
      <c r="G244" t="s">
        <v>6</v>
      </c>
      <c r="H244">
        <v>2</v>
      </c>
      <c r="I244" s="2">
        <v>48</v>
      </c>
      <c r="J244" s="2">
        <f t="shared" si="10"/>
        <v>96</v>
      </c>
      <c r="K244" s="2" t="str">
        <f t="shared" si="11"/>
        <v>Sale</v>
      </c>
      <c r="L244" t="s">
        <v>27</v>
      </c>
    </row>
    <row r="245" spans="1:12" x14ac:dyDescent="0.25">
      <c r="A245">
        <v>5243</v>
      </c>
      <c r="B245">
        <v>26</v>
      </c>
      <c r="C245" s="5" t="str">
        <f>IFERROR(_xlfn.XLOOKUP(B245, Customers_raw!A:A, Customers_raw!B:B), "Unknown Customer")</f>
        <v>Betty Johnson</v>
      </c>
      <c r="D245" s="1">
        <v>45966</v>
      </c>
      <c r="E245" s="1" t="str">
        <f t="shared" si="9"/>
        <v>2025-11</v>
      </c>
      <c r="F245" t="s">
        <v>14</v>
      </c>
      <c r="G245" t="s">
        <v>7</v>
      </c>
      <c r="H245">
        <v>1</v>
      </c>
      <c r="I245" s="2">
        <v>54.794117647058826</v>
      </c>
      <c r="J245" s="2">
        <f t="shared" si="10"/>
        <v>54.794117647058826</v>
      </c>
      <c r="K245" s="2" t="str">
        <f t="shared" si="11"/>
        <v>Sale</v>
      </c>
      <c r="L245" t="s">
        <v>8</v>
      </c>
    </row>
    <row r="246" spans="1:12" x14ac:dyDescent="0.25">
      <c r="A246">
        <v>5244</v>
      </c>
      <c r="B246">
        <v>13</v>
      </c>
      <c r="C246" s="5" t="str">
        <f>IFERROR(_xlfn.XLOOKUP(B246, Customers_raw!A:A, Customers_raw!B:B), "Unknown Customer")</f>
        <v>Anthony Johnson</v>
      </c>
      <c r="D246" s="1">
        <v>45745</v>
      </c>
      <c r="E246" s="1" t="str">
        <f t="shared" si="9"/>
        <v>2025-03</v>
      </c>
      <c r="F246" t="s">
        <v>12</v>
      </c>
      <c r="G246" t="s">
        <v>10</v>
      </c>
      <c r="H246">
        <v>2</v>
      </c>
      <c r="I246" s="2">
        <v>25</v>
      </c>
      <c r="J246" s="2">
        <f t="shared" si="10"/>
        <v>50</v>
      </c>
      <c r="K246" s="2" t="str">
        <f t="shared" si="11"/>
        <v>Sale</v>
      </c>
      <c r="L246" t="s">
        <v>5</v>
      </c>
    </row>
    <row r="247" spans="1:12" x14ac:dyDescent="0.25">
      <c r="A247">
        <v>5245</v>
      </c>
      <c r="B247">
        <v>2</v>
      </c>
      <c r="C247" s="5" t="str">
        <f>IFERROR(_xlfn.XLOOKUP(B247, Customers_raw!A:A, Customers_raw!B:B), "Unknown Customer")</f>
        <v>Michael Lopez</v>
      </c>
      <c r="D247" s="1">
        <v>45954</v>
      </c>
      <c r="E247" s="1" t="str">
        <f t="shared" si="9"/>
        <v>2025-10</v>
      </c>
      <c r="F247" t="s">
        <v>22</v>
      </c>
      <c r="G247" t="s">
        <v>17</v>
      </c>
      <c r="H247">
        <v>1</v>
      </c>
      <c r="I247" s="2">
        <v>24</v>
      </c>
      <c r="J247" s="2">
        <f t="shared" si="10"/>
        <v>24</v>
      </c>
      <c r="K247" s="2" t="str">
        <f t="shared" si="11"/>
        <v>Sale</v>
      </c>
      <c r="L247" t="s">
        <v>27</v>
      </c>
    </row>
    <row r="248" spans="1:12" x14ac:dyDescent="0.25">
      <c r="A248">
        <v>5246</v>
      </c>
      <c r="B248">
        <v>5</v>
      </c>
      <c r="C248" s="5" t="str">
        <f>IFERROR(_xlfn.XLOOKUP(B248, Customers_raw!A:A, Customers_raw!B:B), "Unknown Customer")</f>
        <v>Joshua Martin</v>
      </c>
      <c r="D248" s="1">
        <v>45979</v>
      </c>
      <c r="E248" s="1" t="str">
        <f t="shared" si="9"/>
        <v>2025-11</v>
      </c>
      <c r="F248" t="s">
        <v>18</v>
      </c>
      <c r="G248" t="s">
        <v>6</v>
      </c>
      <c r="H248">
        <v>2</v>
      </c>
      <c r="I248" s="2">
        <v>86</v>
      </c>
      <c r="J248" s="2">
        <f t="shared" si="10"/>
        <v>172</v>
      </c>
      <c r="K248" s="2" t="str">
        <f t="shared" si="11"/>
        <v>Sale</v>
      </c>
      <c r="L248" t="s">
        <v>8</v>
      </c>
    </row>
    <row r="249" spans="1:12" x14ac:dyDescent="0.25">
      <c r="A249">
        <v>5247</v>
      </c>
      <c r="B249">
        <v>80</v>
      </c>
      <c r="C249" s="5" t="str">
        <f>IFERROR(_xlfn.XLOOKUP(B249, Customers_raw!A:A, Customers_raw!B:B), "Unknown Customer")</f>
        <v>Susan Lopez</v>
      </c>
      <c r="D249" s="1">
        <v>45668</v>
      </c>
      <c r="E249" s="1" t="str">
        <f t="shared" si="9"/>
        <v>2025-01</v>
      </c>
      <c r="F249" t="s">
        <v>14</v>
      </c>
      <c r="G249" t="s">
        <v>7</v>
      </c>
      <c r="H249">
        <v>1</v>
      </c>
      <c r="I249" s="2">
        <v>55</v>
      </c>
      <c r="J249" s="2">
        <f t="shared" si="10"/>
        <v>55</v>
      </c>
      <c r="K249" s="2" t="str">
        <f t="shared" si="11"/>
        <v>Sale</v>
      </c>
      <c r="L249" t="s">
        <v>8</v>
      </c>
    </row>
    <row r="250" spans="1:12" x14ac:dyDescent="0.25">
      <c r="A250">
        <v>5248</v>
      </c>
      <c r="B250">
        <v>7</v>
      </c>
      <c r="C250" s="5" t="str">
        <f>IFERROR(_xlfn.XLOOKUP(B250, Customers_raw!A:A, Customers_raw!B:B), "Unknown Customer")</f>
        <v>Emily Ramirez</v>
      </c>
      <c r="D250" s="1">
        <v>45780</v>
      </c>
      <c r="E250" s="1" t="str">
        <f t="shared" si="9"/>
        <v>2025-05</v>
      </c>
      <c r="F250" t="s">
        <v>21</v>
      </c>
      <c r="G250" t="s">
        <v>17</v>
      </c>
      <c r="H250">
        <v>1</v>
      </c>
      <c r="I250" s="2">
        <v>57</v>
      </c>
      <c r="J250" s="2">
        <f t="shared" si="10"/>
        <v>57</v>
      </c>
      <c r="K250" s="2" t="str">
        <f t="shared" si="11"/>
        <v>Sale</v>
      </c>
      <c r="L250" t="s">
        <v>5</v>
      </c>
    </row>
    <row r="251" spans="1:12" x14ac:dyDescent="0.25">
      <c r="A251">
        <v>5249</v>
      </c>
      <c r="B251">
        <v>1</v>
      </c>
      <c r="C251" s="5" t="str">
        <f>IFERROR(_xlfn.XLOOKUP(B251, Customers_raw!A:A, Customers_raw!B:B), "Unknown Customer")</f>
        <v>Christopher Jones</v>
      </c>
      <c r="D251" s="1">
        <v>45783</v>
      </c>
      <c r="E251" s="1" t="str">
        <f t="shared" si="9"/>
        <v>2025-05</v>
      </c>
      <c r="F251" t="s">
        <v>13</v>
      </c>
      <c r="G251" t="s">
        <v>7</v>
      </c>
      <c r="H251">
        <v>2</v>
      </c>
      <c r="I251" s="2">
        <v>32</v>
      </c>
      <c r="J251" s="2">
        <f t="shared" si="10"/>
        <v>64</v>
      </c>
      <c r="K251" s="2" t="str">
        <f t="shared" si="11"/>
        <v>Sale</v>
      </c>
      <c r="L251" t="s">
        <v>27</v>
      </c>
    </row>
    <row r="252" spans="1:12" x14ac:dyDescent="0.25">
      <c r="A252">
        <v>5250</v>
      </c>
      <c r="B252">
        <v>87</v>
      </c>
      <c r="C252" s="5" t="str">
        <f>IFERROR(_xlfn.XLOOKUP(B252, Customers_raw!A:A, Customers_raw!B:B), "Unknown Customer")</f>
        <v>Joseph Williams</v>
      </c>
      <c r="D252" s="1">
        <v>46003</v>
      </c>
      <c r="E252" s="1" t="str">
        <f t="shared" si="9"/>
        <v>2025-12</v>
      </c>
      <c r="F252" t="s">
        <v>14</v>
      </c>
      <c r="G252" t="s">
        <v>7</v>
      </c>
      <c r="H252">
        <v>2</v>
      </c>
      <c r="I252" s="2">
        <v>54.794117647058826</v>
      </c>
      <c r="J252" s="2">
        <f t="shared" si="10"/>
        <v>109.58823529411765</v>
      </c>
      <c r="K252" s="2" t="str">
        <f t="shared" si="11"/>
        <v>Sale</v>
      </c>
      <c r="L252" t="s">
        <v>8</v>
      </c>
    </row>
    <row r="253" spans="1:12" x14ac:dyDescent="0.25">
      <c r="A253">
        <v>5251</v>
      </c>
      <c r="B253">
        <v>102</v>
      </c>
      <c r="C253" s="5" t="str">
        <f>IFERROR(_xlfn.XLOOKUP(B253, Customers_raw!A:A, Customers_raw!B:B), "Unknown Customer")</f>
        <v>Ashley Wilson</v>
      </c>
      <c r="D253" s="1">
        <v>45702</v>
      </c>
      <c r="E253" s="1" t="str">
        <f t="shared" si="9"/>
        <v>2025-02</v>
      </c>
      <c r="F253" t="s">
        <v>9</v>
      </c>
      <c r="G253" t="s">
        <v>6</v>
      </c>
      <c r="H253">
        <v>1</v>
      </c>
      <c r="I253" s="2">
        <v>45</v>
      </c>
      <c r="J253" s="2">
        <f t="shared" si="10"/>
        <v>45</v>
      </c>
      <c r="K253" s="2" t="str">
        <f t="shared" si="11"/>
        <v>Sale</v>
      </c>
      <c r="L253" t="s">
        <v>8</v>
      </c>
    </row>
    <row r="254" spans="1:12" x14ac:dyDescent="0.25">
      <c r="A254">
        <v>5252</v>
      </c>
      <c r="B254">
        <v>57</v>
      </c>
      <c r="C254" s="5" t="str">
        <f>IFERROR(_xlfn.XLOOKUP(B254, Customers_raw!A:A, Customers_raw!B:B), "Unknown Customer")</f>
        <v>Karen Clark</v>
      </c>
      <c r="D254" s="1">
        <v>45860</v>
      </c>
      <c r="E254" s="1" t="str">
        <f t="shared" si="9"/>
        <v>2025-07</v>
      </c>
      <c r="F254" t="s">
        <v>18</v>
      </c>
      <c r="G254" t="s">
        <v>6</v>
      </c>
      <c r="H254">
        <v>1</v>
      </c>
      <c r="I254" s="2">
        <v>89</v>
      </c>
      <c r="J254" s="2">
        <f t="shared" si="10"/>
        <v>89</v>
      </c>
      <c r="K254" s="2" t="str">
        <f t="shared" si="11"/>
        <v>Sale</v>
      </c>
      <c r="L254" t="s">
        <v>5</v>
      </c>
    </row>
    <row r="255" spans="1:12" x14ac:dyDescent="0.25">
      <c r="A255">
        <v>5253</v>
      </c>
      <c r="B255">
        <v>52</v>
      </c>
      <c r="C255" s="5" t="str">
        <f>IFERROR(_xlfn.XLOOKUP(B255, Customers_raw!A:A, Customers_raw!B:B), "Unknown Customer")</f>
        <v>Sarah Johnson</v>
      </c>
      <c r="D255" s="1">
        <v>45691</v>
      </c>
      <c r="E255" s="1" t="str">
        <f t="shared" si="9"/>
        <v>2025-02</v>
      </c>
      <c r="F255" t="s">
        <v>22</v>
      </c>
      <c r="G255" t="s">
        <v>17</v>
      </c>
      <c r="H255">
        <v>2</v>
      </c>
      <c r="I255" s="2">
        <v>23.742857142857144</v>
      </c>
      <c r="J255" s="2">
        <f t="shared" si="10"/>
        <v>47.485714285714288</v>
      </c>
      <c r="K255" s="2" t="str">
        <f t="shared" si="11"/>
        <v>Sale</v>
      </c>
      <c r="L255" t="s">
        <v>8</v>
      </c>
    </row>
    <row r="256" spans="1:12" x14ac:dyDescent="0.25">
      <c r="A256">
        <v>5254</v>
      </c>
      <c r="B256">
        <v>25</v>
      </c>
      <c r="C256" s="5" t="str">
        <f>IFERROR(_xlfn.XLOOKUP(B256, Customers_raw!A:A, Customers_raw!B:B), "Unknown Customer")</f>
        <v>Emily Wilson</v>
      </c>
      <c r="D256" s="1">
        <v>45803</v>
      </c>
      <c r="E256" s="1" t="str">
        <f t="shared" si="9"/>
        <v>2025-05</v>
      </c>
      <c r="F256" t="s">
        <v>13</v>
      </c>
      <c r="G256" t="s">
        <v>7</v>
      </c>
      <c r="H256">
        <v>1</v>
      </c>
      <c r="I256" s="2">
        <v>32</v>
      </c>
      <c r="J256" s="2">
        <f t="shared" si="10"/>
        <v>32</v>
      </c>
      <c r="K256" s="2" t="str">
        <f t="shared" si="11"/>
        <v>Sale</v>
      </c>
      <c r="L256" t="s">
        <v>5</v>
      </c>
    </row>
    <row r="257" spans="1:12" x14ac:dyDescent="0.25">
      <c r="A257">
        <v>5255</v>
      </c>
      <c r="B257">
        <v>4</v>
      </c>
      <c r="C257" s="5" t="str">
        <f>IFERROR(_xlfn.XLOOKUP(B257, Customers_raw!A:A, Customers_raw!B:B), "Unknown Customer")</f>
        <v>Joshua Brown</v>
      </c>
      <c r="D257" s="1">
        <v>45737</v>
      </c>
      <c r="E257" s="1" t="str">
        <f t="shared" si="9"/>
        <v>2025-03</v>
      </c>
      <c r="F257" t="s">
        <v>11</v>
      </c>
      <c r="G257" t="s">
        <v>6</v>
      </c>
      <c r="H257">
        <v>3</v>
      </c>
      <c r="I257" s="2">
        <v>18</v>
      </c>
      <c r="J257" s="2">
        <f t="shared" si="10"/>
        <v>54</v>
      </c>
      <c r="K257" s="2" t="str">
        <f t="shared" si="11"/>
        <v>Sale</v>
      </c>
      <c r="L257" t="s">
        <v>5</v>
      </c>
    </row>
    <row r="258" spans="1:12" x14ac:dyDescent="0.25">
      <c r="A258">
        <v>5256</v>
      </c>
      <c r="B258">
        <v>70</v>
      </c>
      <c r="C258" s="5" t="str">
        <f>IFERROR(_xlfn.XLOOKUP(B258, Customers_raw!A:A, Customers_raw!B:B), "Unknown Customer")</f>
        <v>Karen Perez</v>
      </c>
      <c r="D258" s="1">
        <v>46001</v>
      </c>
      <c r="E258" s="1" t="str">
        <f t="shared" si="9"/>
        <v>2025-12</v>
      </c>
      <c r="F258" t="s">
        <v>20</v>
      </c>
      <c r="G258" t="s">
        <v>10</v>
      </c>
      <c r="H258">
        <v>2</v>
      </c>
      <c r="I258" s="2">
        <v>65</v>
      </c>
      <c r="J258" s="2">
        <f t="shared" si="10"/>
        <v>130</v>
      </c>
      <c r="K258" s="2" t="str">
        <f t="shared" si="11"/>
        <v>Sale</v>
      </c>
      <c r="L258" t="s">
        <v>5</v>
      </c>
    </row>
    <row r="259" spans="1:12" x14ac:dyDescent="0.25">
      <c r="A259">
        <v>5257</v>
      </c>
      <c r="B259">
        <v>28</v>
      </c>
      <c r="C259" s="5" t="str">
        <f>IFERROR(_xlfn.XLOOKUP(B259, Customers_raw!A:A, Customers_raw!B:B), "Unknown Customer")</f>
        <v>Michael Lopez</v>
      </c>
      <c r="D259" s="1">
        <v>45865</v>
      </c>
      <c r="E259" s="1" t="str">
        <f t="shared" ref="E259:E322" si="12">TEXT(D:D,"YYYY-MM")</f>
        <v>2025-07</v>
      </c>
      <c r="F259" t="s">
        <v>19</v>
      </c>
      <c r="G259" t="s">
        <v>17</v>
      </c>
      <c r="H259">
        <v>3</v>
      </c>
      <c r="I259" s="2">
        <v>22</v>
      </c>
      <c r="J259" s="2">
        <f t="shared" ref="J259:J322" si="13">H259*I259</f>
        <v>66</v>
      </c>
      <c r="K259" s="2" t="str">
        <f t="shared" ref="K259:K322" si="14">IF(H259&lt;0,"Return","Sale")</f>
        <v>Sale</v>
      </c>
      <c r="L259" t="s">
        <v>8</v>
      </c>
    </row>
    <row r="260" spans="1:12" x14ac:dyDescent="0.25">
      <c r="A260">
        <v>5258</v>
      </c>
      <c r="B260">
        <v>65</v>
      </c>
      <c r="C260" s="5" t="str">
        <f>IFERROR(_xlfn.XLOOKUP(B260, Customers_raw!A:A, Customers_raw!B:B), "Unknown Customer")</f>
        <v>Betty Jones</v>
      </c>
      <c r="D260" s="1">
        <v>45774</v>
      </c>
      <c r="E260" s="1" t="str">
        <f t="shared" si="12"/>
        <v>2025-04</v>
      </c>
      <c r="F260" t="s">
        <v>9</v>
      </c>
      <c r="G260" t="s">
        <v>6</v>
      </c>
      <c r="H260">
        <v>3</v>
      </c>
      <c r="I260" s="2">
        <v>45</v>
      </c>
      <c r="J260" s="2">
        <f t="shared" si="13"/>
        <v>135</v>
      </c>
      <c r="K260" s="2" t="str">
        <f t="shared" si="14"/>
        <v>Sale</v>
      </c>
      <c r="L260" t="s">
        <v>27</v>
      </c>
    </row>
    <row r="261" spans="1:12" x14ac:dyDescent="0.25">
      <c r="A261">
        <v>5259</v>
      </c>
      <c r="B261">
        <v>57</v>
      </c>
      <c r="C261" s="5" t="str">
        <f>IFERROR(_xlfn.XLOOKUP(B261, Customers_raw!A:A, Customers_raw!B:B), "Unknown Customer")</f>
        <v>Karen Clark</v>
      </c>
      <c r="D261" s="1">
        <v>45846</v>
      </c>
      <c r="E261" s="1" t="str">
        <f t="shared" si="12"/>
        <v>2025-07</v>
      </c>
      <c r="F261" t="s">
        <v>21</v>
      </c>
      <c r="G261" t="s">
        <v>17</v>
      </c>
      <c r="H261">
        <v>2</v>
      </c>
      <c r="I261" s="2">
        <v>63</v>
      </c>
      <c r="J261" s="2">
        <f t="shared" si="13"/>
        <v>126</v>
      </c>
      <c r="K261" s="2" t="str">
        <f t="shared" si="14"/>
        <v>Sale</v>
      </c>
      <c r="L261" t="s">
        <v>27</v>
      </c>
    </row>
    <row r="262" spans="1:12" x14ac:dyDescent="0.25">
      <c r="A262">
        <v>5260</v>
      </c>
      <c r="B262">
        <v>45</v>
      </c>
      <c r="C262" s="5" t="str">
        <f>IFERROR(_xlfn.XLOOKUP(B262, Customers_raw!A:A, Customers_raw!B:B), "Unknown Customer")</f>
        <v>Michael Moore</v>
      </c>
      <c r="D262" s="1">
        <v>46005</v>
      </c>
      <c r="E262" s="1" t="str">
        <f t="shared" si="12"/>
        <v>2025-12</v>
      </c>
      <c r="F262" t="s">
        <v>12</v>
      </c>
      <c r="G262" t="s">
        <v>10</v>
      </c>
      <c r="H262">
        <v>2</v>
      </c>
      <c r="I262" s="2">
        <v>22</v>
      </c>
      <c r="J262" s="2">
        <f t="shared" si="13"/>
        <v>44</v>
      </c>
      <c r="K262" s="2" t="str">
        <f t="shared" si="14"/>
        <v>Sale</v>
      </c>
      <c r="L262" t="s">
        <v>8</v>
      </c>
    </row>
    <row r="263" spans="1:12" x14ac:dyDescent="0.25">
      <c r="A263">
        <v>5261</v>
      </c>
      <c r="B263">
        <v>85</v>
      </c>
      <c r="C263" s="5" t="str">
        <f>IFERROR(_xlfn.XLOOKUP(B263, Customers_raw!A:A, Customers_raw!B:B), "Unknown Customer")</f>
        <v>Elizabeth Martinez</v>
      </c>
      <c r="D263" s="1">
        <v>45948</v>
      </c>
      <c r="E263" s="1" t="str">
        <f t="shared" si="12"/>
        <v>2025-10</v>
      </c>
      <c r="F263" t="s">
        <v>19</v>
      </c>
      <c r="G263" t="s">
        <v>17</v>
      </c>
      <c r="H263">
        <v>1</v>
      </c>
      <c r="I263" s="2">
        <v>16</v>
      </c>
      <c r="J263" s="2">
        <f t="shared" si="13"/>
        <v>16</v>
      </c>
      <c r="K263" s="2" t="str">
        <f t="shared" si="14"/>
        <v>Sale</v>
      </c>
      <c r="L263" t="s">
        <v>5</v>
      </c>
    </row>
    <row r="264" spans="1:12" x14ac:dyDescent="0.25">
      <c r="A264">
        <v>5262</v>
      </c>
      <c r="B264">
        <v>23</v>
      </c>
      <c r="C264" s="5" t="str">
        <f>IFERROR(_xlfn.XLOOKUP(B264, Customers_raw!A:A, Customers_raw!B:B), "Unknown Customer")</f>
        <v>Thomas Martinez</v>
      </c>
      <c r="D264" s="1">
        <v>45822</v>
      </c>
      <c r="E264" s="1" t="str">
        <f t="shared" si="12"/>
        <v>2025-06</v>
      </c>
      <c r="F264" t="s">
        <v>9</v>
      </c>
      <c r="G264" t="s">
        <v>6</v>
      </c>
      <c r="H264">
        <v>3</v>
      </c>
      <c r="I264" s="2">
        <v>42</v>
      </c>
      <c r="J264" s="2">
        <f t="shared" si="13"/>
        <v>126</v>
      </c>
      <c r="K264" s="2" t="str">
        <f t="shared" si="14"/>
        <v>Sale</v>
      </c>
      <c r="L264" t="s">
        <v>27</v>
      </c>
    </row>
    <row r="265" spans="1:12" x14ac:dyDescent="0.25">
      <c r="A265">
        <v>5263</v>
      </c>
      <c r="B265">
        <v>98</v>
      </c>
      <c r="C265" s="5" t="str">
        <f>IFERROR(_xlfn.XLOOKUP(B265, Customers_raw!A:A, Customers_raw!B:B), "Unknown Customer")</f>
        <v>Karen Williams</v>
      </c>
      <c r="D265" s="1">
        <v>45756</v>
      </c>
      <c r="E265" s="1" t="str">
        <f t="shared" si="12"/>
        <v>2025-04</v>
      </c>
      <c r="F265" t="s">
        <v>18</v>
      </c>
      <c r="G265" t="s">
        <v>6</v>
      </c>
      <c r="H265">
        <v>3</v>
      </c>
      <c r="I265" s="2">
        <v>89</v>
      </c>
      <c r="J265" s="2">
        <f t="shared" si="13"/>
        <v>267</v>
      </c>
      <c r="K265" s="2" t="str">
        <f t="shared" si="14"/>
        <v>Sale</v>
      </c>
      <c r="L265" t="s">
        <v>5</v>
      </c>
    </row>
    <row r="266" spans="1:12" x14ac:dyDescent="0.25">
      <c r="A266">
        <v>5264</v>
      </c>
      <c r="B266">
        <v>17</v>
      </c>
      <c r="C266" s="5" t="str">
        <f>IFERROR(_xlfn.XLOOKUP(B266, Customers_raw!A:A, Customers_raw!B:B), "Unknown Customer")</f>
        <v>Mary Thomas</v>
      </c>
      <c r="D266" s="1">
        <v>45862</v>
      </c>
      <c r="E266" s="1" t="str">
        <f t="shared" si="12"/>
        <v>2025-07</v>
      </c>
      <c r="F266" t="s">
        <v>19</v>
      </c>
      <c r="G266" t="s">
        <v>17</v>
      </c>
      <c r="H266">
        <v>1</v>
      </c>
      <c r="I266" s="2">
        <v>19</v>
      </c>
      <c r="J266" s="2">
        <f t="shared" si="13"/>
        <v>19</v>
      </c>
      <c r="K266" s="2" t="str">
        <f t="shared" si="14"/>
        <v>Sale</v>
      </c>
      <c r="L266" t="s">
        <v>5</v>
      </c>
    </row>
    <row r="267" spans="1:12" x14ac:dyDescent="0.25">
      <c r="A267">
        <v>5265</v>
      </c>
      <c r="B267">
        <v>23</v>
      </c>
      <c r="C267" s="5" t="str">
        <f>IFERROR(_xlfn.XLOOKUP(B267, Customers_raw!A:A, Customers_raw!B:B), "Unknown Customer")</f>
        <v>Thomas Martinez</v>
      </c>
      <c r="D267" s="1">
        <v>45845</v>
      </c>
      <c r="E267" s="1" t="str">
        <f t="shared" si="12"/>
        <v>2025-07</v>
      </c>
      <c r="F267" t="s">
        <v>16</v>
      </c>
      <c r="G267" t="s">
        <v>10</v>
      </c>
      <c r="H267">
        <v>2</v>
      </c>
      <c r="I267" s="2">
        <v>25</v>
      </c>
      <c r="J267" s="2">
        <f t="shared" si="13"/>
        <v>50</v>
      </c>
      <c r="K267" s="2" t="str">
        <f t="shared" si="14"/>
        <v>Sale</v>
      </c>
      <c r="L267" t="s">
        <v>27</v>
      </c>
    </row>
    <row r="268" spans="1:12" x14ac:dyDescent="0.25">
      <c r="A268">
        <v>5266</v>
      </c>
      <c r="B268">
        <v>109</v>
      </c>
      <c r="C268" s="5" t="str">
        <f>IFERROR(_xlfn.XLOOKUP(B268, Customers_raw!A:A, Customers_raw!B:B), "Unknown Customer")</f>
        <v>Richard Sanchez</v>
      </c>
      <c r="D268" s="1">
        <v>45838</v>
      </c>
      <c r="E268" s="1" t="str">
        <f t="shared" si="12"/>
        <v>2025-06</v>
      </c>
      <c r="F268" t="s">
        <v>14</v>
      </c>
      <c r="G268" t="s">
        <v>7</v>
      </c>
      <c r="H268">
        <v>1</v>
      </c>
      <c r="I268" s="2">
        <v>55</v>
      </c>
      <c r="J268" s="2">
        <f t="shared" si="13"/>
        <v>55</v>
      </c>
      <c r="K268" s="2" t="str">
        <f t="shared" si="14"/>
        <v>Sale</v>
      </c>
      <c r="L268" t="s">
        <v>27</v>
      </c>
    </row>
    <row r="269" spans="1:12" x14ac:dyDescent="0.25">
      <c r="A269">
        <v>5267</v>
      </c>
      <c r="B269">
        <v>94</v>
      </c>
      <c r="C269" s="5" t="str">
        <f>IFERROR(_xlfn.XLOOKUP(B269, Customers_raw!A:A, Customers_raw!B:B), "Unknown Customer")</f>
        <v>Kenneth Jones</v>
      </c>
      <c r="D269" s="1">
        <v>46022</v>
      </c>
      <c r="E269" s="1" t="str">
        <f t="shared" si="12"/>
        <v>2025-12</v>
      </c>
      <c r="F269" t="s">
        <v>9</v>
      </c>
      <c r="G269" t="s">
        <v>6</v>
      </c>
      <c r="H269">
        <v>-2</v>
      </c>
      <c r="I269" s="2">
        <v>42</v>
      </c>
      <c r="J269" s="2">
        <f t="shared" si="13"/>
        <v>-84</v>
      </c>
      <c r="K269" s="2" t="str">
        <f t="shared" si="14"/>
        <v>Return</v>
      </c>
      <c r="L269" t="s">
        <v>8</v>
      </c>
    </row>
    <row r="270" spans="1:12" x14ac:dyDescent="0.25">
      <c r="A270">
        <v>5268</v>
      </c>
      <c r="B270">
        <v>26</v>
      </c>
      <c r="C270" s="5" t="str">
        <f>IFERROR(_xlfn.XLOOKUP(B270, Customers_raw!A:A, Customers_raw!B:B), "Unknown Customer")</f>
        <v>Betty Johnson</v>
      </c>
      <c r="D270" s="1">
        <v>45737</v>
      </c>
      <c r="E270" s="1" t="str">
        <f t="shared" si="12"/>
        <v>2025-03</v>
      </c>
      <c r="F270" t="s">
        <v>18</v>
      </c>
      <c r="G270" t="s">
        <v>6</v>
      </c>
      <c r="H270">
        <v>3</v>
      </c>
      <c r="I270" s="2">
        <v>89.144230769230774</v>
      </c>
      <c r="J270" s="2">
        <f t="shared" si="13"/>
        <v>267.43269230769232</v>
      </c>
      <c r="K270" s="2" t="str">
        <f t="shared" si="14"/>
        <v>Sale</v>
      </c>
      <c r="L270" t="s">
        <v>5</v>
      </c>
    </row>
    <row r="271" spans="1:12" x14ac:dyDescent="0.25">
      <c r="A271">
        <v>5269</v>
      </c>
      <c r="B271">
        <v>82</v>
      </c>
      <c r="C271" s="5" t="str">
        <f>IFERROR(_xlfn.XLOOKUP(B271, Customers_raw!A:A, Customers_raw!B:B), "Unknown Customer")</f>
        <v>Thomas Ramirez</v>
      </c>
      <c r="D271" s="1">
        <v>45947</v>
      </c>
      <c r="E271" s="1" t="str">
        <f t="shared" si="12"/>
        <v>2025-10</v>
      </c>
      <c r="F271" t="s">
        <v>20</v>
      </c>
      <c r="G271" t="s">
        <v>10</v>
      </c>
      <c r="H271">
        <v>2</v>
      </c>
      <c r="I271" s="2">
        <v>65</v>
      </c>
      <c r="J271" s="2">
        <f t="shared" si="13"/>
        <v>130</v>
      </c>
      <c r="K271" s="2" t="str">
        <f t="shared" si="14"/>
        <v>Sale</v>
      </c>
      <c r="L271" t="s">
        <v>8</v>
      </c>
    </row>
    <row r="272" spans="1:12" x14ac:dyDescent="0.25">
      <c r="A272">
        <v>5270</v>
      </c>
      <c r="B272">
        <v>86</v>
      </c>
      <c r="C272" s="5" t="str">
        <f>IFERROR(_xlfn.XLOOKUP(B272, Customers_raw!A:A, Customers_raw!B:B), "Unknown Customer")</f>
        <v>Steven Jones</v>
      </c>
      <c r="D272" s="1">
        <v>45952</v>
      </c>
      <c r="E272" s="1" t="str">
        <f t="shared" si="12"/>
        <v>2025-10</v>
      </c>
      <c r="F272" t="s">
        <v>22</v>
      </c>
      <c r="G272" t="s">
        <v>17</v>
      </c>
      <c r="H272">
        <v>1</v>
      </c>
      <c r="I272" s="2">
        <v>21</v>
      </c>
      <c r="J272" s="2">
        <f t="shared" si="13"/>
        <v>21</v>
      </c>
      <c r="K272" s="2" t="str">
        <f t="shared" si="14"/>
        <v>Sale</v>
      </c>
      <c r="L272" t="s">
        <v>8</v>
      </c>
    </row>
    <row r="273" spans="1:12" x14ac:dyDescent="0.25">
      <c r="A273">
        <v>5271</v>
      </c>
      <c r="B273">
        <v>57</v>
      </c>
      <c r="C273" s="5" t="str">
        <f>IFERROR(_xlfn.XLOOKUP(B273, Customers_raw!A:A, Customers_raw!B:B), "Unknown Customer")</f>
        <v>Karen Clark</v>
      </c>
      <c r="D273" s="1">
        <v>45968</v>
      </c>
      <c r="E273" s="1" t="str">
        <f t="shared" si="12"/>
        <v>2025-11</v>
      </c>
      <c r="F273" t="s">
        <v>21</v>
      </c>
      <c r="G273" t="s">
        <v>17</v>
      </c>
      <c r="H273">
        <v>1</v>
      </c>
      <c r="I273" s="2">
        <v>57</v>
      </c>
      <c r="J273" s="2">
        <f t="shared" si="13"/>
        <v>57</v>
      </c>
      <c r="K273" s="2" t="str">
        <f t="shared" si="14"/>
        <v>Sale</v>
      </c>
      <c r="L273" t="s">
        <v>27</v>
      </c>
    </row>
    <row r="274" spans="1:12" x14ac:dyDescent="0.25">
      <c r="A274">
        <v>5272</v>
      </c>
      <c r="B274">
        <v>100</v>
      </c>
      <c r="C274" s="5" t="str">
        <f>IFERROR(_xlfn.XLOOKUP(B274, Customers_raw!A:A, Customers_raw!B:B), "Unknown Customer")</f>
        <v>Susan Williams</v>
      </c>
      <c r="D274" s="1">
        <v>45702</v>
      </c>
      <c r="E274" s="1" t="str">
        <f t="shared" si="12"/>
        <v>2025-02</v>
      </c>
      <c r="F274" t="s">
        <v>11</v>
      </c>
      <c r="G274" t="s">
        <v>6</v>
      </c>
      <c r="H274">
        <v>3</v>
      </c>
      <c r="I274" s="2">
        <v>18</v>
      </c>
      <c r="J274" s="2">
        <f t="shared" si="13"/>
        <v>54</v>
      </c>
      <c r="K274" s="2" t="str">
        <f t="shared" si="14"/>
        <v>Sale</v>
      </c>
      <c r="L274" t="s">
        <v>5</v>
      </c>
    </row>
    <row r="275" spans="1:12" x14ac:dyDescent="0.25">
      <c r="A275">
        <v>5273</v>
      </c>
      <c r="B275">
        <v>68</v>
      </c>
      <c r="C275" s="5" t="str">
        <f>IFERROR(_xlfn.XLOOKUP(B275, Customers_raw!A:A, Customers_raw!B:B), "Unknown Customer")</f>
        <v>James Hernandez</v>
      </c>
      <c r="D275" s="1">
        <v>45836</v>
      </c>
      <c r="E275" s="1" t="str">
        <f t="shared" si="12"/>
        <v>2025-06</v>
      </c>
      <c r="F275" t="s">
        <v>12</v>
      </c>
      <c r="G275" t="s">
        <v>10</v>
      </c>
      <c r="H275">
        <v>2</v>
      </c>
      <c r="I275" s="2">
        <v>22</v>
      </c>
      <c r="J275" s="2">
        <f t="shared" si="13"/>
        <v>44</v>
      </c>
      <c r="K275" s="2" t="str">
        <f t="shared" si="14"/>
        <v>Sale</v>
      </c>
      <c r="L275" t="s">
        <v>27</v>
      </c>
    </row>
    <row r="276" spans="1:12" x14ac:dyDescent="0.25">
      <c r="A276">
        <v>5274</v>
      </c>
      <c r="B276">
        <v>7</v>
      </c>
      <c r="C276" s="5" t="str">
        <f>IFERROR(_xlfn.XLOOKUP(B276, Customers_raw!A:A, Customers_raw!B:B), "Unknown Customer")</f>
        <v>Emily Ramirez</v>
      </c>
      <c r="D276" s="1">
        <v>46015</v>
      </c>
      <c r="E276" s="1" t="str">
        <f t="shared" si="12"/>
        <v>2025-12</v>
      </c>
      <c r="F276" t="s">
        <v>22</v>
      </c>
      <c r="G276" t="s">
        <v>17</v>
      </c>
      <c r="H276">
        <v>2</v>
      </c>
      <c r="I276" s="2">
        <v>27</v>
      </c>
      <c r="J276" s="2">
        <f t="shared" si="13"/>
        <v>54</v>
      </c>
      <c r="K276" s="2" t="str">
        <f t="shared" si="14"/>
        <v>Sale</v>
      </c>
      <c r="L276" t="s">
        <v>27</v>
      </c>
    </row>
    <row r="277" spans="1:12" x14ac:dyDescent="0.25">
      <c r="A277">
        <v>5275</v>
      </c>
      <c r="B277">
        <v>6</v>
      </c>
      <c r="C277" s="5" t="str">
        <f>IFERROR(_xlfn.XLOOKUP(B277, Customers_raw!A:A, Customers_raw!B:B), "Unknown Customer")</f>
        <v>David Martinez</v>
      </c>
      <c r="D277" s="1">
        <v>45944</v>
      </c>
      <c r="E277" s="1" t="str">
        <f t="shared" si="12"/>
        <v>2025-10</v>
      </c>
      <c r="F277" t="s">
        <v>19</v>
      </c>
      <c r="G277" t="s">
        <v>17</v>
      </c>
      <c r="H277">
        <v>1</v>
      </c>
      <c r="I277" s="2">
        <v>22</v>
      </c>
      <c r="J277" s="2">
        <f t="shared" si="13"/>
        <v>22</v>
      </c>
      <c r="K277" s="2" t="str">
        <f t="shared" si="14"/>
        <v>Sale</v>
      </c>
      <c r="L277" t="s">
        <v>27</v>
      </c>
    </row>
    <row r="278" spans="1:12" x14ac:dyDescent="0.25">
      <c r="A278">
        <v>5276</v>
      </c>
      <c r="B278">
        <v>34</v>
      </c>
      <c r="C278" s="5" t="str">
        <f>IFERROR(_xlfn.XLOOKUP(B278, Customers_raw!A:A, Customers_raw!B:B), "Unknown Customer")</f>
        <v>Joseph Jackson</v>
      </c>
      <c r="D278" s="1">
        <v>45688</v>
      </c>
      <c r="E278" s="1" t="str">
        <f t="shared" si="12"/>
        <v>2025-01</v>
      </c>
      <c r="F278" t="s">
        <v>9</v>
      </c>
      <c r="G278" t="s">
        <v>6</v>
      </c>
      <c r="H278">
        <v>1</v>
      </c>
      <c r="I278" s="2">
        <v>45</v>
      </c>
      <c r="J278" s="2">
        <f t="shared" si="13"/>
        <v>45</v>
      </c>
      <c r="K278" s="2" t="str">
        <f t="shared" si="14"/>
        <v>Sale</v>
      </c>
      <c r="L278" t="s">
        <v>27</v>
      </c>
    </row>
    <row r="279" spans="1:12" x14ac:dyDescent="0.25">
      <c r="A279">
        <v>5277</v>
      </c>
      <c r="B279">
        <v>82</v>
      </c>
      <c r="C279" s="5" t="str">
        <f>IFERROR(_xlfn.XLOOKUP(B279, Customers_raw!A:A, Customers_raw!B:B), "Unknown Customer")</f>
        <v>Thomas Ramirez</v>
      </c>
      <c r="D279" s="1">
        <v>45728</v>
      </c>
      <c r="E279" s="1" t="str">
        <f t="shared" si="12"/>
        <v>2025-03</v>
      </c>
      <c r="F279" t="s">
        <v>18</v>
      </c>
      <c r="G279" t="s">
        <v>6</v>
      </c>
      <c r="H279">
        <v>3</v>
      </c>
      <c r="I279" s="2">
        <v>89</v>
      </c>
      <c r="J279" s="2">
        <f t="shared" si="13"/>
        <v>267</v>
      </c>
      <c r="K279" s="2" t="str">
        <f t="shared" si="14"/>
        <v>Sale</v>
      </c>
      <c r="L279" t="s">
        <v>23</v>
      </c>
    </row>
    <row r="280" spans="1:12" x14ac:dyDescent="0.25">
      <c r="A280">
        <v>5278</v>
      </c>
      <c r="B280">
        <v>91</v>
      </c>
      <c r="C280" s="5" t="str">
        <f>IFERROR(_xlfn.XLOOKUP(B280, Customers_raw!A:A, Customers_raw!B:B), "Unknown Customer")</f>
        <v>Donald Rodriguez</v>
      </c>
      <c r="D280" s="1">
        <v>45748</v>
      </c>
      <c r="E280" s="1" t="str">
        <f t="shared" si="12"/>
        <v>2025-04</v>
      </c>
      <c r="F280" t="s">
        <v>9</v>
      </c>
      <c r="G280" t="s">
        <v>6</v>
      </c>
      <c r="H280">
        <v>1</v>
      </c>
      <c r="I280" s="2">
        <v>45</v>
      </c>
      <c r="J280" s="2">
        <f t="shared" si="13"/>
        <v>45</v>
      </c>
      <c r="K280" s="2" t="str">
        <f t="shared" si="14"/>
        <v>Sale</v>
      </c>
      <c r="L280" t="s">
        <v>27</v>
      </c>
    </row>
    <row r="281" spans="1:12" x14ac:dyDescent="0.25">
      <c r="A281">
        <v>5279</v>
      </c>
      <c r="B281">
        <v>82</v>
      </c>
      <c r="C281" s="5" t="str">
        <f>IFERROR(_xlfn.XLOOKUP(B281, Customers_raw!A:A, Customers_raw!B:B), "Unknown Customer")</f>
        <v>Thomas Ramirez</v>
      </c>
      <c r="D281" s="1">
        <v>45730</v>
      </c>
      <c r="E281" s="1" t="str">
        <f t="shared" si="12"/>
        <v>2025-03</v>
      </c>
      <c r="F281" t="s">
        <v>19</v>
      </c>
      <c r="G281" t="s">
        <v>17</v>
      </c>
      <c r="H281">
        <v>1</v>
      </c>
      <c r="I281" s="2">
        <v>16</v>
      </c>
      <c r="J281" s="2">
        <f t="shared" si="13"/>
        <v>16</v>
      </c>
      <c r="K281" s="2" t="str">
        <f t="shared" si="14"/>
        <v>Sale</v>
      </c>
      <c r="L281" t="s">
        <v>27</v>
      </c>
    </row>
    <row r="282" spans="1:12" x14ac:dyDescent="0.25">
      <c r="A282">
        <v>5280</v>
      </c>
      <c r="B282">
        <v>87</v>
      </c>
      <c r="C282" s="5" t="str">
        <f>IFERROR(_xlfn.XLOOKUP(B282, Customers_raw!A:A, Customers_raw!B:B), "Unknown Customer")</f>
        <v>Joseph Williams</v>
      </c>
      <c r="D282" s="1">
        <v>45737</v>
      </c>
      <c r="E282" s="1" t="str">
        <f t="shared" si="12"/>
        <v>2025-03</v>
      </c>
      <c r="F282" t="s">
        <v>22</v>
      </c>
      <c r="G282" t="s">
        <v>17</v>
      </c>
      <c r="H282">
        <v>2</v>
      </c>
      <c r="I282" s="2">
        <v>24</v>
      </c>
      <c r="J282" s="2">
        <f t="shared" si="13"/>
        <v>48</v>
      </c>
      <c r="K282" s="2" t="str">
        <f t="shared" si="14"/>
        <v>Sale</v>
      </c>
      <c r="L282" t="s">
        <v>8</v>
      </c>
    </row>
    <row r="283" spans="1:12" x14ac:dyDescent="0.25">
      <c r="A283">
        <v>5281</v>
      </c>
      <c r="B283">
        <v>47</v>
      </c>
      <c r="C283" s="5" t="str">
        <f>IFERROR(_xlfn.XLOOKUP(B283, Customers_raw!A:A, Customers_raw!B:B), "Unknown Customer")</f>
        <v>Christopher Rodriguez</v>
      </c>
      <c r="D283" s="1">
        <v>45763</v>
      </c>
      <c r="E283" s="1" t="str">
        <f t="shared" si="12"/>
        <v>2025-04</v>
      </c>
      <c r="F283" t="s">
        <v>13</v>
      </c>
      <c r="G283" t="s">
        <v>7</v>
      </c>
      <c r="H283">
        <v>1</v>
      </c>
      <c r="I283" s="2">
        <v>32</v>
      </c>
      <c r="J283" s="2">
        <f t="shared" si="13"/>
        <v>32</v>
      </c>
      <c r="K283" s="2" t="str">
        <f t="shared" si="14"/>
        <v>Sale</v>
      </c>
      <c r="L283" t="s">
        <v>8</v>
      </c>
    </row>
    <row r="284" spans="1:12" x14ac:dyDescent="0.25">
      <c r="A284">
        <v>5282</v>
      </c>
      <c r="B284">
        <v>90</v>
      </c>
      <c r="C284" s="5" t="str">
        <f>IFERROR(_xlfn.XLOOKUP(B284, Customers_raw!A:A, Customers_raw!B:B), "Unknown Customer")</f>
        <v>John Harris</v>
      </c>
      <c r="D284" s="1">
        <v>45887</v>
      </c>
      <c r="E284" s="1" t="str">
        <f t="shared" si="12"/>
        <v>2025-08</v>
      </c>
      <c r="F284" t="s">
        <v>18</v>
      </c>
      <c r="G284" t="s">
        <v>6</v>
      </c>
      <c r="H284">
        <v>1</v>
      </c>
      <c r="I284" s="2">
        <v>89</v>
      </c>
      <c r="J284" s="2">
        <f t="shared" si="13"/>
        <v>89</v>
      </c>
      <c r="K284" s="2" t="str">
        <f t="shared" si="14"/>
        <v>Sale</v>
      </c>
      <c r="L284" t="s">
        <v>27</v>
      </c>
    </row>
    <row r="285" spans="1:12" x14ac:dyDescent="0.25">
      <c r="A285">
        <v>5283</v>
      </c>
      <c r="B285">
        <v>47</v>
      </c>
      <c r="C285" s="5" t="str">
        <f>IFERROR(_xlfn.XLOOKUP(B285, Customers_raw!A:A, Customers_raw!B:B), "Unknown Customer")</f>
        <v>Christopher Rodriguez</v>
      </c>
      <c r="D285" s="1">
        <v>45744</v>
      </c>
      <c r="E285" s="1" t="str">
        <f t="shared" si="12"/>
        <v>2025-03</v>
      </c>
      <c r="F285" t="s">
        <v>18</v>
      </c>
      <c r="G285" t="s">
        <v>6</v>
      </c>
      <c r="H285">
        <v>-1</v>
      </c>
      <c r="I285" s="2">
        <v>86</v>
      </c>
      <c r="J285" s="2">
        <f t="shared" si="13"/>
        <v>-86</v>
      </c>
      <c r="K285" s="2" t="str">
        <f t="shared" si="14"/>
        <v>Return</v>
      </c>
      <c r="L285" t="s">
        <v>8</v>
      </c>
    </row>
    <row r="286" spans="1:12" x14ac:dyDescent="0.25">
      <c r="A286">
        <v>5284</v>
      </c>
      <c r="B286">
        <v>96</v>
      </c>
      <c r="C286" s="5" t="str">
        <f>IFERROR(_xlfn.XLOOKUP(B286, Customers_raw!A:A, Customers_raw!B:B), "Unknown Customer")</f>
        <v>Michael White</v>
      </c>
      <c r="D286" s="1">
        <v>45827</v>
      </c>
      <c r="E286" s="1" t="str">
        <f t="shared" si="12"/>
        <v>2025-06</v>
      </c>
      <c r="F286" t="s">
        <v>19</v>
      </c>
      <c r="G286" t="s">
        <v>17</v>
      </c>
      <c r="H286">
        <v>1</v>
      </c>
      <c r="I286" s="2">
        <v>19</v>
      </c>
      <c r="J286" s="2">
        <f t="shared" si="13"/>
        <v>19</v>
      </c>
      <c r="K286" s="2" t="str">
        <f t="shared" si="14"/>
        <v>Sale</v>
      </c>
      <c r="L286" t="s">
        <v>27</v>
      </c>
    </row>
    <row r="287" spans="1:12" x14ac:dyDescent="0.25">
      <c r="A287">
        <v>5285</v>
      </c>
      <c r="B287">
        <v>101</v>
      </c>
      <c r="C287" s="5" t="str">
        <f>IFERROR(_xlfn.XLOOKUP(B287, Customers_raw!A:A, Customers_raw!B:B), "Unknown Customer")</f>
        <v>David Lee</v>
      </c>
      <c r="D287" s="1">
        <v>45822</v>
      </c>
      <c r="E287" s="1" t="str">
        <f t="shared" si="12"/>
        <v>2025-06</v>
      </c>
      <c r="F287" t="s">
        <v>15</v>
      </c>
      <c r="G287" t="s">
        <v>7</v>
      </c>
      <c r="H287">
        <v>1</v>
      </c>
      <c r="I287" s="2">
        <v>67</v>
      </c>
      <c r="J287" s="2">
        <f t="shared" si="13"/>
        <v>67</v>
      </c>
      <c r="K287" s="2" t="str">
        <f t="shared" si="14"/>
        <v>Sale</v>
      </c>
      <c r="L287" t="s">
        <v>5</v>
      </c>
    </row>
    <row r="288" spans="1:12" x14ac:dyDescent="0.25">
      <c r="A288">
        <v>5286</v>
      </c>
      <c r="B288">
        <v>79</v>
      </c>
      <c r="C288" s="5" t="str">
        <f>IFERROR(_xlfn.XLOOKUP(B288, Customers_raw!A:A, Customers_raw!B:B), "Unknown Customer")</f>
        <v>Nancy Jackson</v>
      </c>
      <c r="D288" s="1">
        <v>45669</v>
      </c>
      <c r="E288" s="1" t="str">
        <f t="shared" si="12"/>
        <v>2025-01</v>
      </c>
      <c r="F288" t="s">
        <v>19</v>
      </c>
      <c r="G288" t="s">
        <v>17</v>
      </c>
      <c r="H288">
        <v>3</v>
      </c>
      <c r="I288" s="2">
        <v>19</v>
      </c>
      <c r="J288" s="2">
        <f t="shared" si="13"/>
        <v>57</v>
      </c>
      <c r="K288" s="2" t="str">
        <f t="shared" si="14"/>
        <v>Sale</v>
      </c>
      <c r="L288" t="s">
        <v>5</v>
      </c>
    </row>
    <row r="289" spans="1:12" x14ac:dyDescent="0.25">
      <c r="A289">
        <v>5287</v>
      </c>
      <c r="B289">
        <v>4</v>
      </c>
      <c r="C289" s="5" t="str">
        <f>IFERROR(_xlfn.XLOOKUP(B289, Customers_raw!A:A, Customers_raw!B:B), "Unknown Customer")</f>
        <v>Joshua Brown</v>
      </c>
      <c r="D289" s="1">
        <v>45860</v>
      </c>
      <c r="E289" s="1" t="str">
        <f t="shared" si="12"/>
        <v>2025-07</v>
      </c>
      <c r="F289" t="s">
        <v>16</v>
      </c>
      <c r="G289" t="s">
        <v>10</v>
      </c>
      <c r="H289">
        <v>1</v>
      </c>
      <c r="I289" s="2">
        <v>28</v>
      </c>
      <c r="J289" s="2">
        <f t="shared" si="13"/>
        <v>28</v>
      </c>
      <c r="K289" s="2" t="str">
        <f t="shared" si="14"/>
        <v>Sale</v>
      </c>
      <c r="L289" t="s">
        <v>8</v>
      </c>
    </row>
    <row r="290" spans="1:12" x14ac:dyDescent="0.25">
      <c r="A290">
        <v>5288</v>
      </c>
      <c r="B290">
        <v>101</v>
      </c>
      <c r="C290" s="5" t="str">
        <f>IFERROR(_xlfn.XLOOKUP(B290, Customers_raw!A:A, Customers_raw!B:B), "Unknown Customer")</f>
        <v>David Lee</v>
      </c>
      <c r="D290" s="1">
        <v>45875</v>
      </c>
      <c r="E290" s="1" t="str">
        <f t="shared" si="12"/>
        <v>2025-08</v>
      </c>
      <c r="F290" t="s">
        <v>19</v>
      </c>
      <c r="G290" t="s">
        <v>17</v>
      </c>
      <c r="H290">
        <v>-2</v>
      </c>
      <c r="I290" s="2">
        <v>19</v>
      </c>
      <c r="J290" s="2">
        <f t="shared" si="13"/>
        <v>-38</v>
      </c>
      <c r="K290" s="2" t="str">
        <f t="shared" si="14"/>
        <v>Return</v>
      </c>
      <c r="L290" t="s">
        <v>5</v>
      </c>
    </row>
    <row r="291" spans="1:12" x14ac:dyDescent="0.25">
      <c r="A291">
        <v>5289</v>
      </c>
      <c r="B291">
        <v>30</v>
      </c>
      <c r="C291" s="5" t="str">
        <f>IFERROR(_xlfn.XLOOKUP(B291, Customers_raw!A:A, Customers_raw!B:B), "Unknown Customer")</f>
        <v>Sandra Taylor</v>
      </c>
      <c r="D291" s="1">
        <v>45964</v>
      </c>
      <c r="E291" s="1" t="str">
        <f t="shared" si="12"/>
        <v>2025-11</v>
      </c>
      <c r="F291" t="s">
        <v>11</v>
      </c>
      <c r="G291" t="s">
        <v>6</v>
      </c>
      <c r="H291">
        <v>1</v>
      </c>
      <c r="I291" s="2">
        <v>18</v>
      </c>
      <c r="J291" s="2">
        <f t="shared" si="13"/>
        <v>18</v>
      </c>
      <c r="K291" s="2" t="str">
        <f t="shared" si="14"/>
        <v>Sale</v>
      </c>
      <c r="L291" t="s">
        <v>8</v>
      </c>
    </row>
    <row r="292" spans="1:12" x14ac:dyDescent="0.25">
      <c r="A292">
        <v>5290</v>
      </c>
      <c r="B292">
        <v>73</v>
      </c>
      <c r="C292" s="5" t="str">
        <f>IFERROR(_xlfn.XLOOKUP(B292, Customers_raw!A:A, Customers_raw!B:B), "Unknown Customer")</f>
        <v>Michael Thompson</v>
      </c>
      <c r="D292" s="1">
        <v>46019</v>
      </c>
      <c r="E292" s="1" t="str">
        <f t="shared" si="12"/>
        <v>2025-12</v>
      </c>
      <c r="F292" t="s">
        <v>22</v>
      </c>
      <c r="G292" t="s">
        <v>17</v>
      </c>
      <c r="H292">
        <v>1</v>
      </c>
      <c r="I292" s="2">
        <v>24</v>
      </c>
      <c r="J292" s="2">
        <f t="shared" si="13"/>
        <v>24</v>
      </c>
      <c r="K292" s="2" t="str">
        <f t="shared" si="14"/>
        <v>Sale</v>
      </c>
      <c r="L292" t="s">
        <v>8</v>
      </c>
    </row>
    <row r="293" spans="1:12" x14ac:dyDescent="0.25">
      <c r="A293">
        <v>5291</v>
      </c>
      <c r="B293">
        <v>94</v>
      </c>
      <c r="C293" s="5" t="str">
        <f>IFERROR(_xlfn.XLOOKUP(B293, Customers_raw!A:A, Customers_raw!B:B), "Unknown Customer")</f>
        <v>Kenneth Jones</v>
      </c>
      <c r="D293" s="1">
        <v>45811</v>
      </c>
      <c r="E293" s="1" t="str">
        <f t="shared" si="12"/>
        <v>2025-06</v>
      </c>
      <c r="F293" t="s">
        <v>20</v>
      </c>
      <c r="G293" t="s">
        <v>10</v>
      </c>
      <c r="H293">
        <v>1</v>
      </c>
      <c r="I293" s="2">
        <v>65</v>
      </c>
      <c r="J293" s="2">
        <f t="shared" si="13"/>
        <v>65</v>
      </c>
      <c r="K293" s="2" t="str">
        <f t="shared" si="14"/>
        <v>Sale</v>
      </c>
      <c r="L293" t="s">
        <v>8</v>
      </c>
    </row>
    <row r="294" spans="1:12" x14ac:dyDescent="0.25">
      <c r="A294">
        <v>5292</v>
      </c>
      <c r="B294">
        <v>82</v>
      </c>
      <c r="C294" s="5" t="str">
        <f>IFERROR(_xlfn.XLOOKUP(B294, Customers_raw!A:A, Customers_raw!B:B), "Unknown Customer")</f>
        <v>Thomas Ramirez</v>
      </c>
      <c r="D294" s="1">
        <v>45703</v>
      </c>
      <c r="E294" s="1" t="str">
        <f t="shared" si="12"/>
        <v>2025-02</v>
      </c>
      <c r="F294" t="s">
        <v>14</v>
      </c>
      <c r="G294" t="s">
        <v>7</v>
      </c>
      <c r="H294">
        <v>2</v>
      </c>
      <c r="I294" s="2">
        <v>55</v>
      </c>
      <c r="J294" s="2">
        <f t="shared" si="13"/>
        <v>110</v>
      </c>
      <c r="K294" s="2" t="str">
        <f t="shared" si="14"/>
        <v>Sale</v>
      </c>
      <c r="L294" t="s">
        <v>5</v>
      </c>
    </row>
    <row r="295" spans="1:12" x14ac:dyDescent="0.25">
      <c r="A295">
        <v>5293</v>
      </c>
      <c r="B295">
        <v>48</v>
      </c>
      <c r="C295" s="5" t="str">
        <f>IFERROR(_xlfn.XLOOKUP(B295, Customers_raw!A:A, Customers_raw!B:B), "Unknown Customer")</f>
        <v>Sandra Thompson</v>
      </c>
      <c r="D295" s="1">
        <v>45674</v>
      </c>
      <c r="E295" s="1" t="str">
        <f t="shared" si="12"/>
        <v>2025-01</v>
      </c>
      <c r="F295" t="s">
        <v>16</v>
      </c>
      <c r="G295" t="s">
        <v>10</v>
      </c>
      <c r="H295">
        <v>1</v>
      </c>
      <c r="I295" s="2">
        <v>28</v>
      </c>
      <c r="J295" s="2">
        <f t="shared" si="13"/>
        <v>28</v>
      </c>
      <c r="K295" s="2" t="str">
        <f t="shared" si="14"/>
        <v>Sale</v>
      </c>
      <c r="L295" t="s">
        <v>27</v>
      </c>
    </row>
    <row r="296" spans="1:12" x14ac:dyDescent="0.25">
      <c r="A296">
        <v>5294</v>
      </c>
      <c r="B296">
        <v>91</v>
      </c>
      <c r="C296" s="5" t="str">
        <f>IFERROR(_xlfn.XLOOKUP(B296, Customers_raw!A:A, Customers_raw!B:B), "Unknown Customer")</f>
        <v>Donald Rodriguez</v>
      </c>
      <c r="D296" s="1">
        <v>45831</v>
      </c>
      <c r="E296" s="1" t="str">
        <f t="shared" si="12"/>
        <v>2025-06</v>
      </c>
      <c r="F296" t="s">
        <v>14</v>
      </c>
      <c r="G296" t="s">
        <v>7</v>
      </c>
      <c r="H296">
        <v>2</v>
      </c>
      <c r="I296" s="2">
        <v>52</v>
      </c>
      <c r="J296" s="2">
        <f t="shared" si="13"/>
        <v>104</v>
      </c>
      <c r="K296" s="2" t="str">
        <f t="shared" si="14"/>
        <v>Sale</v>
      </c>
      <c r="L296" t="s">
        <v>5</v>
      </c>
    </row>
    <row r="297" spans="1:12" x14ac:dyDescent="0.25">
      <c r="A297">
        <v>5295</v>
      </c>
      <c r="B297">
        <v>22</v>
      </c>
      <c r="C297" s="5" t="str">
        <f>IFERROR(_xlfn.XLOOKUP(B297, Customers_raw!A:A, Customers_raw!B:B), "Unknown Customer")</f>
        <v>Joseph Thompson</v>
      </c>
      <c r="D297" s="1">
        <v>45809</v>
      </c>
      <c r="E297" s="1" t="str">
        <f t="shared" si="12"/>
        <v>2025-06</v>
      </c>
      <c r="F297" t="s">
        <v>14</v>
      </c>
      <c r="G297" t="s">
        <v>7</v>
      </c>
      <c r="H297">
        <v>2</v>
      </c>
      <c r="I297" s="2">
        <v>58</v>
      </c>
      <c r="J297" s="2">
        <f t="shared" si="13"/>
        <v>116</v>
      </c>
      <c r="K297" s="2" t="str">
        <f t="shared" si="14"/>
        <v>Sale</v>
      </c>
      <c r="L297" t="s">
        <v>27</v>
      </c>
    </row>
    <row r="298" spans="1:12" x14ac:dyDescent="0.25">
      <c r="A298">
        <v>5296</v>
      </c>
      <c r="B298">
        <v>26</v>
      </c>
      <c r="C298" s="5" t="str">
        <f>IFERROR(_xlfn.XLOOKUP(B298, Customers_raw!A:A, Customers_raw!B:B), "Unknown Customer")</f>
        <v>Betty Johnson</v>
      </c>
      <c r="D298" s="1">
        <v>45701</v>
      </c>
      <c r="E298" s="1" t="str">
        <f t="shared" si="12"/>
        <v>2025-02</v>
      </c>
      <c r="F298" t="s">
        <v>13</v>
      </c>
      <c r="G298" t="s">
        <v>7</v>
      </c>
      <c r="H298">
        <v>2</v>
      </c>
      <c r="I298" s="2">
        <v>32</v>
      </c>
      <c r="J298" s="2">
        <f t="shared" si="13"/>
        <v>64</v>
      </c>
      <c r="K298" s="2" t="str">
        <f t="shared" si="14"/>
        <v>Sale</v>
      </c>
      <c r="L298" t="s">
        <v>8</v>
      </c>
    </row>
    <row r="299" spans="1:12" x14ac:dyDescent="0.25">
      <c r="A299">
        <v>5297</v>
      </c>
      <c r="B299">
        <v>78</v>
      </c>
      <c r="C299" s="5" t="str">
        <f>IFERROR(_xlfn.XLOOKUP(B299, Customers_raw!A:A, Customers_raw!B:B), "Unknown Customer")</f>
        <v>Sandra Garcia</v>
      </c>
      <c r="D299" s="1">
        <v>45699</v>
      </c>
      <c r="E299" s="1" t="str">
        <f t="shared" si="12"/>
        <v>2025-02</v>
      </c>
      <c r="F299" t="s">
        <v>21</v>
      </c>
      <c r="G299" t="s">
        <v>17</v>
      </c>
      <c r="H299">
        <v>3</v>
      </c>
      <c r="I299" s="2">
        <v>60</v>
      </c>
      <c r="J299" s="2">
        <f t="shared" si="13"/>
        <v>180</v>
      </c>
      <c r="K299" s="2" t="str">
        <f t="shared" si="14"/>
        <v>Sale</v>
      </c>
      <c r="L299" t="s">
        <v>27</v>
      </c>
    </row>
    <row r="300" spans="1:12" x14ac:dyDescent="0.25">
      <c r="A300">
        <v>5298</v>
      </c>
      <c r="B300">
        <v>74</v>
      </c>
      <c r="C300" s="5" t="str">
        <f>IFERROR(_xlfn.XLOOKUP(B300, Customers_raw!A:A, Customers_raw!B:B), "Unknown Customer")</f>
        <v>Betty Moore</v>
      </c>
      <c r="D300" s="1">
        <v>45876</v>
      </c>
      <c r="E300" s="1" t="str">
        <f t="shared" si="12"/>
        <v>2025-08</v>
      </c>
      <c r="F300" t="s">
        <v>14</v>
      </c>
      <c r="G300" t="s">
        <v>7</v>
      </c>
      <c r="H300">
        <v>3</v>
      </c>
      <c r="I300" s="2">
        <v>55</v>
      </c>
      <c r="J300" s="2">
        <f t="shared" si="13"/>
        <v>165</v>
      </c>
      <c r="K300" s="2" t="str">
        <f t="shared" si="14"/>
        <v>Sale</v>
      </c>
      <c r="L300" t="s">
        <v>27</v>
      </c>
    </row>
    <row r="301" spans="1:12" x14ac:dyDescent="0.25">
      <c r="A301">
        <v>5299</v>
      </c>
      <c r="B301">
        <v>82</v>
      </c>
      <c r="C301" s="5" t="str">
        <f>IFERROR(_xlfn.XLOOKUP(B301, Customers_raw!A:A, Customers_raw!B:B), "Unknown Customer")</f>
        <v>Thomas Ramirez</v>
      </c>
      <c r="D301" s="1">
        <v>45672</v>
      </c>
      <c r="E301" s="1" t="str">
        <f t="shared" si="12"/>
        <v>2025-01</v>
      </c>
      <c r="F301" t="s">
        <v>22</v>
      </c>
      <c r="G301" t="s">
        <v>17</v>
      </c>
      <c r="H301">
        <v>1</v>
      </c>
      <c r="I301" s="2">
        <v>24</v>
      </c>
      <c r="J301" s="2">
        <f t="shared" si="13"/>
        <v>24</v>
      </c>
      <c r="K301" s="2" t="str">
        <f t="shared" si="14"/>
        <v>Sale</v>
      </c>
      <c r="L301" t="s">
        <v>27</v>
      </c>
    </row>
    <row r="302" spans="1:12" x14ac:dyDescent="0.25">
      <c r="A302">
        <v>5300</v>
      </c>
      <c r="B302">
        <v>85</v>
      </c>
      <c r="C302" s="5" t="str">
        <f>IFERROR(_xlfn.XLOOKUP(B302, Customers_raw!A:A, Customers_raw!B:B), "Unknown Customer")</f>
        <v>Elizabeth Martinez</v>
      </c>
      <c r="D302" s="1">
        <v>45937</v>
      </c>
      <c r="E302" s="1" t="str">
        <f t="shared" si="12"/>
        <v>2025-10</v>
      </c>
      <c r="F302" t="s">
        <v>21</v>
      </c>
      <c r="G302" t="s">
        <v>17</v>
      </c>
      <c r="H302">
        <v>1</v>
      </c>
      <c r="I302" s="2">
        <v>63</v>
      </c>
      <c r="J302" s="2">
        <f t="shared" si="13"/>
        <v>63</v>
      </c>
      <c r="K302" s="2" t="str">
        <f t="shared" si="14"/>
        <v>Sale</v>
      </c>
      <c r="L302" t="s">
        <v>8</v>
      </c>
    </row>
    <row r="303" spans="1:12" x14ac:dyDescent="0.25">
      <c r="A303">
        <v>5301</v>
      </c>
      <c r="B303">
        <v>34</v>
      </c>
      <c r="C303" s="5" t="str">
        <f>IFERROR(_xlfn.XLOOKUP(B303, Customers_raw!A:A, Customers_raw!B:B), "Unknown Customer")</f>
        <v>Joseph Jackson</v>
      </c>
      <c r="D303" s="1">
        <v>45774</v>
      </c>
      <c r="E303" s="1" t="str">
        <f t="shared" si="12"/>
        <v>2025-04</v>
      </c>
      <c r="F303" t="s">
        <v>12</v>
      </c>
      <c r="G303" t="s">
        <v>10</v>
      </c>
      <c r="H303">
        <v>1</v>
      </c>
      <c r="I303" s="2">
        <v>25</v>
      </c>
      <c r="J303" s="2">
        <f t="shared" si="13"/>
        <v>25</v>
      </c>
      <c r="K303" s="2" t="str">
        <f t="shared" si="14"/>
        <v>Sale</v>
      </c>
      <c r="L303" t="s">
        <v>27</v>
      </c>
    </row>
    <row r="304" spans="1:12" x14ac:dyDescent="0.25">
      <c r="A304">
        <v>5302</v>
      </c>
      <c r="B304">
        <v>90</v>
      </c>
      <c r="C304" s="5" t="str">
        <f>IFERROR(_xlfn.XLOOKUP(B304, Customers_raw!A:A, Customers_raw!B:B), "Unknown Customer")</f>
        <v>John Harris</v>
      </c>
      <c r="D304" s="1">
        <v>45990</v>
      </c>
      <c r="E304" s="1" t="str">
        <f t="shared" si="12"/>
        <v>2025-11</v>
      </c>
      <c r="F304" t="s">
        <v>18</v>
      </c>
      <c r="G304" t="s">
        <v>6</v>
      </c>
      <c r="H304">
        <v>1</v>
      </c>
      <c r="I304" s="2">
        <v>92</v>
      </c>
      <c r="J304" s="2">
        <f t="shared" si="13"/>
        <v>92</v>
      </c>
      <c r="K304" s="2" t="str">
        <f t="shared" si="14"/>
        <v>Sale</v>
      </c>
      <c r="L304" t="s">
        <v>5</v>
      </c>
    </row>
    <row r="305" spans="1:12" x14ac:dyDescent="0.25">
      <c r="A305">
        <v>5303</v>
      </c>
      <c r="B305">
        <v>63</v>
      </c>
      <c r="C305" s="5" t="str">
        <f>IFERROR(_xlfn.XLOOKUP(B305, Customers_raw!A:A, Customers_raw!B:B), "Unknown Customer")</f>
        <v>Joseph Robinson</v>
      </c>
      <c r="D305" s="1">
        <v>45971</v>
      </c>
      <c r="E305" s="1" t="str">
        <f t="shared" si="12"/>
        <v>2025-11</v>
      </c>
      <c r="F305" t="s">
        <v>9</v>
      </c>
      <c r="G305" t="s">
        <v>6</v>
      </c>
      <c r="H305">
        <v>1</v>
      </c>
      <c r="I305" s="2">
        <v>48</v>
      </c>
      <c r="J305" s="2">
        <f t="shared" si="13"/>
        <v>48</v>
      </c>
      <c r="K305" s="2" t="str">
        <f t="shared" si="14"/>
        <v>Sale</v>
      </c>
      <c r="L305" t="s">
        <v>5</v>
      </c>
    </row>
    <row r="306" spans="1:12" x14ac:dyDescent="0.25">
      <c r="A306">
        <v>5304</v>
      </c>
      <c r="B306">
        <v>66</v>
      </c>
      <c r="C306" s="5" t="str">
        <f>IFERROR(_xlfn.XLOOKUP(B306, Customers_raw!A:A, Customers_raw!B:B), "Unknown Customer")</f>
        <v>Barbara Anderson</v>
      </c>
      <c r="D306" s="1">
        <v>45948</v>
      </c>
      <c r="E306" s="1" t="str">
        <f t="shared" si="12"/>
        <v>2025-10</v>
      </c>
      <c r="F306" t="s">
        <v>21</v>
      </c>
      <c r="G306" t="s">
        <v>17</v>
      </c>
      <c r="H306">
        <v>2</v>
      </c>
      <c r="I306" s="2">
        <v>57</v>
      </c>
      <c r="J306" s="2">
        <f t="shared" si="13"/>
        <v>114</v>
      </c>
      <c r="K306" s="2" t="str">
        <f t="shared" si="14"/>
        <v>Sale</v>
      </c>
      <c r="L306" t="s">
        <v>27</v>
      </c>
    </row>
    <row r="307" spans="1:12" x14ac:dyDescent="0.25">
      <c r="A307">
        <v>5305</v>
      </c>
      <c r="B307">
        <v>71</v>
      </c>
      <c r="C307" s="5" t="str">
        <f>IFERROR(_xlfn.XLOOKUP(B307, Customers_raw!A:A, Customers_raw!B:B), "Unknown Customer")</f>
        <v>Barbara Rodriguez</v>
      </c>
      <c r="D307" s="1">
        <v>45716</v>
      </c>
      <c r="E307" s="1" t="str">
        <f t="shared" si="12"/>
        <v>2025-02</v>
      </c>
      <c r="F307" t="s">
        <v>15</v>
      </c>
      <c r="G307" t="s">
        <v>7</v>
      </c>
      <c r="H307">
        <v>2</v>
      </c>
      <c r="I307" s="2">
        <v>70</v>
      </c>
      <c r="J307" s="2">
        <f t="shared" si="13"/>
        <v>140</v>
      </c>
      <c r="K307" s="2" t="str">
        <f t="shared" si="14"/>
        <v>Sale</v>
      </c>
      <c r="L307" t="s">
        <v>27</v>
      </c>
    </row>
    <row r="308" spans="1:12" x14ac:dyDescent="0.25">
      <c r="A308">
        <v>5306</v>
      </c>
      <c r="B308">
        <v>73</v>
      </c>
      <c r="C308" s="5" t="str">
        <f>IFERROR(_xlfn.XLOOKUP(B308, Customers_raw!A:A, Customers_raw!B:B), "Unknown Customer")</f>
        <v>Michael Thompson</v>
      </c>
      <c r="D308" s="1">
        <v>45705</v>
      </c>
      <c r="E308" s="1" t="str">
        <f t="shared" si="12"/>
        <v>2025-02</v>
      </c>
      <c r="F308" t="s">
        <v>13</v>
      </c>
      <c r="G308" t="s">
        <v>7</v>
      </c>
      <c r="H308">
        <v>1</v>
      </c>
      <c r="I308" s="2">
        <v>35</v>
      </c>
      <c r="J308" s="2">
        <f t="shared" si="13"/>
        <v>35</v>
      </c>
      <c r="K308" s="2" t="str">
        <f t="shared" si="14"/>
        <v>Sale</v>
      </c>
      <c r="L308" t="s">
        <v>27</v>
      </c>
    </row>
    <row r="309" spans="1:12" x14ac:dyDescent="0.25">
      <c r="A309">
        <v>5307</v>
      </c>
      <c r="B309">
        <v>7</v>
      </c>
      <c r="C309" s="5" t="str">
        <f>IFERROR(_xlfn.XLOOKUP(B309, Customers_raw!A:A, Customers_raw!B:B), "Unknown Customer")</f>
        <v>Emily Ramirez</v>
      </c>
      <c r="D309" s="1">
        <v>45679</v>
      </c>
      <c r="E309" s="1" t="str">
        <f t="shared" si="12"/>
        <v>2025-01</v>
      </c>
      <c r="F309" t="s">
        <v>11</v>
      </c>
      <c r="G309" t="s">
        <v>6</v>
      </c>
      <c r="H309">
        <v>3</v>
      </c>
      <c r="I309" s="2">
        <v>21</v>
      </c>
      <c r="J309" s="2">
        <f t="shared" si="13"/>
        <v>63</v>
      </c>
      <c r="K309" s="2" t="str">
        <f t="shared" si="14"/>
        <v>Sale</v>
      </c>
      <c r="L309" t="s">
        <v>5</v>
      </c>
    </row>
    <row r="310" spans="1:12" x14ac:dyDescent="0.25">
      <c r="A310">
        <v>5308</v>
      </c>
      <c r="B310">
        <v>16</v>
      </c>
      <c r="C310" s="5" t="str">
        <f>IFERROR(_xlfn.XLOOKUP(B310, Customers_raw!A:A, Customers_raw!B:B), "Unknown Customer")</f>
        <v>Karen Perez</v>
      </c>
      <c r="D310" s="1">
        <v>45964</v>
      </c>
      <c r="E310" s="1" t="str">
        <f t="shared" si="12"/>
        <v>2025-11</v>
      </c>
      <c r="F310" t="s">
        <v>19</v>
      </c>
      <c r="G310" t="s">
        <v>17</v>
      </c>
      <c r="H310">
        <v>1</v>
      </c>
      <c r="I310" s="2">
        <v>22</v>
      </c>
      <c r="J310" s="2">
        <f t="shared" si="13"/>
        <v>22</v>
      </c>
      <c r="K310" s="2" t="str">
        <f t="shared" si="14"/>
        <v>Sale</v>
      </c>
      <c r="L310" t="s">
        <v>5</v>
      </c>
    </row>
    <row r="311" spans="1:12" x14ac:dyDescent="0.25">
      <c r="A311">
        <v>5309</v>
      </c>
      <c r="B311">
        <v>45</v>
      </c>
      <c r="C311" s="5" t="str">
        <f>IFERROR(_xlfn.XLOOKUP(B311, Customers_raw!A:A, Customers_raw!B:B), "Unknown Customer")</f>
        <v>Michael Moore</v>
      </c>
      <c r="D311" s="1">
        <v>45744</v>
      </c>
      <c r="E311" s="1" t="str">
        <f t="shared" si="12"/>
        <v>2025-03</v>
      </c>
      <c r="F311" t="s">
        <v>11</v>
      </c>
      <c r="G311" t="s">
        <v>6</v>
      </c>
      <c r="H311">
        <v>3</v>
      </c>
      <c r="I311" s="2">
        <v>18</v>
      </c>
      <c r="J311" s="2">
        <f t="shared" si="13"/>
        <v>54</v>
      </c>
      <c r="K311" s="2" t="str">
        <f t="shared" si="14"/>
        <v>Sale</v>
      </c>
      <c r="L311" t="s">
        <v>5</v>
      </c>
    </row>
    <row r="312" spans="1:12" x14ac:dyDescent="0.25">
      <c r="A312">
        <v>5310</v>
      </c>
      <c r="B312">
        <v>16</v>
      </c>
      <c r="C312" s="5" t="str">
        <f>IFERROR(_xlfn.XLOOKUP(B312, Customers_raw!A:A, Customers_raw!B:B), "Unknown Customer")</f>
        <v>Karen Perez</v>
      </c>
      <c r="D312" s="1">
        <v>45937</v>
      </c>
      <c r="E312" s="1" t="str">
        <f t="shared" si="12"/>
        <v>2025-10</v>
      </c>
      <c r="F312" t="s">
        <v>9</v>
      </c>
      <c r="G312" t="s">
        <v>6</v>
      </c>
      <c r="H312">
        <v>3</v>
      </c>
      <c r="I312" s="2">
        <v>45</v>
      </c>
      <c r="J312" s="2">
        <f t="shared" si="13"/>
        <v>135</v>
      </c>
      <c r="K312" s="2" t="str">
        <f t="shared" si="14"/>
        <v>Sale</v>
      </c>
      <c r="L312" t="s">
        <v>8</v>
      </c>
    </row>
    <row r="313" spans="1:12" x14ac:dyDescent="0.25">
      <c r="A313">
        <v>5311</v>
      </c>
      <c r="B313">
        <v>46</v>
      </c>
      <c r="C313" s="5" t="str">
        <f>IFERROR(_xlfn.XLOOKUP(B313, Customers_raw!A:A, Customers_raw!B:B), "Unknown Customer")</f>
        <v>Mary Rodriguez</v>
      </c>
      <c r="D313" s="1">
        <v>45825</v>
      </c>
      <c r="E313" s="1" t="str">
        <f t="shared" si="12"/>
        <v>2025-06</v>
      </c>
      <c r="F313" t="s">
        <v>15</v>
      </c>
      <c r="G313" t="s">
        <v>7</v>
      </c>
      <c r="H313">
        <v>1</v>
      </c>
      <c r="I313" s="2">
        <v>70</v>
      </c>
      <c r="J313" s="2">
        <f t="shared" si="13"/>
        <v>70</v>
      </c>
      <c r="K313" s="2" t="str">
        <f t="shared" si="14"/>
        <v>Sale</v>
      </c>
      <c r="L313" t="s">
        <v>27</v>
      </c>
    </row>
    <row r="314" spans="1:12" x14ac:dyDescent="0.25">
      <c r="A314">
        <v>5312</v>
      </c>
      <c r="B314">
        <v>89</v>
      </c>
      <c r="C314" s="5" t="str">
        <f>IFERROR(_xlfn.XLOOKUP(B314, Customers_raw!A:A, Customers_raw!B:B), "Unknown Customer")</f>
        <v>Andrew Thompson</v>
      </c>
      <c r="D314" s="1">
        <v>45962</v>
      </c>
      <c r="E314" s="1" t="str">
        <f t="shared" si="12"/>
        <v>2025-11</v>
      </c>
      <c r="F314" t="s">
        <v>13</v>
      </c>
      <c r="G314" t="s">
        <v>7</v>
      </c>
      <c r="H314">
        <v>1</v>
      </c>
      <c r="I314" s="2">
        <v>29</v>
      </c>
      <c r="J314" s="2">
        <f t="shared" si="13"/>
        <v>29</v>
      </c>
      <c r="K314" s="2" t="str">
        <f t="shared" si="14"/>
        <v>Sale</v>
      </c>
      <c r="L314" t="s">
        <v>8</v>
      </c>
    </row>
    <row r="315" spans="1:12" x14ac:dyDescent="0.25">
      <c r="A315">
        <v>5313</v>
      </c>
      <c r="B315">
        <v>103</v>
      </c>
      <c r="C315" s="5" t="str">
        <f>IFERROR(_xlfn.XLOOKUP(B315, Customers_raw!A:A, Customers_raw!B:B), "Unknown Customer")</f>
        <v>Mark Wilson</v>
      </c>
      <c r="D315" s="1">
        <v>45752</v>
      </c>
      <c r="E315" s="1" t="str">
        <f t="shared" si="12"/>
        <v>2025-04</v>
      </c>
      <c r="F315" t="s">
        <v>18</v>
      </c>
      <c r="G315" t="s">
        <v>6</v>
      </c>
      <c r="H315">
        <v>2</v>
      </c>
      <c r="I315" s="2">
        <v>89</v>
      </c>
      <c r="J315" s="2">
        <f t="shared" si="13"/>
        <v>178</v>
      </c>
      <c r="K315" s="2" t="str">
        <f t="shared" si="14"/>
        <v>Sale</v>
      </c>
      <c r="L315" t="s">
        <v>27</v>
      </c>
    </row>
    <row r="316" spans="1:12" x14ac:dyDescent="0.25">
      <c r="A316">
        <v>5314</v>
      </c>
      <c r="B316">
        <v>76</v>
      </c>
      <c r="C316" s="5" t="str">
        <f>IFERROR(_xlfn.XLOOKUP(B316, Customers_raw!A:A, Customers_raw!B:B), "Unknown Customer")</f>
        <v>Thomas Anderson</v>
      </c>
      <c r="D316" s="1">
        <v>45726</v>
      </c>
      <c r="E316" s="1" t="str">
        <f t="shared" si="12"/>
        <v>2025-03</v>
      </c>
      <c r="F316" t="s">
        <v>18</v>
      </c>
      <c r="G316" t="s">
        <v>6</v>
      </c>
      <c r="H316">
        <v>2</v>
      </c>
      <c r="I316" s="2">
        <v>86</v>
      </c>
      <c r="J316" s="2">
        <f t="shared" si="13"/>
        <v>172</v>
      </c>
      <c r="K316" s="2" t="str">
        <f t="shared" si="14"/>
        <v>Sale</v>
      </c>
      <c r="L316" t="s">
        <v>27</v>
      </c>
    </row>
    <row r="317" spans="1:12" x14ac:dyDescent="0.25">
      <c r="A317">
        <v>5315</v>
      </c>
      <c r="B317">
        <v>63</v>
      </c>
      <c r="C317" s="5" t="str">
        <f>IFERROR(_xlfn.XLOOKUP(B317, Customers_raw!A:A, Customers_raw!B:B), "Unknown Customer")</f>
        <v>Joseph Robinson</v>
      </c>
      <c r="D317" s="1">
        <v>45905</v>
      </c>
      <c r="E317" s="1" t="str">
        <f t="shared" si="12"/>
        <v>2025-09</v>
      </c>
      <c r="F317" t="s">
        <v>15</v>
      </c>
      <c r="G317" t="s">
        <v>7</v>
      </c>
      <c r="H317">
        <v>1</v>
      </c>
      <c r="I317" s="2">
        <v>67</v>
      </c>
      <c r="J317" s="2">
        <f t="shared" si="13"/>
        <v>67</v>
      </c>
      <c r="K317" s="2" t="str">
        <f t="shared" si="14"/>
        <v>Sale</v>
      </c>
      <c r="L317" t="s">
        <v>8</v>
      </c>
    </row>
    <row r="318" spans="1:12" x14ac:dyDescent="0.25">
      <c r="A318">
        <v>5316</v>
      </c>
      <c r="B318">
        <v>21</v>
      </c>
      <c r="C318" s="5" t="str">
        <f>IFERROR(_xlfn.XLOOKUP(B318, Customers_raw!A:A, Customers_raw!B:B), "Unknown Customer")</f>
        <v>Daniel Thompson</v>
      </c>
      <c r="D318" s="1">
        <v>45887</v>
      </c>
      <c r="E318" s="1" t="str">
        <f t="shared" si="12"/>
        <v>2025-08</v>
      </c>
      <c r="F318" t="s">
        <v>19</v>
      </c>
      <c r="G318" t="s">
        <v>17</v>
      </c>
      <c r="H318">
        <v>1</v>
      </c>
      <c r="I318" s="2">
        <v>22</v>
      </c>
      <c r="J318" s="2">
        <f t="shared" si="13"/>
        <v>22</v>
      </c>
      <c r="K318" s="2" t="str">
        <f t="shared" si="14"/>
        <v>Sale</v>
      </c>
      <c r="L318" t="s">
        <v>5</v>
      </c>
    </row>
    <row r="319" spans="1:12" x14ac:dyDescent="0.25">
      <c r="A319">
        <v>5317</v>
      </c>
      <c r="B319">
        <v>43</v>
      </c>
      <c r="C319" s="5" t="str">
        <f>IFERROR(_xlfn.XLOOKUP(B319, Customers_raw!A:A, Customers_raw!B:B), "Unknown Customer")</f>
        <v>Sandra Clark</v>
      </c>
      <c r="D319" s="1">
        <v>45768</v>
      </c>
      <c r="E319" s="1" t="str">
        <f t="shared" si="12"/>
        <v>2025-04</v>
      </c>
      <c r="F319" t="s">
        <v>15</v>
      </c>
      <c r="G319" t="s">
        <v>7</v>
      </c>
      <c r="H319">
        <v>1</v>
      </c>
      <c r="I319" s="2">
        <v>73</v>
      </c>
      <c r="J319" s="2">
        <f t="shared" si="13"/>
        <v>73</v>
      </c>
      <c r="K319" s="2" t="str">
        <f t="shared" si="14"/>
        <v>Sale</v>
      </c>
      <c r="L319" t="s">
        <v>27</v>
      </c>
    </row>
    <row r="320" spans="1:12" x14ac:dyDescent="0.25">
      <c r="A320">
        <v>5318</v>
      </c>
      <c r="B320">
        <v>22</v>
      </c>
      <c r="C320" s="5" t="str">
        <f>IFERROR(_xlfn.XLOOKUP(B320, Customers_raw!A:A, Customers_raw!B:B), "Unknown Customer")</f>
        <v>Joseph Thompson</v>
      </c>
      <c r="D320" s="1">
        <v>45897</v>
      </c>
      <c r="E320" s="1" t="str">
        <f t="shared" si="12"/>
        <v>2025-08</v>
      </c>
      <c r="F320" t="s">
        <v>11</v>
      </c>
      <c r="G320" t="s">
        <v>6</v>
      </c>
      <c r="H320">
        <v>2</v>
      </c>
      <c r="I320" s="2">
        <v>18</v>
      </c>
      <c r="J320" s="2">
        <f t="shared" si="13"/>
        <v>36</v>
      </c>
      <c r="K320" s="2" t="str">
        <f t="shared" si="14"/>
        <v>Sale</v>
      </c>
      <c r="L320" t="s">
        <v>5</v>
      </c>
    </row>
    <row r="321" spans="1:12" x14ac:dyDescent="0.25">
      <c r="A321">
        <v>5319</v>
      </c>
      <c r="B321">
        <v>1</v>
      </c>
      <c r="C321" s="5" t="str">
        <f>IFERROR(_xlfn.XLOOKUP(B321, Customers_raw!A:A, Customers_raw!B:B), "Unknown Customer")</f>
        <v>Christopher Jones</v>
      </c>
      <c r="D321" s="1">
        <v>45954</v>
      </c>
      <c r="E321" s="1" t="str">
        <f t="shared" si="12"/>
        <v>2025-10</v>
      </c>
      <c r="F321" t="s">
        <v>11</v>
      </c>
      <c r="G321" t="s">
        <v>6</v>
      </c>
      <c r="H321">
        <v>1</v>
      </c>
      <c r="I321" s="2">
        <v>18</v>
      </c>
      <c r="J321" s="2">
        <f t="shared" si="13"/>
        <v>18</v>
      </c>
      <c r="K321" s="2" t="str">
        <f t="shared" si="14"/>
        <v>Sale</v>
      </c>
      <c r="L321" t="s">
        <v>8</v>
      </c>
    </row>
    <row r="322" spans="1:12" x14ac:dyDescent="0.25">
      <c r="A322">
        <v>5320</v>
      </c>
      <c r="B322">
        <v>57</v>
      </c>
      <c r="C322" s="5" t="str">
        <f>IFERROR(_xlfn.XLOOKUP(B322, Customers_raw!A:A, Customers_raw!B:B), "Unknown Customer")</f>
        <v>Karen Clark</v>
      </c>
      <c r="D322" s="1">
        <v>45681</v>
      </c>
      <c r="E322" s="1" t="str">
        <f t="shared" si="12"/>
        <v>2025-01</v>
      </c>
      <c r="F322" t="s">
        <v>21</v>
      </c>
      <c r="G322" t="s">
        <v>17</v>
      </c>
      <c r="H322">
        <v>3</v>
      </c>
      <c r="I322" s="2">
        <v>60</v>
      </c>
      <c r="J322" s="2">
        <f t="shared" si="13"/>
        <v>180</v>
      </c>
      <c r="K322" s="2" t="str">
        <f t="shared" si="14"/>
        <v>Sale</v>
      </c>
      <c r="L322" t="s">
        <v>5</v>
      </c>
    </row>
    <row r="323" spans="1:12" x14ac:dyDescent="0.25">
      <c r="A323">
        <v>5321</v>
      </c>
      <c r="B323">
        <v>9</v>
      </c>
      <c r="C323" s="5" t="str">
        <f>IFERROR(_xlfn.XLOOKUP(B323, Customers_raw!A:A, Customers_raw!B:B), "Unknown Customer")</f>
        <v>Andrew Anderson</v>
      </c>
      <c r="D323" s="1">
        <v>45792</v>
      </c>
      <c r="E323" s="1" t="str">
        <f t="shared" ref="E323:E386" si="15">TEXT(D:D,"YYYY-MM")</f>
        <v>2025-05</v>
      </c>
      <c r="F323" t="s">
        <v>15</v>
      </c>
      <c r="G323" t="s">
        <v>7</v>
      </c>
      <c r="H323">
        <v>2</v>
      </c>
      <c r="I323" s="2">
        <v>73</v>
      </c>
      <c r="J323" s="2">
        <f t="shared" ref="J323:J386" si="16">H323*I323</f>
        <v>146</v>
      </c>
      <c r="K323" s="2" t="str">
        <f t="shared" ref="K323:K386" si="17">IF(H323&lt;0,"Return","Sale")</f>
        <v>Sale</v>
      </c>
      <c r="L323" t="s">
        <v>23</v>
      </c>
    </row>
    <row r="324" spans="1:12" x14ac:dyDescent="0.25">
      <c r="A324">
        <v>5322</v>
      </c>
      <c r="B324">
        <v>5</v>
      </c>
      <c r="C324" s="5" t="str">
        <f>IFERROR(_xlfn.XLOOKUP(B324, Customers_raw!A:A, Customers_raw!B:B), "Unknown Customer")</f>
        <v>Joshua Martin</v>
      </c>
      <c r="D324" s="1">
        <v>45706</v>
      </c>
      <c r="E324" s="1" t="str">
        <f t="shared" si="15"/>
        <v>2025-02</v>
      </c>
      <c r="F324" t="s">
        <v>15</v>
      </c>
      <c r="G324" t="s">
        <v>7</v>
      </c>
      <c r="H324">
        <v>2</v>
      </c>
      <c r="I324" s="2">
        <v>73</v>
      </c>
      <c r="J324" s="2">
        <f t="shared" si="16"/>
        <v>146</v>
      </c>
      <c r="K324" s="2" t="str">
        <f t="shared" si="17"/>
        <v>Sale</v>
      </c>
      <c r="L324" t="s">
        <v>23</v>
      </c>
    </row>
    <row r="325" spans="1:12" x14ac:dyDescent="0.25">
      <c r="A325">
        <v>5323</v>
      </c>
      <c r="B325">
        <v>102</v>
      </c>
      <c r="C325" s="5" t="str">
        <f>IFERROR(_xlfn.XLOOKUP(B325, Customers_raw!A:A, Customers_raw!B:B), "Unknown Customer")</f>
        <v>Ashley Wilson</v>
      </c>
      <c r="D325" s="1">
        <v>45779</v>
      </c>
      <c r="E325" s="1" t="str">
        <f t="shared" si="15"/>
        <v>2025-05</v>
      </c>
      <c r="F325" t="s">
        <v>18</v>
      </c>
      <c r="G325" t="s">
        <v>6</v>
      </c>
      <c r="H325">
        <v>3</v>
      </c>
      <c r="I325" s="2">
        <v>86</v>
      </c>
      <c r="J325" s="2">
        <f t="shared" si="16"/>
        <v>258</v>
      </c>
      <c r="K325" s="2" t="str">
        <f t="shared" si="17"/>
        <v>Sale</v>
      </c>
      <c r="L325" t="s">
        <v>5</v>
      </c>
    </row>
    <row r="326" spans="1:12" x14ac:dyDescent="0.25">
      <c r="A326">
        <v>5324</v>
      </c>
      <c r="B326">
        <v>47</v>
      </c>
      <c r="C326" s="5" t="str">
        <f>IFERROR(_xlfn.XLOOKUP(B326, Customers_raw!A:A, Customers_raw!B:B), "Unknown Customer")</f>
        <v>Christopher Rodriguez</v>
      </c>
      <c r="D326" s="1">
        <v>45983</v>
      </c>
      <c r="E326" s="1" t="str">
        <f t="shared" si="15"/>
        <v>2025-11</v>
      </c>
      <c r="F326" t="s">
        <v>15</v>
      </c>
      <c r="G326" t="s">
        <v>7</v>
      </c>
      <c r="H326">
        <v>1</v>
      </c>
      <c r="I326" s="2">
        <v>73</v>
      </c>
      <c r="J326" s="2">
        <f t="shared" si="16"/>
        <v>73</v>
      </c>
      <c r="K326" s="2" t="str">
        <f t="shared" si="17"/>
        <v>Sale</v>
      </c>
      <c r="L326" t="s">
        <v>5</v>
      </c>
    </row>
    <row r="327" spans="1:12" x14ac:dyDescent="0.25">
      <c r="A327">
        <v>5325</v>
      </c>
      <c r="B327">
        <v>8</v>
      </c>
      <c r="C327" s="5" t="str">
        <f>IFERROR(_xlfn.XLOOKUP(B327, Customers_raw!A:A, Customers_raw!B:B), "Unknown Customer")</f>
        <v>Lisa Brown</v>
      </c>
      <c r="D327" s="1">
        <v>45830</v>
      </c>
      <c r="E327" s="1" t="str">
        <f t="shared" si="15"/>
        <v>2025-06</v>
      </c>
      <c r="F327" t="s">
        <v>19</v>
      </c>
      <c r="G327" t="s">
        <v>17</v>
      </c>
      <c r="H327">
        <v>2</v>
      </c>
      <c r="I327" s="2">
        <v>22</v>
      </c>
      <c r="J327" s="2">
        <f t="shared" si="16"/>
        <v>44</v>
      </c>
      <c r="K327" s="2" t="str">
        <f t="shared" si="17"/>
        <v>Sale</v>
      </c>
      <c r="L327" t="s">
        <v>27</v>
      </c>
    </row>
    <row r="328" spans="1:12" x14ac:dyDescent="0.25">
      <c r="A328">
        <v>5326</v>
      </c>
      <c r="B328">
        <v>45</v>
      </c>
      <c r="C328" s="5" t="str">
        <f>IFERROR(_xlfn.XLOOKUP(B328, Customers_raw!A:A, Customers_raw!B:B), "Unknown Customer")</f>
        <v>Michael Moore</v>
      </c>
      <c r="D328" s="1">
        <v>45727</v>
      </c>
      <c r="E328" s="1" t="str">
        <f t="shared" si="15"/>
        <v>2025-03</v>
      </c>
      <c r="F328" t="s">
        <v>20</v>
      </c>
      <c r="G328" t="s">
        <v>10</v>
      </c>
      <c r="H328">
        <v>1</v>
      </c>
      <c r="I328" s="2">
        <v>65</v>
      </c>
      <c r="J328" s="2">
        <f t="shared" si="16"/>
        <v>65</v>
      </c>
      <c r="K328" s="2" t="str">
        <f t="shared" si="17"/>
        <v>Sale</v>
      </c>
      <c r="L328" t="s">
        <v>8</v>
      </c>
    </row>
    <row r="329" spans="1:12" x14ac:dyDescent="0.25">
      <c r="A329">
        <v>5327</v>
      </c>
      <c r="B329">
        <v>73</v>
      </c>
      <c r="C329" s="5" t="str">
        <f>IFERROR(_xlfn.XLOOKUP(B329, Customers_raw!A:A, Customers_raw!B:B), "Unknown Customer")</f>
        <v>Michael Thompson</v>
      </c>
      <c r="D329" s="1">
        <v>45744</v>
      </c>
      <c r="E329" s="1" t="str">
        <f t="shared" si="15"/>
        <v>2025-03</v>
      </c>
      <c r="F329" t="s">
        <v>18</v>
      </c>
      <c r="G329" t="s">
        <v>6</v>
      </c>
      <c r="H329">
        <v>1</v>
      </c>
      <c r="I329" s="2">
        <v>89</v>
      </c>
      <c r="J329" s="2">
        <f t="shared" si="16"/>
        <v>89</v>
      </c>
      <c r="K329" s="2" t="str">
        <f t="shared" si="17"/>
        <v>Sale</v>
      </c>
      <c r="L329" t="s">
        <v>5</v>
      </c>
    </row>
    <row r="330" spans="1:12" x14ac:dyDescent="0.25">
      <c r="A330">
        <v>5328</v>
      </c>
      <c r="B330">
        <v>94</v>
      </c>
      <c r="C330" s="5" t="str">
        <f>IFERROR(_xlfn.XLOOKUP(B330, Customers_raw!A:A, Customers_raw!B:B), "Unknown Customer")</f>
        <v>Kenneth Jones</v>
      </c>
      <c r="D330" s="1">
        <v>45940</v>
      </c>
      <c r="E330" s="1" t="str">
        <f t="shared" si="15"/>
        <v>2025-10</v>
      </c>
      <c r="F330" t="s">
        <v>21</v>
      </c>
      <c r="G330" t="s">
        <v>17</v>
      </c>
      <c r="H330">
        <v>1</v>
      </c>
      <c r="I330" s="2">
        <v>60</v>
      </c>
      <c r="J330" s="2">
        <f t="shared" si="16"/>
        <v>60</v>
      </c>
      <c r="K330" s="2" t="str">
        <f t="shared" si="17"/>
        <v>Sale</v>
      </c>
      <c r="L330" t="s">
        <v>27</v>
      </c>
    </row>
    <row r="331" spans="1:12" x14ac:dyDescent="0.25">
      <c r="A331">
        <v>5329</v>
      </c>
      <c r="B331">
        <v>23</v>
      </c>
      <c r="C331" s="5" t="str">
        <f>IFERROR(_xlfn.XLOOKUP(B331, Customers_raw!A:A, Customers_raw!B:B), "Unknown Customer")</f>
        <v>Thomas Martinez</v>
      </c>
      <c r="D331" s="1">
        <v>45955</v>
      </c>
      <c r="E331" s="1" t="str">
        <f t="shared" si="15"/>
        <v>2025-10</v>
      </c>
      <c r="F331" t="s">
        <v>18</v>
      </c>
      <c r="G331" t="s">
        <v>6</v>
      </c>
      <c r="H331">
        <v>2</v>
      </c>
      <c r="I331" s="2">
        <v>89</v>
      </c>
      <c r="J331" s="2">
        <f t="shared" si="16"/>
        <v>178</v>
      </c>
      <c r="K331" s="2" t="str">
        <f t="shared" si="17"/>
        <v>Sale</v>
      </c>
      <c r="L331" t="s">
        <v>5</v>
      </c>
    </row>
    <row r="332" spans="1:12" x14ac:dyDescent="0.25">
      <c r="A332">
        <v>5330</v>
      </c>
      <c r="B332">
        <v>45</v>
      </c>
      <c r="C332" s="5" t="str">
        <f>IFERROR(_xlfn.XLOOKUP(B332, Customers_raw!A:A, Customers_raw!B:B), "Unknown Customer")</f>
        <v>Michael Moore</v>
      </c>
      <c r="D332" s="1">
        <v>45817</v>
      </c>
      <c r="E332" s="1" t="str">
        <f t="shared" si="15"/>
        <v>2025-06</v>
      </c>
      <c r="F332" t="s">
        <v>12</v>
      </c>
      <c r="G332" t="s">
        <v>10</v>
      </c>
      <c r="H332">
        <v>1</v>
      </c>
      <c r="I332" s="2">
        <v>22</v>
      </c>
      <c r="J332" s="2">
        <f t="shared" si="16"/>
        <v>22</v>
      </c>
      <c r="K332" s="2" t="str">
        <f t="shared" si="17"/>
        <v>Sale</v>
      </c>
      <c r="L332" t="s">
        <v>27</v>
      </c>
    </row>
    <row r="333" spans="1:12" x14ac:dyDescent="0.25">
      <c r="A333">
        <v>5331</v>
      </c>
      <c r="B333">
        <v>81</v>
      </c>
      <c r="C333" s="5" t="str">
        <f>IFERROR(_xlfn.XLOOKUP(B333, Customers_raw!A:A, Customers_raw!B:B), "Unknown Customer")</f>
        <v>Sarah Moore</v>
      </c>
      <c r="D333" s="1">
        <v>45779</v>
      </c>
      <c r="E333" s="1" t="str">
        <f t="shared" si="15"/>
        <v>2025-05</v>
      </c>
      <c r="F333" t="s">
        <v>18</v>
      </c>
      <c r="G333" t="s">
        <v>6</v>
      </c>
      <c r="H333">
        <v>1</v>
      </c>
      <c r="I333" s="2">
        <v>86</v>
      </c>
      <c r="J333" s="2">
        <f t="shared" si="16"/>
        <v>86</v>
      </c>
      <c r="K333" s="2" t="str">
        <f t="shared" si="17"/>
        <v>Sale</v>
      </c>
      <c r="L333" t="s">
        <v>27</v>
      </c>
    </row>
    <row r="334" spans="1:12" x14ac:dyDescent="0.25">
      <c r="A334">
        <v>5332</v>
      </c>
      <c r="B334">
        <v>78</v>
      </c>
      <c r="C334" s="5" t="str">
        <f>IFERROR(_xlfn.XLOOKUP(B334, Customers_raw!A:A, Customers_raw!B:B), "Unknown Customer")</f>
        <v>Sandra Garcia</v>
      </c>
      <c r="D334" s="1">
        <v>45914</v>
      </c>
      <c r="E334" s="1" t="str">
        <f t="shared" si="15"/>
        <v>2025-09</v>
      </c>
      <c r="F334" t="s">
        <v>18</v>
      </c>
      <c r="G334" t="s">
        <v>6</v>
      </c>
      <c r="H334">
        <v>1</v>
      </c>
      <c r="I334" s="2">
        <v>89</v>
      </c>
      <c r="J334" s="2">
        <f t="shared" si="16"/>
        <v>89</v>
      </c>
      <c r="K334" s="2" t="str">
        <f t="shared" si="17"/>
        <v>Sale</v>
      </c>
      <c r="L334" t="s">
        <v>27</v>
      </c>
    </row>
    <row r="335" spans="1:12" x14ac:dyDescent="0.25">
      <c r="A335">
        <v>5333</v>
      </c>
      <c r="B335">
        <v>77</v>
      </c>
      <c r="C335" s="5" t="str">
        <f>IFERROR(_xlfn.XLOOKUP(B335, Customers_raw!A:A, Customers_raw!B:B), "Unknown Customer")</f>
        <v>Steven Thompson</v>
      </c>
      <c r="D335" s="1">
        <v>45698</v>
      </c>
      <c r="E335" s="1" t="str">
        <f t="shared" si="15"/>
        <v>2025-02</v>
      </c>
      <c r="F335" t="s">
        <v>16</v>
      </c>
      <c r="G335" t="s">
        <v>10</v>
      </c>
      <c r="H335">
        <v>2</v>
      </c>
      <c r="I335" s="2">
        <v>28</v>
      </c>
      <c r="J335" s="2">
        <f t="shared" si="16"/>
        <v>56</v>
      </c>
      <c r="K335" s="2" t="str">
        <f t="shared" si="17"/>
        <v>Sale</v>
      </c>
      <c r="L335" t="s">
        <v>8</v>
      </c>
    </row>
    <row r="336" spans="1:12" x14ac:dyDescent="0.25">
      <c r="A336">
        <v>5334</v>
      </c>
      <c r="B336">
        <v>25</v>
      </c>
      <c r="C336" s="5" t="str">
        <f>IFERROR(_xlfn.XLOOKUP(B336, Customers_raw!A:A, Customers_raw!B:B), "Unknown Customer")</f>
        <v>Emily Wilson</v>
      </c>
      <c r="D336" s="1">
        <v>45932</v>
      </c>
      <c r="E336" s="1" t="str">
        <f t="shared" si="15"/>
        <v>2025-10</v>
      </c>
      <c r="F336" t="s">
        <v>18</v>
      </c>
      <c r="G336" t="s">
        <v>6</v>
      </c>
      <c r="H336">
        <v>3</v>
      </c>
      <c r="I336" s="2">
        <v>89</v>
      </c>
      <c r="J336" s="2">
        <f t="shared" si="16"/>
        <v>267</v>
      </c>
      <c r="K336" s="2" t="str">
        <f t="shared" si="17"/>
        <v>Sale</v>
      </c>
      <c r="L336" t="s">
        <v>5</v>
      </c>
    </row>
    <row r="337" spans="1:12" x14ac:dyDescent="0.25">
      <c r="A337">
        <v>5335</v>
      </c>
      <c r="B337">
        <v>42</v>
      </c>
      <c r="C337" s="5" t="str">
        <f>IFERROR(_xlfn.XLOOKUP(B337, Customers_raw!A:A, Customers_raw!B:B), "Unknown Customer")</f>
        <v>Jennifer Harris</v>
      </c>
      <c r="D337" s="1">
        <v>45671</v>
      </c>
      <c r="E337" s="1" t="str">
        <f t="shared" si="15"/>
        <v>2025-01</v>
      </c>
      <c r="F337" t="s">
        <v>19</v>
      </c>
      <c r="G337" t="s">
        <v>17</v>
      </c>
      <c r="H337">
        <v>2</v>
      </c>
      <c r="I337" s="2">
        <v>22</v>
      </c>
      <c r="J337" s="2">
        <f t="shared" si="16"/>
        <v>44</v>
      </c>
      <c r="K337" s="2" t="str">
        <f t="shared" si="17"/>
        <v>Sale</v>
      </c>
      <c r="L337" t="s">
        <v>27</v>
      </c>
    </row>
    <row r="338" spans="1:12" x14ac:dyDescent="0.25">
      <c r="A338">
        <v>5336</v>
      </c>
      <c r="B338">
        <v>8</v>
      </c>
      <c r="C338" s="5" t="str">
        <f>IFERROR(_xlfn.XLOOKUP(B338, Customers_raw!A:A, Customers_raw!B:B), "Unknown Customer")</f>
        <v>Lisa Brown</v>
      </c>
      <c r="D338" s="1">
        <v>45681</v>
      </c>
      <c r="E338" s="1" t="str">
        <f t="shared" si="15"/>
        <v>2025-01</v>
      </c>
      <c r="F338" t="s">
        <v>14</v>
      </c>
      <c r="G338" t="s">
        <v>7</v>
      </c>
      <c r="H338">
        <v>3</v>
      </c>
      <c r="I338" s="2">
        <v>58</v>
      </c>
      <c r="J338" s="2">
        <f t="shared" si="16"/>
        <v>174</v>
      </c>
      <c r="K338" s="2" t="str">
        <f t="shared" si="17"/>
        <v>Sale</v>
      </c>
      <c r="L338" t="s">
        <v>27</v>
      </c>
    </row>
    <row r="339" spans="1:12" x14ac:dyDescent="0.25">
      <c r="A339">
        <v>5337</v>
      </c>
      <c r="B339">
        <v>52</v>
      </c>
      <c r="C339" s="5" t="str">
        <f>IFERROR(_xlfn.XLOOKUP(B339, Customers_raw!A:A, Customers_raw!B:B), "Unknown Customer")</f>
        <v>Sarah Johnson</v>
      </c>
      <c r="D339" s="1">
        <v>45895</v>
      </c>
      <c r="E339" s="1" t="str">
        <f t="shared" si="15"/>
        <v>2025-08</v>
      </c>
      <c r="F339" t="s">
        <v>18</v>
      </c>
      <c r="G339" t="s">
        <v>6</v>
      </c>
      <c r="H339">
        <v>1</v>
      </c>
      <c r="I339" s="2">
        <v>89</v>
      </c>
      <c r="J339" s="2">
        <f t="shared" si="16"/>
        <v>89</v>
      </c>
      <c r="K339" s="2" t="str">
        <f t="shared" si="17"/>
        <v>Sale</v>
      </c>
      <c r="L339" t="s">
        <v>8</v>
      </c>
    </row>
    <row r="340" spans="1:12" x14ac:dyDescent="0.25">
      <c r="A340">
        <v>5338</v>
      </c>
      <c r="B340">
        <v>54</v>
      </c>
      <c r="C340" s="5" t="str">
        <f>IFERROR(_xlfn.XLOOKUP(B340, Customers_raw!A:A, Customers_raw!B:B), "Unknown Customer")</f>
        <v>Donald Moore</v>
      </c>
      <c r="D340" s="1">
        <v>46021</v>
      </c>
      <c r="E340" s="1" t="str">
        <f t="shared" si="15"/>
        <v>2025-12</v>
      </c>
      <c r="F340" t="s">
        <v>21</v>
      </c>
      <c r="G340" t="s">
        <v>17</v>
      </c>
      <c r="H340">
        <v>1</v>
      </c>
      <c r="I340" s="2">
        <v>57</v>
      </c>
      <c r="J340" s="2">
        <f t="shared" si="16"/>
        <v>57</v>
      </c>
      <c r="K340" s="2" t="str">
        <f t="shared" si="17"/>
        <v>Sale</v>
      </c>
      <c r="L340" t="s">
        <v>27</v>
      </c>
    </row>
    <row r="341" spans="1:12" x14ac:dyDescent="0.25">
      <c r="A341">
        <v>5339</v>
      </c>
      <c r="B341">
        <v>19</v>
      </c>
      <c r="C341" s="5" t="str">
        <f>IFERROR(_xlfn.XLOOKUP(B341, Customers_raw!A:A, Customers_raw!B:B), "Unknown Customer")</f>
        <v>Ashley Williams</v>
      </c>
      <c r="D341" s="1">
        <v>45704</v>
      </c>
      <c r="E341" s="1" t="str">
        <f t="shared" si="15"/>
        <v>2025-02</v>
      </c>
      <c r="F341" t="s">
        <v>15</v>
      </c>
      <c r="G341" t="s">
        <v>7</v>
      </c>
      <c r="H341">
        <v>1</v>
      </c>
      <c r="I341" s="2">
        <v>70</v>
      </c>
      <c r="J341" s="2">
        <f t="shared" si="16"/>
        <v>70</v>
      </c>
      <c r="K341" s="2" t="str">
        <f t="shared" si="17"/>
        <v>Sale</v>
      </c>
      <c r="L341" t="s">
        <v>5</v>
      </c>
    </row>
    <row r="342" spans="1:12" x14ac:dyDescent="0.25">
      <c r="A342">
        <v>5340</v>
      </c>
      <c r="B342">
        <v>78</v>
      </c>
      <c r="C342" s="5" t="str">
        <f>IFERROR(_xlfn.XLOOKUP(B342, Customers_raw!A:A, Customers_raw!B:B), "Unknown Customer")</f>
        <v>Sandra Garcia</v>
      </c>
      <c r="D342" s="1">
        <v>45827</v>
      </c>
      <c r="E342" s="1" t="str">
        <f t="shared" si="15"/>
        <v>2025-06</v>
      </c>
      <c r="F342" t="s">
        <v>21</v>
      </c>
      <c r="G342" t="s">
        <v>17</v>
      </c>
      <c r="H342">
        <v>3</v>
      </c>
      <c r="I342" s="2">
        <v>63</v>
      </c>
      <c r="J342" s="2">
        <f t="shared" si="16"/>
        <v>189</v>
      </c>
      <c r="K342" s="2" t="str">
        <f t="shared" si="17"/>
        <v>Sale</v>
      </c>
      <c r="L342" t="s">
        <v>8</v>
      </c>
    </row>
    <row r="343" spans="1:12" x14ac:dyDescent="0.25">
      <c r="A343">
        <v>5341</v>
      </c>
      <c r="B343">
        <v>100</v>
      </c>
      <c r="C343" s="5" t="str">
        <f>IFERROR(_xlfn.XLOOKUP(B343, Customers_raw!A:A, Customers_raw!B:B), "Unknown Customer")</f>
        <v>Susan Williams</v>
      </c>
      <c r="D343" s="1">
        <v>45875</v>
      </c>
      <c r="E343" s="1" t="str">
        <f t="shared" si="15"/>
        <v>2025-08</v>
      </c>
      <c r="F343" t="s">
        <v>22</v>
      </c>
      <c r="G343" t="s">
        <v>17</v>
      </c>
      <c r="H343">
        <v>2</v>
      </c>
      <c r="I343" s="2">
        <v>24</v>
      </c>
      <c r="J343" s="2">
        <f t="shared" si="16"/>
        <v>48</v>
      </c>
      <c r="K343" s="2" t="str">
        <f t="shared" si="17"/>
        <v>Sale</v>
      </c>
      <c r="L343" t="s">
        <v>27</v>
      </c>
    </row>
    <row r="344" spans="1:12" x14ac:dyDescent="0.25">
      <c r="A344">
        <v>5342</v>
      </c>
      <c r="B344">
        <v>33</v>
      </c>
      <c r="C344" s="5" t="str">
        <f>IFERROR(_xlfn.XLOOKUP(B344, Customers_raw!A:A, Customers_raw!B:B), "Unknown Customer")</f>
        <v>Jennifer White</v>
      </c>
      <c r="D344" s="1">
        <v>45943</v>
      </c>
      <c r="E344" s="1" t="str">
        <f t="shared" si="15"/>
        <v>2025-10</v>
      </c>
      <c r="F344" t="s">
        <v>16</v>
      </c>
      <c r="G344" t="s">
        <v>10</v>
      </c>
      <c r="H344">
        <v>1</v>
      </c>
      <c r="I344" s="2">
        <v>28</v>
      </c>
      <c r="J344" s="2">
        <f t="shared" si="16"/>
        <v>28</v>
      </c>
      <c r="K344" s="2" t="str">
        <f t="shared" si="17"/>
        <v>Sale</v>
      </c>
      <c r="L344" t="s">
        <v>23</v>
      </c>
    </row>
    <row r="345" spans="1:12" x14ac:dyDescent="0.25">
      <c r="A345">
        <v>5343</v>
      </c>
      <c r="B345">
        <v>97</v>
      </c>
      <c r="C345" s="5" t="str">
        <f>IFERROR(_xlfn.XLOOKUP(B345, Customers_raw!A:A, Customers_raw!B:B), "Unknown Customer")</f>
        <v>Charles Thomas</v>
      </c>
      <c r="D345" s="1">
        <v>45672</v>
      </c>
      <c r="E345" s="1" t="str">
        <f t="shared" si="15"/>
        <v>2025-01</v>
      </c>
      <c r="F345" t="s">
        <v>12</v>
      </c>
      <c r="G345" t="s">
        <v>10</v>
      </c>
      <c r="H345">
        <v>1</v>
      </c>
      <c r="I345" s="2">
        <v>19</v>
      </c>
      <c r="J345" s="2">
        <f t="shared" si="16"/>
        <v>19</v>
      </c>
      <c r="K345" s="2" t="str">
        <f t="shared" si="17"/>
        <v>Sale</v>
      </c>
      <c r="L345" t="s">
        <v>27</v>
      </c>
    </row>
    <row r="346" spans="1:12" x14ac:dyDescent="0.25">
      <c r="A346">
        <v>5344</v>
      </c>
      <c r="B346">
        <v>100</v>
      </c>
      <c r="C346" s="5" t="str">
        <f>IFERROR(_xlfn.XLOOKUP(B346, Customers_raw!A:A, Customers_raw!B:B), "Unknown Customer")</f>
        <v>Susan Williams</v>
      </c>
      <c r="D346" s="1">
        <v>45790</v>
      </c>
      <c r="E346" s="1" t="str">
        <f t="shared" si="15"/>
        <v>2025-05</v>
      </c>
      <c r="F346" t="s">
        <v>20</v>
      </c>
      <c r="G346" t="s">
        <v>10</v>
      </c>
      <c r="H346">
        <v>3</v>
      </c>
      <c r="I346" s="2">
        <v>65</v>
      </c>
      <c r="J346" s="2">
        <f t="shared" si="16"/>
        <v>195</v>
      </c>
      <c r="K346" s="2" t="str">
        <f t="shared" si="17"/>
        <v>Sale</v>
      </c>
      <c r="L346" t="s">
        <v>27</v>
      </c>
    </row>
    <row r="347" spans="1:12" x14ac:dyDescent="0.25">
      <c r="A347">
        <v>5345</v>
      </c>
      <c r="B347">
        <v>4</v>
      </c>
      <c r="C347" s="5" t="str">
        <f>IFERROR(_xlfn.XLOOKUP(B347, Customers_raw!A:A, Customers_raw!B:B), "Unknown Customer")</f>
        <v>Joshua Brown</v>
      </c>
      <c r="D347" s="1">
        <v>46021</v>
      </c>
      <c r="E347" s="1" t="str">
        <f t="shared" si="15"/>
        <v>2025-12</v>
      </c>
      <c r="F347" t="s">
        <v>11</v>
      </c>
      <c r="G347" t="s">
        <v>6</v>
      </c>
      <c r="H347">
        <v>2</v>
      </c>
      <c r="I347" s="2">
        <v>18</v>
      </c>
      <c r="J347" s="2">
        <f t="shared" si="16"/>
        <v>36</v>
      </c>
      <c r="K347" s="2" t="str">
        <f t="shared" si="17"/>
        <v>Sale</v>
      </c>
      <c r="L347" t="s">
        <v>8</v>
      </c>
    </row>
    <row r="348" spans="1:12" x14ac:dyDescent="0.25">
      <c r="A348">
        <v>5346</v>
      </c>
      <c r="B348">
        <v>59</v>
      </c>
      <c r="C348" s="5" t="str">
        <f>IFERROR(_xlfn.XLOOKUP(B348, Customers_raw!A:A, Customers_raw!B:B), "Unknown Customer")</f>
        <v>Betty Robinson</v>
      </c>
      <c r="D348" s="1">
        <v>45823</v>
      </c>
      <c r="E348" s="1" t="str">
        <f t="shared" si="15"/>
        <v>2025-06</v>
      </c>
      <c r="F348" t="s">
        <v>9</v>
      </c>
      <c r="G348" t="s">
        <v>6</v>
      </c>
      <c r="H348">
        <v>1</v>
      </c>
      <c r="I348" s="2">
        <v>42</v>
      </c>
      <c r="J348" s="2">
        <f t="shared" si="16"/>
        <v>42</v>
      </c>
      <c r="K348" s="2" t="str">
        <f t="shared" si="17"/>
        <v>Sale</v>
      </c>
      <c r="L348" t="s">
        <v>5</v>
      </c>
    </row>
    <row r="349" spans="1:12" x14ac:dyDescent="0.25">
      <c r="A349">
        <v>5347</v>
      </c>
      <c r="B349">
        <v>90</v>
      </c>
      <c r="C349" s="5" t="str">
        <f>IFERROR(_xlfn.XLOOKUP(B349, Customers_raw!A:A, Customers_raw!B:B), "Unknown Customer")</f>
        <v>John Harris</v>
      </c>
      <c r="D349" s="1">
        <v>45688</v>
      </c>
      <c r="E349" s="1" t="str">
        <f t="shared" si="15"/>
        <v>2025-01</v>
      </c>
      <c r="F349" t="s">
        <v>11</v>
      </c>
      <c r="G349" t="s">
        <v>6</v>
      </c>
      <c r="H349">
        <v>-2</v>
      </c>
      <c r="I349" s="2">
        <v>18</v>
      </c>
      <c r="J349" s="2">
        <f t="shared" si="16"/>
        <v>-36</v>
      </c>
      <c r="K349" s="2" t="str">
        <f t="shared" si="17"/>
        <v>Return</v>
      </c>
      <c r="L349" t="s">
        <v>5</v>
      </c>
    </row>
    <row r="350" spans="1:12" x14ac:dyDescent="0.25">
      <c r="A350">
        <v>5348</v>
      </c>
      <c r="B350">
        <v>81</v>
      </c>
      <c r="C350" s="5" t="str">
        <f>IFERROR(_xlfn.XLOOKUP(B350, Customers_raw!A:A, Customers_raw!B:B), "Unknown Customer")</f>
        <v>Sarah Moore</v>
      </c>
      <c r="D350" s="1">
        <v>45673</v>
      </c>
      <c r="E350" s="1" t="str">
        <f t="shared" si="15"/>
        <v>2025-01</v>
      </c>
      <c r="F350" t="s">
        <v>9</v>
      </c>
      <c r="G350" t="s">
        <v>6</v>
      </c>
      <c r="H350">
        <v>1</v>
      </c>
      <c r="I350" s="2">
        <v>45</v>
      </c>
      <c r="J350" s="2">
        <f t="shared" si="16"/>
        <v>45</v>
      </c>
      <c r="K350" s="2" t="str">
        <f t="shared" si="17"/>
        <v>Sale</v>
      </c>
      <c r="L350" t="s">
        <v>27</v>
      </c>
    </row>
    <row r="351" spans="1:12" x14ac:dyDescent="0.25">
      <c r="A351">
        <v>5349</v>
      </c>
      <c r="B351">
        <v>30</v>
      </c>
      <c r="C351" s="5" t="str">
        <f>IFERROR(_xlfn.XLOOKUP(B351, Customers_raw!A:A, Customers_raw!B:B), "Unknown Customer")</f>
        <v>Sandra Taylor</v>
      </c>
      <c r="D351" s="1">
        <v>45762</v>
      </c>
      <c r="E351" s="1" t="str">
        <f t="shared" si="15"/>
        <v>2025-04</v>
      </c>
      <c r="F351" t="s">
        <v>11</v>
      </c>
      <c r="G351" t="s">
        <v>6</v>
      </c>
      <c r="H351">
        <v>2</v>
      </c>
      <c r="I351" s="2">
        <v>18</v>
      </c>
      <c r="J351" s="2">
        <f t="shared" si="16"/>
        <v>36</v>
      </c>
      <c r="K351" s="2" t="str">
        <f t="shared" si="17"/>
        <v>Sale</v>
      </c>
      <c r="L351" t="s">
        <v>27</v>
      </c>
    </row>
    <row r="352" spans="1:12" x14ac:dyDescent="0.25">
      <c r="A352">
        <v>5350</v>
      </c>
      <c r="B352">
        <v>73</v>
      </c>
      <c r="C352" s="5" t="str">
        <f>IFERROR(_xlfn.XLOOKUP(B352, Customers_raw!A:A, Customers_raw!B:B), "Unknown Customer")</f>
        <v>Michael Thompson</v>
      </c>
      <c r="D352" s="1">
        <v>45697</v>
      </c>
      <c r="E352" s="1" t="str">
        <f t="shared" si="15"/>
        <v>2025-02</v>
      </c>
      <c r="F352" t="s">
        <v>20</v>
      </c>
      <c r="G352" t="s">
        <v>10</v>
      </c>
      <c r="H352">
        <v>1</v>
      </c>
      <c r="I352" s="2">
        <v>65.099999999999994</v>
      </c>
      <c r="J352" s="2">
        <f t="shared" si="16"/>
        <v>65.099999999999994</v>
      </c>
      <c r="K352" s="2" t="str">
        <f t="shared" si="17"/>
        <v>Sale</v>
      </c>
      <c r="L352" t="s">
        <v>5</v>
      </c>
    </row>
    <row r="353" spans="1:12" x14ac:dyDescent="0.25">
      <c r="A353">
        <v>5351</v>
      </c>
      <c r="B353">
        <v>1</v>
      </c>
      <c r="C353" s="5" t="str">
        <f>IFERROR(_xlfn.XLOOKUP(B353, Customers_raw!A:A, Customers_raw!B:B), "Unknown Customer")</f>
        <v>Christopher Jones</v>
      </c>
      <c r="D353" s="1">
        <v>45785</v>
      </c>
      <c r="E353" s="1" t="str">
        <f t="shared" si="15"/>
        <v>2025-05</v>
      </c>
      <c r="F353" t="s">
        <v>13</v>
      </c>
      <c r="G353" t="s">
        <v>7</v>
      </c>
      <c r="H353">
        <v>1</v>
      </c>
      <c r="I353" s="2">
        <v>35</v>
      </c>
      <c r="J353" s="2">
        <f t="shared" si="16"/>
        <v>35</v>
      </c>
      <c r="K353" s="2" t="str">
        <f t="shared" si="17"/>
        <v>Sale</v>
      </c>
      <c r="L353" t="s">
        <v>27</v>
      </c>
    </row>
    <row r="354" spans="1:12" x14ac:dyDescent="0.25">
      <c r="A354">
        <v>5352</v>
      </c>
      <c r="B354">
        <v>75</v>
      </c>
      <c r="C354" s="5" t="str">
        <f>IFERROR(_xlfn.XLOOKUP(B354, Customers_raw!A:A, Customers_raw!B:B), "Unknown Customer")</f>
        <v>David Wilson</v>
      </c>
      <c r="D354" s="1">
        <v>45765</v>
      </c>
      <c r="E354" s="1" t="str">
        <f t="shared" si="15"/>
        <v>2025-04</v>
      </c>
      <c r="F354" t="s">
        <v>16</v>
      </c>
      <c r="G354" t="s">
        <v>10</v>
      </c>
      <c r="H354">
        <v>1</v>
      </c>
      <c r="I354" s="2">
        <v>28</v>
      </c>
      <c r="J354" s="2">
        <f t="shared" si="16"/>
        <v>28</v>
      </c>
      <c r="K354" s="2" t="str">
        <f t="shared" si="17"/>
        <v>Sale</v>
      </c>
      <c r="L354" t="s">
        <v>27</v>
      </c>
    </row>
    <row r="355" spans="1:12" x14ac:dyDescent="0.25">
      <c r="A355">
        <v>5353</v>
      </c>
      <c r="B355">
        <v>39</v>
      </c>
      <c r="C355" s="5" t="str">
        <f>IFERROR(_xlfn.XLOOKUP(B355, Customers_raw!A:A, Customers_raw!B:B), "Unknown Customer")</f>
        <v>Donald Lee</v>
      </c>
      <c r="D355" s="1">
        <v>45670</v>
      </c>
      <c r="E355" s="1" t="str">
        <f t="shared" si="15"/>
        <v>2025-01</v>
      </c>
      <c r="F355" t="s">
        <v>22</v>
      </c>
      <c r="G355" t="s">
        <v>17</v>
      </c>
      <c r="H355">
        <v>1</v>
      </c>
      <c r="I355" s="2">
        <v>21</v>
      </c>
      <c r="J355" s="2">
        <f t="shared" si="16"/>
        <v>21</v>
      </c>
      <c r="K355" s="2" t="str">
        <f t="shared" si="17"/>
        <v>Sale</v>
      </c>
      <c r="L355" t="s">
        <v>27</v>
      </c>
    </row>
    <row r="356" spans="1:12" x14ac:dyDescent="0.25">
      <c r="A356">
        <v>5354</v>
      </c>
      <c r="B356">
        <v>65</v>
      </c>
      <c r="C356" s="5" t="str">
        <f>IFERROR(_xlfn.XLOOKUP(B356, Customers_raw!A:A, Customers_raw!B:B), "Unknown Customer")</f>
        <v>Betty Jones</v>
      </c>
      <c r="D356" s="1">
        <v>45838</v>
      </c>
      <c r="E356" s="1" t="str">
        <f t="shared" si="15"/>
        <v>2025-06</v>
      </c>
      <c r="F356" t="s">
        <v>19</v>
      </c>
      <c r="G356" t="s">
        <v>17</v>
      </c>
      <c r="H356">
        <v>1</v>
      </c>
      <c r="I356" s="2">
        <v>19</v>
      </c>
      <c r="J356" s="2">
        <f t="shared" si="16"/>
        <v>19</v>
      </c>
      <c r="K356" s="2" t="str">
        <f t="shared" si="17"/>
        <v>Sale</v>
      </c>
      <c r="L356" t="s">
        <v>8</v>
      </c>
    </row>
    <row r="357" spans="1:12" x14ac:dyDescent="0.25">
      <c r="A357">
        <v>5355</v>
      </c>
      <c r="B357">
        <v>54</v>
      </c>
      <c r="C357" s="5" t="str">
        <f>IFERROR(_xlfn.XLOOKUP(B357, Customers_raw!A:A, Customers_raw!B:B), "Unknown Customer")</f>
        <v>Donald Moore</v>
      </c>
      <c r="D357" s="1">
        <v>45986</v>
      </c>
      <c r="E357" s="1" t="str">
        <f t="shared" si="15"/>
        <v>2025-11</v>
      </c>
      <c r="F357" t="s">
        <v>11</v>
      </c>
      <c r="G357" t="s">
        <v>6</v>
      </c>
      <c r="H357">
        <v>1</v>
      </c>
      <c r="I357" s="2">
        <v>15</v>
      </c>
      <c r="J357" s="2">
        <f t="shared" si="16"/>
        <v>15</v>
      </c>
      <c r="K357" s="2" t="str">
        <f t="shared" si="17"/>
        <v>Sale</v>
      </c>
      <c r="L357" t="s">
        <v>27</v>
      </c>
    </row>
    <row r="358" spans="1:12" x14ac:dyDescent="0.25">
      <c r="A358">
        <v>5356</v>
      </c>
      <c r="B358">
        <v>102</v>
      </c>
      <c r="C358" s="5" t="str">
        <f>IFERROR(_xlfn.XLOOKUP(B358, Customers_raw!A:A, Customers_raw!B:B), "Unknown Customer")</f>
        <v>Ashley Wilson</v>
      </c>
      <c r="D358" s="1">
        <v>46011</v>
      </c>
      <c r="E358" s="1" t="str">
        <f t="shared" si="15"/>
        <v>2025-12</v>
      </c>
      <c r="F358" t="s">
        <v>22</v>
      </c>
      <c r="G358" t="s">
        <v>17</v>
      </c>
      <c r="H358">
        <v>1</v>
      </c>
      <c r="I358" s="2">
        <v>24</v>
      </c>
      <c r="J358" s="2">
        <f t="shared" si="16"/>
        <v>24</v>
      </c>
      <c r="K358" s="2" t="str">
        <f t="shared" si="17"/>
        <v>Sale</v>
      </c>
      <c r="L358" t="s">
        <v>27</v>
      </c>
    </row>
    <row r="359" spans="1:12" x14ac:dyDescent="0.25">
      <c r="A359">
        <v>5357</v>
      </c>
      <c r="B359">
        <v>56</v>
      </c>
      <c r="C359" s="5" t="str">
        <f>IFERROR(_xlfn.XLOOKUP(B359, Customers_raw!A:A, Customers_raw!B:B), "Unknown Customer")</f>
        <v>Mark Hernandez</v>
      </c>
      <c r="D359" s="1">
        <v>45711</v>
      </c>
      <c r="E359" s="1" t="str">
        <f t="shared" si="15"/>
        <v>2025-02</v>
      </c>
      <c r="F359" t="s">
        <v>19</v>
      </c>
      <c r="G359" t="s">
        <v>17</v>
      </c>
      <c r="H359">
        <v>1</v>
      </c>
      <c r="I359" s="2">
        <v>19</v>
      </c>
      <c r="J359" s="2">
        <f t="shared" si="16"/>
        <v>19</v>
      </c>
      <c r="K359" s="2" t="str">
        <f t="shared" si="17"/>
        <v>Sale</v>
      </c>
      <c r="L359" t="s">
        <v>8</v>
      </c>
    </row>
    <row r="360" spans="1:12" x14ac:dyDescent="0.25">
      <c r="A360">
        <v>5358</v>
      </c>
      <c r="B360">
        <v>63</v>
      </c>
      <c r="C360" s="5" t="str">
        <f>IFERROR(_xlfn.XLOOKUP(B360, Customers_raw!A:A, Customers_raw!B:B), "Unknown Customer")</f>
        <v>Joseph Robinson</v>
      </c>
      <c r="D360" s="1">
        <v>45927</v>
      </c>
      <c r="E360" s="1" t="str">
        <f t="shared" si="15"/>
        <v>2025-09</v>
      </c>
      <c r="F360" t="s">
        <v>20</v>
      </c>
      <c r="G360" t="s">
        <v>10</v>
      </c>
      <c r="H360">
        <v>1</v>
      </c>
      <c r="I360" s="2">
        <v>65</v>
      </c>
      <c r="J360" s="2">
        <f t="shared" si="16"/>
        <v>65</v>
      </c>
      <c r="K360" s="2" t="str">
        <f t="shared" si="17"/>
        <v>Sale</v>
      </c>
      <c r="L360" t="s">
        <v>5</v>
      </c>
    </row>
    <row r="361" spans="1:12" x14ac:dyDescent="0.25">
      <c r="A361">
        <v>5359</v>
      </c>
      <c r="B361">
        <v>95</v>
      </c>
      <c r="C361" s="5" t="str">
        <f>IFERROR(_xlfn.XLOOKUP(B361, Customers_raw!A:A, Customers_raw!B:B), "Unknown Customer")</f>
        <v>Michelle Martin</v>
      </c>
      <c r="D361" s="1">
        <v>45914</v>
      </c>
      <c r="E361" s="1" t="str">
        <f t="shared" si="15"/>
        <v>2025-09</v>
      </c>
      <c r="F361" t="s">
        <v>15</v>
      </c>
      <c r="G361" t="s">
        <v>7</v>
      </c>
      <c r="H361">
        <v>2</v>
      </c>
      <c r="I361" s="2">
        <v>70</v>
      </c>
      <c r="J361" s="2">
        <f t="shared" si="16"/>
        <v>140</v>
      </c>
      <c r="K361" s="2" t="str">
        <f t="shared" si="17"/>
        <v>Sale</v>
      </c>
      <c r="L361" t="s">
        <v>5</v>
      </c>
    </row>
    <row r="362" spans="1:12" x14ac:dyDescent="0.25">
      <c r="A362">
        <v>5360</v>
      </c>
      <c r="B362">
        <v>28</v>
      </c>
      <c r="C362" s="5" t="str">
        <f>IFERROR(_xlfn.XLOOKUP(B362, Customers_raw!A:A, Customers_raw!B:B), "Unknown Customer")</f>
        <v>Michael Lopez</v>
      </c>
      <c r="D362" s="1">
        <v>45840</v>
      </c>
      <c r="E362" s="1" t="str">
        <f t="shared" si="15"/>
        <v>2025-07</v>
      </c>
      <c r="F362" t="s">
        <v>9</v>
      </c>
      <c r="G362" t="s">
        <v>6</v>
      </c>
      <c r="H362">
        <v>3</v>
      </c>
      <c r="I362" s="2">
        <v>45</v>
      </c>
      <c r="J362" s="2">
        <f t="shared" si="16"/>
        <v>135</v>
      </c>
      <c r="K362" s="2" t="str">
        <f t="shared" si="17"/>
        <v>Sale</v>
      </c>
      <c r="L362" t="s">
        <v>5</v>
      </c>
    </row>
    <row r="363" spans="1:12" x14ac:dyDescent="0.25">
      <c r="A363">
        <v>5361</v>
      </c>
      <c r="B363">
        <v>9</v>
      </c>
      <c r="C363" s="5" t="str">
        <f>IFERROR(_xlfn.XLOOKUP(B363, Customers_raw!A:A, Customers_raw!B:B), "Unknown Customer")</f>
        <v>Andrew Anderson</v>
      </c>
      <c r="D363" s="1">
        <v>45758</v>
      </c>
      <c r="E363" s="1" t="str">
        <f t="shared" si="15"/>
        <v>2025-04</v>
      </c>
      <c r="F363" t="s">
        <v>16</v>
      </c>
      <c r="G363" t="s">
        <v>10</v>
      </c>
      <c r="H363">
        <v>2</v>
      </c>
      <c r="I363" s="2">
        <v>31</v>
      </c>
      <c r="J363" s="2">
        <f t="shared" si="16"/>
        <v>62</v>
      </c>
      <c r="K363" s="2" t="str">
        <f t="shared" si="17"/>
        <v>Sale</v>
      </c>
      <c r="L363" t="s">
        <v>8</v>
      </c>
    </row>
    <row r="364" spans="1:12" x14ac:dyDescent="0.25">
      <c r="A364">
        <v>5362</v>
      </c>
      <c r="B364">
        <v>42</v>
      </c>
      <c r="C364" s="5" t="str">
        <f>IFERROR(_xlfn.XLOOKUP(B364, Customers_raw!A:A, Customers_raw!B:B), "Unknown Customer")</f>
        <v>Jennifer Harris</v>
      </c>
      <c r="D364" s="1">
        <v>45679</v>
      </c>
      <c r="E364" s="1" t="str">
        <f t="shared" si="15"/>
        <v>2025-01</v>
      </c>
      <c r="F364" t="s">
        <v>19</v>
      </c>
      <c r="G364" t="s">
        <v>17</v>
      </c>
      <c r="H364">
        <v>-2</v>
      </c>
      <c r="I364" s="2">
        <v>19</v>
      </c>
      <c r="J364" s="2">
        <f t="shared" si="16"/>
        <v>-38</v>
      </c>
      <c r="K364" s="2" t="str">
        <f t="shared" si="17"/>
        <v>Return</v>
      </c>
      <c r="L364" t="s">
        <v>5</v>
      </c>
    </row>
    <row r="365" spans="1:12" x14ac:dyDescent="0.25">
      <c r="A365">
        <v>5363</v>
      </c>
      <c r="B365">
        <v>53</v>
      </c>
      <c r="C365" s="5" t="str">
        <f>IFERROR(_xlfn.XLOOKUP(B365, Customers_raw!A:A, Customers_raw!B:B), "Unknown Customer")</f>
        <v>John Thomas</v>
      </c>
      <c r="D365" s="1">
        <v>45795</v>
      </c>
      <c r="E365" s="1" t="str">
        <f t="shared" si="15"/>
        <v>2025-05</v>
      </c>
      <c r="F365" t="s">
        <v>19</v>
      </c>
      <c r="G365" t="s">
        <v>17</v>
      </c>
      <c r="H365">
        <v>2</v>
      </c>
      <c r="I365" s="2">
        <v>19.095238095238095</v>
      </c>
      <c r="J365" s="2">
        <f t="shared" si="16"/>
        <v>38.19047619047619</v>
      </c>
      <c r="K365" s="2" t="str">
        <f t="shared" si="17"/>
        <v>Sale</v>
      </c>
      <c r="L365" t="s">
        <v>23</v>
      </c>
    </row>
    <row r="366" spans="1:12" x14ac:dyDescent="0.25">
      <c r="A366">
        <v>5364</v>
      </c>
      <c r="B366">
        <v>20</v>
      </c>
      <c r="C366" s="5" t="str">
        <f>IFERROR(_xlfn.XLOOKUP(B366, Customers_raw!A:A, Customers_raw!B:B), "Unknown Customer")</f>
        <v>David Ramirez</v>
      </c>
      <c r="D366" s="1">
        <v>45855</v>
      </c>
      <c r="E366" s="1" t="str">
        <f t="shared" si="15"/>
        <v>2025-07</v>
      </c>
      <c r="F366" t="s">
        <v>14</v>
      </c>
      <c r="G366" t="s">
        <v>7</v>
      </c>
      <c r="H366">
        <v>1</v>
      </c>
      <c r="I366" s="2">
        <v>52</v>
      </c>
      <c r="J366" s="2">
        <f t="shared" si="16"/>
        <v>52</v>
      </c>
      <c r="K366" s="2" t="str">
        <f t="shared" si="17"/>
        <v>Sale</v>
      </c>
      <c r="L366" t="s">
        <v>5</v>
      </c>
    </row>
    <row r="367" spans="1:12" x14ac:dyDescent="0.25">
      <c r="A367">
        <v>5365</v>
      </c>
      <c r="B367">
        <v>79</v>
      </c>
      <c r="C367" s="5" t="str">
        <f>IFERROR(_xlfn.XLOOKUP(B367, Customers_raw!A:A, Customers_raw!B:B), "Unknown Customer")</f>
        <v>Nancy Jackson</v>
      </c>
      <c r="D367" s="1">
        <v>45851</v>
      </c>
      <c r="E367" s="1" t="str">
        <f t="shared" si="15"/>
        <v>2025-07</v>
      </c>
      <c r="F367" t="s">
        <v>19</v>
      </c>
      <c r="G367" t="s">
        <v>17</v>
      </c>
      <c r="H367">
        <v>1</v>
      </c>
      <c r="I367" s="2">
        <v>16</v>
      </c>
      <c r="J367" s="2">
        <f t="shared" si="16"/>
        <v>16</v>
      </c>
      <c r="K367" s="2" t="str">
        <f t="shared" si="17"/>
        <v>Sale</v>
      </c>
      <c r="L367" t="s">
        <v>23</v>
      </c>
    </row>
    <row r="368" spans="1:12" x14ac:dyDescent="0.25">
      <c r="A368">
        <v>5366</v>
      </c>
      <c r="B368">
        <v>7</v>
      </c>
      <c r="C368" s="5" t="str">
        <f>IFERROR(_xlfn.XLOOKUP(B368, Customers_raw!A:A, Customers_raw!B:B), "Unknown Customer")</f>
        <v>Emily Ramirez</v>
      </c>
      <c r="D368" s="1">
        <v>46013</v>
      </c>
      <c r="E368" s="1" t="str">
        <f t="shared" si="15"/>
        <v>2025-12</v>
      </c>
      <c r="F368" t="s">
        <v>14</v>
      </c>
      <c r="G368" t="s">
        <v>7</v>
      </c>
      <c r="H368">
        <v>3</v>
      </c>
      <c r="I368" s="2">
        <v>55</v>
      </c>
      <c r="J368" s="2">
        <f t="shared" si="16"/>
        <v>165</v>
      </c>
      <c r="K368" s="2" t="str">
        <f t="shared" si="17"/>
        <v>Sale</v>
      </c>
      <c r="L368" t="s">
        <v>8</v>
      </c>
    </row>
    <row r="369" spans="1:12" x14ac:dyDescent="0.25">
      <c r="A369">
        <v>5367</v>
      </c>
      <c r="B369">
        <v>74</v>
      </c>
      <c r="C369" s="5" t="str">
        <f>IFERROR(_xlfn.XLOOKUP(B369, Customers_raw!A:A, Customers_raw!B:B), "Unknown Customer")</f>
        <v>Betty Moore</v>
      </c>
      <c r="D369" s="1">
        <v>45900</v>
      </c>
      <c r="E369" s="1" t="str">
        <f t="shared" si="15"/>
        <v>2025-08</v>
      </c>
      <c r="F369" t="s">
        <v>16</v>
      </c>
      <c r="G369" t="s">
        <v>10</v>
      </c>
      <c r="H369">
        <v>2</v>
      </c>
      <c r="I369" s="2">
        <v>28</v>
      </c>
      <c r="J369" s="2">
        <f t="shared" si="16"/>
        <v>56</v>
      </c>
      <c r="K369" s="2" t="str">
        <f t="shared" si="17"/>
        <v>Sale</v>
      </c>
      <c r="L369" t="s">
        <v>27</v>
      </c>
    </row>
    <row r="370" spans="1:12" x14ac:dyDescent="0.25">
      <c r="A370">
        <v>5368</v>
      </c>
      <c r="B370">
        <v>106</v>
      </c>
      <c r="C370" s="5" t="str">
        <f>IFERROR(_xlfn.XLOOKUP(B370, Customers_raw!A:A, Customers_raw!B:B), "Unknown Customer")</f>
        <v>Thomas Lopez</v>
      </c>
      <c r="D370" s="1">
        <v>45851</v>
      </c>
      <c r="E370" s="1" t="str">
        <f t="shared" si="15"/>
        <v>2025-07</v>
      </c>
      <c r="F370" t="s">
        <v>22</v>
      </c>
      <c r="G370" t="s">
        <v>17</v>
      </c>
      <c r="H370">
        <v>3</v>
      </c>
      <c r="I370" s="2">
        <v>21</v>
      </c>
      <c r="J370" s="2">
        <f t="shared" si="16"/>
        <v>63</v>
      </c>
      <c r="K370" s="2" t="str">
        <f t="shared" si="17"/>
        <v>Sale</v>
      </c>
      <c r="L370" t="s">
        <v>27</v>
      </c>
    </row>
    <row r="371" spans="1:12" x14ac:dyDescent="0.25">
      <c r="A371">
        <v>5369</v>
      </c>
      <c r="B371">
        <v>85</v>
      </c>
      <c r="C371" s="5" t="str">
        <f>IFERROR(_xlfn.XLOOKUP(B371, Customers_raw!A:A, Customers_raw!B:B), "Unknown Customer")</f>
        <v>Elizabeth Martinez</v>
      </c>
      <c r="D371" s="1">
        <v>45822</v>
      </c>
      <c r="E371" s="1" t="str">
        <f t="shared" si="15"/>
        <v>2025-06</v>
      </c>
      <c r="F371" t="s">
        <v>22</v>
      </c>
      <c r="G371" t="s">
        <v>17</v>
      </c>
      <c r="H371">
        <v>3</v>
      </c>
      <c r="I371" s="2">
        <v>23.742857142857144</v>
      </c>
      <c r="J371" s="2">
        <f t="shared" si="16"/>
        <v>71.228571428571428</v>
      </c>
      <c r="K371" s="2" t="str">
        <f t="shared" si="17"/>
        <v>Sale</v>
      </c>
      <c r="L371" t="s">
        <v>27</v>
      </c>
    </row>
    <row r="372" spans="1:12" x14ac:dyDescent="0.25">
      <c r="A372">
        <v>5370</v>
      </c>
      <c r="B372">
        <v>98</v>
      </c>
      <c r="C372" s="5" t="str">
        <f>IFERROR(_xlfn.XLOOKUP(B372, Customers_raw!A:A, Customers_raw!B:B), "Unknown Customer")</f>
        <v>Karen Williams</v>
      </c>
      <c r="D372" s="1">
        <v>45792</v>
      </c>
      <c r="E372" s="1" t="str">
        <f t="shared" si="15"/>
        <v>2025-05</v>
      </c>
      <c r="F372" t="s">
        <v>18</v>
      </c>
      <c r="G372" t="s">
        <v>6</v>
      </c>
      <c r="H372">
        <v>-3</v>
      </c>
      <c r="I372" s="2">
        <v>89</v>
      </c>
      <c r="J372" s="2">
        <f t="shared" si="16"/>
        <v>-267</v>
      </c>
      <c r="K372" s="2" t="str">
        <f t="shared" si="17"/>
        <v>Return</v>
      </c>
      <c r="L372" t="s">
        <v>27</v>
      </c>
    </row>
    <row r="373" spans="1:12" x14ac:dyDescent="0.25">
      <c r="A373">
        <v>5371</v>
      </c>
      <c r="B373">
        <v>29</v>
      </c>
      <c r="C373" s="5" t="str">
        <f>IFERROR(_xlfn.XLOOKUP(B373, Customers_raw!A:A, Customers_raw!B:B), "Unknown Customer")</f>
        <v>Thomas Lopez</v>
      </c>
      <c r="D373" s="1">
        <v>45718</v>
      </c>
      <c r="E373" s="1" t="str">
        <f t="shared" si="15"/>
        <v>2025-03</v>
      </c>
      <c r="F373" t="s">
        <v>20</v>
      </c>
      <c r="G373" t="s">
        <v>10</v>
      </c>
      <c r="H373">
        <v>2</v>
      </c>
      <c r="I373" s="2">
        <v>65</v>
      </c>
      <c r="J373" s="2">
        <f t="shared" si="16"/>
        <v>130</v>
      </c>
      <c r="K373" s="2" t="str">
        <f t="shared" si="17"/>
        <v>Sale</v>
      </c>
      <c r="L373" t="s">
        <v>5</v>
      </c>
    </row>
    <row r="374" spans="1:12" x14ac:dyDescent="0.25">
      <c r="A374">
        <v>5372</v>
      </c>
      <c r="B374">
        <v>31</v>
      </c>
      <c r="C374" s="5" t="str">
        <f>IFERROR(_xlfn.XLOOKUP(B374, Customers_raw!A:A, Customers_raw!B:B), "Unknown Customer")</f>
        <v>Nancy Harris</v>
      </c>
      <c r="D374" s="1">
        <v>45746</v>
      </c>
      <c r="E374" s="1" t="str">
        <f t="shared" si="15"/>
        <v>2025-03</v>
      </c>
      <c r="F374" t="s">
        <v>22</v>
      </c>
      <c r="G374" t="s">
        <v>17</v>
      </c>
      <c r="H374">
        <v>3</v>
      </c>
      <c r="I374" s="2">
        <v>24</v>
      </c>
      <c r="J374" s="2">
        <f t="shared" si="16"/>
        <v>72</v>
      </c>
      <c r="K374" s="2" t="str">
        <f t="shared" si="17"/>
        <v>Sale</v>
      </c>
      <c r="L374" t="s">
        <v>5</v>
      </c>
    </row>
    <row r="375" spans="1:12" x14ac:dyDescent="0.25">
      <c r="A375">
        <v>5373</v>
      </c>
      <c r="B375">
        <v>49</v>
      </c>
      <c r="C375" s="5" t="str">
        <f>IFERROR(_xlfn.XLOOKUP(B375, Customers_raw!A:A, Customers_raw!B:B), "Unknown Customer")</f>
        <v>Steven Smith</v>
      </c>
      <c r="D375" s="1">
        <v>45877</v>
      </c>
      <c r="E375" s="1" t="str">
        <f t="shared" si="15"/>
        <v>2025-08</v>
      </c>
      <c r="F375" t="s">
        <v>11</v>
      </c>
      <c r="G375" t="s">
        <v>6</v>
      </c>
      <c r="H375">
        <v>2</v>
      </c>
      <c r="I375" s="2">
        <v>18</v>
      </c>
      <c r="J375" s="2">
        <f t="shared" si="16"/>
        <v>36</v>
      </c>
      <c r="K375" s="2" t="str">
        <f t="shared" si="17"/>
        <v>Sale</v>
      </c>
      <c r="L375" t="s">
        <v>8</v>
      </c>
    </row>
    <row r="376" spans="1:12" x14ac:dyDescent="0.25">
      <c r="A376">
        <v>5374</v>
      </c>
      <c r="B376">
        <v>14</v>
      </c>
      <c r="C376" s="5" t="str">
        <f>IFERROR(_xlfn.XLOOKUP(B376, Customers_raw!A:A, Customers_raw!B:B), "Unknown Customer")</f>
        <v>Christopher Hernandez</v>
      </c>
      <c r="D376" s="1">
        <v>45695</v>
      </c>
      <c r="E376" s="1" t="str">
        <f t="shared" si="15"/>
        <v>2025-02</v>
      </c>
      <c r="F376" t="s">
        <v>11</v>
      </c>
      <c r="G376" t="s">
        <v>6</v>
      </c>
      <c r="H376">
        <v>2</v>
      </c>
      <c r="I376" s="2">
        <v>15</v>
      </c>
      <c r="J376" s="2">
        <f t="shared" si="16"/>
        <v>30</v>
      </c>
      <c r="K376" s="2" t="str">
        <f t="shared" si="17"/>
        <v>Sale</v>
      </c>
      <c r="L376" t="s">
        <v>5</v>
      </c>
    </row>
    <row r="377" spans="1:12" x14ac:dyDescent="0.25">
      <c r="A377">
        <v>5375</v>
      </c>
      <c r="B377">
        <v>58</v>
      </c>
      <c r="C377" s="5" t="str">
        <f>IFERROR(_xlfn.XLOOKUP(B377, Customers_raw!A:A, Customers_raw!B:B), "Unknown Customer")</f>
        <v>Thomas Robinson</v>
      </c>
      <c r="D377" s="1">
        <v>45715</v>
      </c>
      <c r="E377" s="1" t="str">
        <f t="shared" si="15"/>
        <v>2025-02</v>
      </c>
      <c r="F377" t="s">
        <v>19</v>
      </c>
      <c r="G377" t="s">
        <v>17</v>
      </c>
      <c r="H377">
        <v>3</v>
      </c>
      <c r="I377" s="2">
        <v>19</v>
      </c>
      <c r="J377" s="2">
        <f t="shared" si="16"/>
        <v>57</v>
      </c>
      <c r="K377" s="2" t="str">
        <f t="shared" si="17"/>
        <v>Sale</v>
      </c>
      <c r="L377" t="s">
        <v>27</v>
      </c>
    </row>
    <row r="378" spans="1:12" x14ac:dyDescent="0.25">
      <c r="A378">
        <v>5376</v>
      </c>
      <c r="B378">
        <v>20</v>
      </c>
      <c r="C378" s="5" t="str">
        <f>IFERROR(_xlfn.XLOOKUP(B378, Customers_raw!A:A, Customers_raw!B:B), "Unknown Customer")</f>
        <v>David Ramirez</v>
      </c>
      <c r="D378" s="1">
        <v>46006</v>
      </c>
      <c r="E378" s="1" t="str">
        <f t="shared" si="15"/>
        <v>2025-12</v>
      </c>
      <c r="F378" t="s">
        <v>16</v>
      </c>
      <c r="G378" t="s">
        <v>10</v>
      </c>
      <c r="H378">
        <v>-1</v>
      </c>
      <c r="I378" s="2">
        <v>28.327272727272728</v>
      </c>
      <c r="J378" s="2">
        <f t="shared" si="16"/>
        <v>-28.327272727272728</v>
      </c>
      <c r="K378" s="2" t="str">
        <f t="shared" si="17"/>
        <v>Return</v>
      </c>
      <c r="L378" t="s">
        <v>27</v>
      </c>
    </row>
    <row r="379" spans="1:12" x14ac:dyDescent="0.25">
      <c r="A379">
        <v>5377</v>
      </c>
      <c r="B379">
        <v>48</v>
      </c>
      <c r="C379" s="5" t="str">
        <f>IFERROR(_xlfn.XLOOKUP(B379, Customers_raw!A:A, Customers_raw!B:B), "Unknown Customer")</f>
        <v>Sandra Thompson</v>
      </c>
      <c r="D379" s="1">
        <v>45832</v>
      </c>
      <c r="E379" s="1" t="str">
        <f t="shared" si="15"/>
        <v>2025-06</v>
      </c>
      <c r="F379" t="s">
        <v>15</v>
      </c>
      <c r="G379" t="s">
        <v>7</v>
      </c>
      <c r="H379">
        <v>1</v>
      </c>
      <c r="I379" s="2">
        <v>67</v>
      </c>
      <c r="J379" s="2">
        <f t="shared" si="16"/>
        <v>67</v>
      </c>
      <c r="K379" s="2" t="str">
        <f t="shared" si="17"/>
        <v>Sale</v>
      </c>
      <c r="L379" t="s">
        <v>8</v>
      </c>
    </row>
    <row r="380" spans="1:12" x14ac:dyDescent="0.25">
      <c r="A380">
        <v>5378</v>
      </c>
      <c r="B380">
        <v>74</v>
      </c>
      <c r="C380" s="5" t="str">
        <f>IFERROR(_xlfn.XLOOKUP(B380, Customers_raw!A:A, Customers_raw!B:B), "Unknown Customer")</f>
        <v>Betty Moore</v>
      </c>
      <c r="D380" s="1">
        <v>45687</v>
      </c>
      <c r="E380" s="1" t="str">
        <f t="shared" si="15"/>
        <v>2025-01</v>
      </c>
      <c r="F380" t="s">
        <v>18</v>
      </c>
      <c r="G380" t="s">
        <v>6</v>
      </c>
      <c r="H380">
        <v>1</v>
      </c>
      <c r="I380" s="2">
        <v>92</v>
      </c>
      <c r="J380" s="2">
        <f t="shared" si="16"/>
        <v>92</v>
      </c>
      <c r="K380" s="2" t="str">
        <f t="shared" si="17"/>
        <v>Sale</v>
      </c>
      <c r="L380" t="s">
        <v>5</v>
      </c>
    </row>
    <row r="381" spans="1:12" x14ac:dyDescent="0.25">
      <c r="A381">
        <v>5379</v>
      </c>
      <c r="B381">
        <v>31</v>
      </c>
      <c r="C381" s="5" t="str">
        <f>IFERROR(_xlfn.XLOOKUP(B381, Customers_raw!A:A, Customers_raw!B:B), "Unknown Customer")</f>
        <v>Nancy Harris</v>
      </c>
      <c r="D381" s="1">
        <v>45882</v>
      </c>
      <c r="E381" s="1" t="str">
        <f t="shared" si="15"/>
        <v>2025-08</v>
      </c>
      <c r="F381" t="s">
        <v>18</v>
      </c>
      <c r="G381" t="s">
        <v>6</v>
      </c>
      <c r="H381">
        <v>2</v>
      </c>
      <c r="I381" s="2">
        <v>89.144230769230774</v>
      </c>
      <c r="J381" s="2">
        <f t="shared" si="16"/>
        <v>178.28846153846155</v>
      </c>
      <c r="K381" s="2" t="str">
        <f t="shared" si="17"/>
        <v>Sale</v>
      </c>
      <c r="L381" t="s">
        <v>27</v>
      </c>
    </row>
    <row r="382" spans="1:12" x14ac:dyDescent="0.25">
      <c r="A382">
        <v>5380</v>
      </c>
      <c r="B382">
        <v>55</v>
      </c>
      <c r="C382" s="5" t="str">
        <f>IFERROR(_xlfn.XLOOKUP(B382, Customers_raw!A:A, Customers_raw!B:B), "Unknown Customer")</f>
        <v>Thomas Walker</v>
      </c>
      <c r="D382" s="1">
        <v>45974</v>
      </c>
      <c r="E382" s="1" t="str">
        <f t="shared" si="15"/>
        <v>2025-11</v>
      </c>
      <c r="F382" t="s">
        <v>18</v>
      </c>
      <c r="G382" t="s">
        <v>6</v>
      </c>
      <c r="H382">
        <v>1</v>
      </c>
      <c r="I382" s="2">
        <v>89</v>
      </c>
      <c r="J382" s="2">
        <f t="shared" si="16"/>
        <v>89</v>
      </c>
      <c r="K382" s="2" t="str">
        <f t="shared" si="17"/>
        <v>Sale</v>
      </c>
      <c r="L382" t="s">
        <v>8</v>
      </c>
    </row>
    <row r="383" spans="1:12" x14ac:dyDescent="0.25">
      <c r="A383">
        <v>5381</v>
      </c>
      <c r="B383">
        <v>92</v>
      </c>
      <c r="C383" s="5" t="str">
        <f>IFERROR(_xlfn.XLOOKUP(B383, Customers_raw!A:A, Customers_raw!B:B), "Unknown Customer")</f>
        <v>Joseph Harris</v>
      </c>
      <c r="D383" s="1">
        <v>45866</v>
      </c>
      <c r="E383" s="1" t="str">
        <f t="shared" si="15"/>
        <v>2025-07</v>
      </c>
      <c r="F383" t="s">
        <v>18</v>
      </c>
      <c r="G383" t="s">
        <v>6</v>
      </c>
      <c r="H383">
        <v>3</v>
      </c>
      <c r="I383" s="2">
        <v>92</v>
      </c>
      <c r="J383" s="2">
        <f t="shared" si="16"/>
        <v>276</v>
      </c>
      <c r="K383" s="2" t="str">
        <f t="shared" si="17"/>
        <v>Sale</v>
      </c>
      <c r="L383" t="s">
        <v>27</v>
      </c>
    </row>
    <row r="384" spans="1:12" x14ac:dyDescent="0.25">
      <c r="A384">
        <v>5382</v>
      </c>
      <c r="B384">
        <v>50</v>
      </c>
      <c r="C384" s="5" t="str">
        <f>IFERROR(_xlfn.XLOOKUP(B384, Customers_raw!A:A, Customers_raw!B:B), "Unknown Customer")</f>
        <v>Elizabeth Garcia</v>
      </c>
      <c r="D384" s="1">
        <v>45724</v>
      </c>
      <c r="E384" s="1" t="str">
        <f t="shared" si="15"/>
        <v>2025-03</v>
      </c>
      <c r="F384" t="s">
        <v>21</v>
      </c>
      <c r="G384" t="s">
        <v>17</v>
      </c>
      <c r="H384">
        <v>3</v>
      </c>
      <c r="I384" s="2">
        <v>63</v>
      </c>
      <c r="J384" s="2">
        <f t="shared" si="16"/>
        <v>189</v>
      </c>
      <c r="K384" s="2" t="str">
        <f t="shared" si="17"/>
        <v>Sale</v>
      </c>
      <c r="L384" t="s">
        <v>5</v>
      </c>
    </row>
    <row r="385" spans="1:12" x14ac:dyDescent="0.25">
      <c r="A385">
        <v>5383</v>
      </c>
      <c r="B385">
        <v>27</v>
      </c>
      <c r="C385" s="5" t="str">
        <f>IFERROR(_xlfn.XLOOKUP(B385, Customers_raw!A:A, Customers_raw!B:B), "Unknown Customer")</f>
        <v>Nancy Lee</v>
      </c>
      <c r="D385" s="1">
        <v>45694</v>
      </c>
      <c r="E385" s="1" t="str">
        <f t="shared" si="15"/>
        <v>2025-02</v>
      </c>
      <c r="F385" t="s">
        <v>11</v>
      </c>
      <c r="G385" t="s">
        <v>6</v>
      </c>
      <c r="H385">
        <v>2</v>
      </c>
      <c r="I385" s="2">
        <v>18</v>
      </c>
      <c r="J385" s="2">
        <f t="shared" si="16"/>
        <v>36</v>
      </c>
      <c r="K385" s="2" t="str">
        <f t="shared" si="17"/>
        <v>Sale</v>
      </c>
      <c r="L385" t="s">
        <v>8</v>
      </c>
    </row>
    <row r="386" spans="1:12" x14ac:dyDescent="0.25">
      <c r="A386">
        <v>5384</v>
      </c>
      <c r="B386">
        <v>83</v>
      </c>
      <c r="C386" s="5" t="str">
        <f>IFERROR(_xlfn.XLOOKUP(B386, Customers_raw!A:A, Customers_raw!B:B), "Unknown Customer")</f>
        <v>Mary Martinez</v>
      </c>
      <c r="D386" s="1">
        <v>45713</v>
      </c>
      <c r="E386" s="1" t="str">
        <f t="shared" si="15"/>
        <v>2025-02</v>
      </c>
      <c r="F386" t="s">
        <v>16</v>
      </c>
      <c r="G386" t="s">
        <v>10</v>
      </c>
      <c r="H386">
        <v>2</v>
      </c>
      <c r="I386" s="2">
        <v>28</v>
      </c>
      <c r="J386" s="2">
        <f t="shared" si="16"/>
        <v>56</v>
      </c>
      <c r="K386" s="2" t="str">
        <f t="shared" si="17"/>
        <v>Sale</v>
      </c>
      <c r="L386" t="s">
        <v>27</v>
      </c>
    </row>
    <row r="387" spans="1:12" x14ac:dyDescent="0.25">
      <c r="A387">
        <v>5385</v>
      </c>
      <c r="B387">
        <v>82</v>
      </c>
      <c r="C387" s="5" t="str">
        <f>IFERROR(_xlfn.XLOOKUP(B387, Customers_raw!A:A, Customers_raw!B:B), "Unknown Customer")</f>
        <v>Thomas Ramirez</v>
      </c>
      <c r="D387" s="1">
        <v>45883</v>
      </c>
      <c r="E387" s="1" t="str">
        <f t="shared" ref="E387:E450" si="18">TEXT(D:D,"YYYY-MM")</f>
        <v>2025-08</v>
      </c>
      <c r="F387" t="s">
        <v>12</v>
      </c>
      <c r="G387" t="s">
        <v>10</v>
      </c>
      <c r="H387">
        <v>2</v>
      </c>
      <c r="I387" s="2">
        <v>22.047244094488189</v>
      </c>
      <c r="J387" s="2">
        <f t="shared" ref="J387:J450" si="19">H387*I387</f>
        <v>44.094488188976378</v>
      </c>
      <c r="K387" s="2" t="str">
        <f t="shared" ref="K387:K450" si="20">IF(H387&lt;0,"Return","Sale")</f>
        <v>Sale</v>
      </c>
      <c r="L387" t="s">
        <v>5</v>
      </c>
    </row>
    <row r="388" spans="1:12" x14ac:dyDescent="0.25">
      <c r="A388">
        <v>5386</v>
      </c>
      <c r="B388">
        <v>30</v>
      </c>
      <c r="C388" s="5" t="str">
        <f>IFERROR(_xlfn.XLOOKUP(B388, Customers_raw!A:A, Customers_raw!B:B), "Unknown Customer")</f>
        <v>Sandra Taylor</v>
      </c>
      <c r="D388" s="1">
        <v>45760</v>
      </c>
      <c r="E388" s="1" t="str">
        <f t="shared" si="18"/>
        <v>2025-04</v>
      </c>
      <c r="F388" t="s">
        <v>19</v>
      </c>
      <c r="G388" t="s">
        <v>17</v>
      </c>
      <c r="H388">
        <v>2</v>
      </c>
      <c r="I388" s="2">
        <v>16</v>
      </c>
      <c r="J388" s="2">
        <f t="shared" si="19"/>
        <v>32</v>
      </c>
      <c r="K388" s="2" t="str">
        <f t="shared" si="20"/>
        <v>Sale</v>
      </c>
      <c r="L388" t="s">
        <v>27</v>
      </c>
    </row>
    <row r="389" spans="1:12" x14ac:dyDescent="0.25">
      <c r="A389">
        <v>5387</v>
      </c>
      <c r="B389">
        <v>43</v>
      </c>
      <c r="C389" s="5" t="str">
        <f>IFERROR(_xlfn.XLOOKUP(B389, Customers_raw!A:A, Customers_raw!B:B), "Unknown Customer")</f>
        <v>Sandra Clark</v>
      </c>
      <c r="D389" s="1">
        <v>45893</v>
      </c>
      <c r="E389" s="1" t="str">
        <f t="shared" si="18"/>
        <v>2025-08</v>
      </c>
      <c r="F389" t="s">
        <v>14</v>
      </c>
      <c r="G389" t="s">
        <v>7</v>
      </c>
      <c r="H389">
        <v>1</v>
      </c>
      <c r="I389" s="2">
        <v>55</v>
      </c>
      <c r="J389" s="2">
        <f t="shared" si="19"/>
        <v>55</v>
      </c>
      <c r="K389" s="2" t="str">
        <f t="shared" si="20"/>
        <v>Sale</v>
      </c>
      <c r="L389" t="s">
        <v>8</v>
      </c>
    </row>
    <row r="390" spans="1:12" x14ac:dyDescent="0.25">
      <c r="A390">
        <v>5388</v>
      </c>
      <c r="B390">
        <v>64</v>
      </c>
      <c r="C390" s="5" t="str">
        <f>IFERROR(_xlfn.XLOOKUP(B390, Customers_raw!A:A, Customers_raw!B:B), "Unknown Customer")</f>
        <v>Barbara Rodriguez</v>
      </c>
      <c r="D390" s="1">
        <v>45768</v>
      </c>
      <c r="E390" s="1" t="str">
        <f t="shared" si="18"/>
        <v>2025-04</v>
      </c>
      <c r="F390" t="s">
        <v>12</v>
      </c>
      <c r="G390" t="s">
        <v>10</v>
      </c>
      <c r="H390">
        <v>1</v>
      </c>
      <c r="I390" s="2">
        <v>22</v>
      </c>
      <c r="J390" s="2">
        <f t="shared" si="19"/>
        <v>22</v>
      </c>
      <c r="K390" s="2" t="str">
        <f t="shared" si="20"/>
        <v>Sale</v>
      </c>
      <c r="L390" t="s">
        <v>8</v>
      </c>
    </row>
    <row r="391" spans="1:12" x14ac:dyDescent="0.25">
      <c r="A391">
        <v>5389</v>
      </c>
      <c r="B391">
        <v>90</v>
      </c>
      <c r="C391" s="5" t="str">
        <f>IFERROR(_xlfn.XLOOKUP(B391, Customers_raw!A:A, Customers_raw!B:B), "Unknown Customer")</f>
        <v>John Harris</v>
      </c>
      <c r="D391" s="1">
        <v>45910</v>
      </c>
      <c r="E391" s="1" t="str">
        <f t="shared" si="18"/>
        <v>2025-09</v>
      </c>
      <c r="F391" t="s">
        <v>16</v>
      </c>
      <c r="G391" t="s">
        <v>10</v>
      </c>
      <c r="H391">
        <v>2</v>
      </c>
      <c r="I391" s="2">
        <v>28</v>
      </c>
      <c r="J391" s="2">
        <f t="shared" si="19"/>
        <v>56</v>
      </c>
      <c r="K391" s="2" t="str">
        <f t="shared" si="20"/>
        <v>Sale</v>
      </c>
      <c r="L391" t="s">
        <v>5</v>
      </c>
    </row>
    <row r="392" spans="1:12" x14ac:dyDescent="0.25">
      <c r="A392">
        <v>5390</v>
      </c>
      <c r="B392">
        <v>19</v>
      </c>
      <c r="C392" s="5" t="str">
        <f>IFERROR(_xlfn.XLOOKUP(B392, Customers_raw!A:A, Customers_raw!B:B), "Unknown Customer")</f>
        <v>Ashley Williams</v>
      </c>
      <c r="D392" s="1">
        <v>45829</v>
      </c>
      <c r="E392" s="1" t="str">
        <f t="shared" si="18"/>
        <v>2025-06</v>
      </c>
      <c r="F392" t="s">
        <v>11</v>
      </c>
      <c r="G392" t="s">
        <v>6</v>
      </c>
      <c r="H392">
        <v>2</v>
      </c>
      <c r="I392" s="2">
        <v>15</v>
      </c>
      <c r="J392" s="2">
        <f t="shared" si="19"/>
        <v>30</v>
      </c>
      <c r="K392" s="2" t="str">
        <f t="shared" si="20"/>
        <v>Sale</v>
      </c>
      <c r="L392" t="s">
        <v>27</v>
      </c>
    </row>
    <row r="393" spans="1:12" x14ac:dyDescent="0.25">
      <c r="A393">
        <v>5391</v>
      </c>
      <c r="B393">
        <v>34</v>
      </c>
      <c r="C393" s="5" t="str">
        <f>IFERROR(_xlfn.XLOOKUP(B393, Customers_raw!A:A, Customers_raw!B:B), "Unknown Customer")</f>
        <v>Joseph Jackson</v>
      </c>
      <c r="D393" s="1">
        <v>45936</v>
      </c>
      <c r="E393" s="1" t="str">
        <f t="shared" si="18"/>
        <v>2025-10</v>
      </c>
      <c r="F393" t="s">
        <v>12</v>
      </c>
      <c r="G393" t="s">
        <v>10</v>
      </c>
      <c r="H393">
        <v>1</v>
      </c>
      <c r="I393" s="2">
        <v>22</v>
      </c>
      <c r="J393" s="2">
        <f t="shared" si="19"/>
        <v>22</v>
      </c>
      <c r="K393" s="2" t="str">
        <f t="shared" si="20"/>
        <v>Sale</v>
      </c>
      <c r="L393" t="s">
        <v>27</v>
      </c>
    </row>
    <row r="394" spans="1:12" x14ac:dyDescent="0.25">
      <c r="A394">
        <v>5392</v>
      </c>
      <c r="B394">
        <v>82</v>
      </c>
      <c r="C394" s="5" t="str">
        <f>IFERROR(_xlfn.XLOOKUP(B394, Customers_raw!A:A, Customers_raw!B:B), "Unknown Customer")</f>
        <v>Thomas Ramirez</v>
      </c>
      <c r="D394" s="1">
        <v>46006</v>
      </c>
      <c r="E394" s="1" t="str">
        <f t="shared" si="18"/>
        <v>2025-12</v>
      </c>
      <c r="F394" t="s">
        <v>14</v>
      </c>
      <c r="G394" t="s">
        <v>7</v>
      </c>
      <c r="H394">
        <v>1</v>
      </c>
      <c r="I394" s="2">
        <v>55</v>
      </c>
      <c r="J394" s="2">
        <f t="shared" si="19"/>
        <v>55</v>
      </c>
      <c r="K394" s="2" t="str">
        <f t="shared" si="20"/>
        <v>Sale</v>
      </c>
      <c r="L394" t="s">
        <v>8</v>
      </c>
    </row>
    <row r="395" spans="1:12" x14ac:dyDescent="0.25">
      <c r="A395">
        <v>5393</v>
      </c>
      <c r="B395">
        <v>110</v>
      </c>
      <c r="C395" s="5" t="str">
        <f>IFERROR(_xlfn.XLOOKUP(B395, Customers_raw!A:A, Customers_raw!B:B), "Unknown Customer")</f>
        <v>Betty Walker</v>
      </c>
      <c r="D395" s="1">
        <v>45996</v>
      </c>
      <c r="E395" s="1" t="str">
        <f t="shared" si="18"/>
        <v>2025-12</v>
      </c>
      <c r="F395" t="s">
        <v>15</v>
      </c>
      <c r="G395" t="s">
        <v>7</v>
      </c>
      <c r="H395">
        <v>1</v>
      </c>
      <c r="I395" s="2">
        <v>70</v>
      </c>
      <c r="J395" s="2">
        <f t="shared" si="19"/>
        <v>70</v>
      </c>
      <c r="K395" s="2" t="str">
        <f t="shared" si="20"/>
        <v>Sale</v>
      </c>
      <c r="L395" t="s">
        <v>27</v>
      </c>
    </row>
    <row r="396" spans="1:12" x14ac:dyDescent="0.25">
      <c r="A396">
        <v>5394</v>
      </c>
      <c r="B396">
        <v>84</v>
      </c>
      <c r="C396" s="5" t="str">
        <f>IFERROR(_xlfn.XLOOKUP(B396, Customers_raw!A:A, Customers_raw!B:B), "Unknown Customer")</f>
        <v>Kimberly Lewis</v>
      </c>
      <c r="D396" s="1">
        <v>45895</v>
      </c>
      <c r="E396" s="1" t="str">
        <f t="shared" si="18"/>
        <v>2025-08</v>
      </c>
      <c r="F396" t="s">
        <v>11</v>
      </c>
      <c r="G396" t="s">
        <v>6</v>
      </c>
      <c r="H396">
        <v>3</v>
      </c>
      <c r="I396" s="2">
        <v>21</v>
      </c>
      <c r="J396" s="2">
        <f t="shared" si="19"/>
        <v>63</v>
      </c>
      <c r="K396" s="2" t="str">
        <f t="shared" si="20"/>
        <v>Sale</v>
      </c>
      <c r="L396" t="s">
        <v>5</v>
      </c>
    </row>
    <row r="397" spans="1:12" x14ac:dyDescent="0.25">
      <c r="A397">
        <v>5395</v>
      </c>
      <c r="B397">
        <v>26</v>
      </c>
      <c r="C397" s="5" t="str">
        <f>IFERROR(_xlfn.XLOOKUP(B397, Customers_raw!A:A, Customers_raw!B:B), "Unknown Customer")</f>
        <v>Betty Johnson</v>
      </c>
      <c r="D397" s="1">
        <v>46019</v>
      </c>
      <c r="E397" s="1" t="str">
        <f t="shared" si="18"/>
        <v>2025-12</v>
      </c>
      <c r="F397" t="s">
        <v>13</v>
      </c>
      <c r="G397" t="s">
        <v>7</v>
      </c>
      <c r="H397">
        <v>3</v>
      </c>
      <c r="I397" s="2">
        <v>32</v>
      </c>
      <c r="J397" s="2">
        <f t="shared" si="19"/>
        <v>96</v>
      </c>
      <c r="K397" s="2" t="str">
        <f t="shared" si="20"/>
        <v>Sale</v>
      </c>
      <c r="L397" t="s">
        <v>8</v>
      </c>
    </row>
    <row r="398" spans="1:12" x14ac:dyDescent="0.25">
      <c r="A398">
        <v>5396</v>
      </c>
      <c r="B398">
        <v>73</v>
      </c>
      <c r="C398" s="5" t="str">
        <f>IFERROR(_xlfn.XLOOKUP(B398, Customers_raw!A:A, Customers_raw!B:B), "Unknown Customer")</f>
        <v>Michael Thompson</v>
      </c>
      <c r="D398" s="1">
        <v>45676</v>
      </c>
      <c r="E398" s="1" t="str">
        <f t="shared" si="18"/>
        <v>2025-01</v>
      </c>
      <c r="F398" t="s">
        <v>11</v>
      </c>
      <c r="G398" t="s">
        <v>6</v>
      </c>
      <c r="H398">
        <v>1</v>
      </c>
      <c r="I398" s="2">
        <v>18</v>
      </c>
      <c r="J398" s="2">
        <f t="shared" si="19"/>
        <v>18</v>
      </c>
      <c r="K398" s="2" t="str">
        <f t="shared" si="20"/>
        <v>Sale</v>
      </c>
      <c r="L398" t="s">
        <v>5</v>
      </c>
    </row>
    <row r="399" spans="1:12" x14ac:dyDescent="0.25">
      <c r="A399">
        <v>5397</v>
      </c>
      <c r="B399">
        <v>27</v>
      </c>
      <c r="C399" s="5" t="str">
        <f>IFERROR(_xlfn.XLOOKUP(B399, Customers_raw!A:A, Customers_raw!B:B), "Unknown Customer")</f>
        <v>Nancy Lee</v>
      </c>
      <c r="D399" s="1">
        <v>45911</v>
      </c>
      <c r="E399" s="1" t="str">
        <f t="shared" si="18"/>
        <v>2025-09</v>
      </c>
      <c r="F399" t="s">
        <v>21</v>
      </c>
      <c r="G399" t="s">
        <v>17</v>
      </c>
      <c r="H399">
        <v>2</v>
      </c>
      <c r="I399" s="2">
        <v>60</v>
      </c>
      <c r="J399" s="2">
        <f t="shared" si="19"/>
        <v>120</v>
      </c>
      <c r="K399" s="2" t="str">
        <f t="shared" si="20"/>
        <v>Sale</v>
      </c>
      <c r="L399" t="s">
        <v>8</v>
      </c>
    </row>
    <row r="400" spans="1:12" x14ac:dyDescent="0.25">
      <c r="A400">
        <v>5398</v>
      </c>
      <c r="B400">
        <v>24</v>
      </c>
      <c r="C400" s="5" t="str">
        <f>IFERROR(_xlfn.XLOOKUP(B400, Customers_raw!A:A, Customers_raw!B:B), "Unknown Customer")</f>
        <v>Joshua Hernandez</v>
      </c>
      <c r="D400" s="1">
        <v>45985</v>
      </c>
      <c r="E400" s="1" t="str">
        <f t="shared" si="18"/>
        <v>2025-11</v>
      </c>
      <c r="F400" t="s">
        <v>14</v>
      </c>
      <c r="G400" t="s">
        <v>7</v>
      </c>
      <c r="H400">
        <v>1</v>
      </c>
      <c r="I400" s="2">
        <v>55</v>
      </c>
      <c r="J400" s="2">
        <f t="shared" si="19"/>
        <v>55</v>
      </c>
      <c r="K400" s="2" t="str">
        <f t="shared" si="20"/>
        <v>Sale</v>
      </c>
      <c r="L400" t="s">
        <v>27</v>
      </c>
    </row>
    <row r="401" spans="1:12" x14ac:dyDescent="0.25">
      <c r="A401">
        <v>5399</v>
      </c>
      <c r="B401">
        <v>2</v>
      </c>
      <c r="C401" s="5" t="str">
        <f>IFERROR(_xlfn.XLOOKUP(B401, Customers_raw!A:A, Customers_raw!B:B), "Unknown Customer")</f>
        <v>Michael Lopez</v>
      </c>
      <c r="D401" s="1">
        <v>45945</v>
      </c>
      <c r="E401" s="1" t="str">
        <f t="shared" si="18"/>
        <v>2025-10</v>
      </c>
      <c r="F401" t="s">
        <v>19</v>
      </c>
      <c r="G401" t="s">
        <v>17</v>
      </c>
      <c r="H401">
        <v>1</v>
      </c>
      <c r="I401" s="2">
        <v>19</v>
      </c>
      <c r="J401" s="2">
        <f t="shared" si="19"/>
        <v>19</v>
      </c>
      <c r="K401" s="2" t="str">
        <f t="shared" si="20"/>
        <v>Sale</v>
      </c>
      <c r="L401" t="s">
        <v>27</v>
      </c>
    </row>
    <row r="402" spans="1:12" x14ac:dyDescent="0.25">
      <c r="A402">
        <v>5400</v>
      </c>
      <c r="B402">
        <v>69</v>
      </c>
      <c r="C402" s="5" t="str">
        <f>IFERROR(_xlfn.XLOOKUP(B402, Customers_raw!A:A, Customers_raw!B:B), "Unknown Customer")</f>
        <v>Jessica Brown</v>
      </c>
      <c r="D402" s="1">
        <v>45732</v>
      </c>
      <c r="E402" s="1" t="str">
        <f t="shared" si="18"/>
        <v>2025-03</v>
      </c>
      <c r="F402" t="s">
        <v>20</v>
      </c>
      <c r="G402" t="s">
        <v>10</v>
      </c>
      <c r="H402">
        <v>1</v>
      </c>
      <c r="I402" s="2">
        <v>62</v>
      </c>
      <c r="J402" s="2">
        <f t="shared" si="19"/>
        <v>62</v>
      </c>
      <c r="K402" s="2" t="str">
        <f t="shared" si="20"/>
        <v>Sale</v>
      </c>
      <c r="L402" t="s">
        <v>23</v>
      </c>
    </row>
    <row r="403" spans="1:12" x14ac:dyDescent="0.25">
      <c r="A403">
        <v>5401</v>
      </c>
      <c r="B403">
        <v>101</v>
      </c>
      <c r="C403" s="5" t="str">
        <f>IFERROR(_xlfn.XLOOKUP(B403, Customers_raw!A:A, Customers_raw!B:B), "Unknown Customer")</f>
        <v>David Lee</v>
      </c>
      <c r="D403" s="1">
        <v>45683</v>
      </c>
      <c r="E403" s="1" t="str">
        <f t="shared" si="18"/>
        <v>2025-01</v>
      </c>
      <c r="F403" t="s">
        <v>12</v>
      </c>
      <c r="G403" t="s">
        <v>10</v>
      </c>
      <c r="H403">
        <v>1</v>
      </c>
      <c r="I403" s="2">
        <v>22</v>
      </c>
      <c r="J403" s="2">
        <f t="shared" si="19"/>
        <v>22</v>
      </c>
      <c r="K403" s="2" t="str">
        <f t="shared" si="20"/>
        <v>Sale</v>
      </c>
      <c r="L403" t="s">
        <v>5</v>
      </c>
    </row>
    <row r="404" spans="1:12" x14ac:dyDescent="0.25">
      <c r="A404">
        <v>5402</v>
      </c>
      <c r="B404">
        <v>55</v>
      </c>
      <c r="C404" s="5" t="str">
        <f>IFERROR(_xlfn.XLOOKUP(B404, Customers_raw!A:A, Customers_raw!B:B), "Unknown Customer")</f>
        <v>Thomas Walker</v>
      </c>
      <c r="D404" s="1">
        <v>45687</v>
      </c>
      <c r="E404" s="1" t="str">
        <f t="shared" si="18"/>
        <v>2025-01</v>
      </c>
      <c r="F404" t="s">
        <v>20</v>
      </c>
      <c r="G404" t="s">
        <v>10</v>
      </c>
      <c r="H404">
        <v>1</v>
      </c>
      <c r="I404" s="2">
        <v>65</v>
      </c>
      <c r="J404" s="2">
        <f t="shared" si="19"/>
        <v>65</v>
      </c>
      <c r="K404" s="2" t="str">
        <f t="shared" si="20"/>
        <v>Sale</v>
      </c>
      <c r="L404" t="s">
        <v>27</v>
      </c>
    </row>
    <row r="405" spans="1:12" x14ac:dyDescent="0.25">
      <c r="A405">
        <v>5403</v>
      </c>
      <c r="B405">
        <v>45</v>
      </c>
      <c r="C405" s="5" t="str">
        <f>IFERROR(_xlfn.XLOOKUP(B405, Customers_raw!A:A, Customers_raw!B:B), "Unknown Customer")</f>
        <v>Michael Moore</v>
      </c>
      <c r="D405" s="1">
        <v>45821</v>
      </c>
      <c r="E405" s="1" t="str">
        <f t="shared" si="18"/>
        <v>2025-06</v>
      </c>
      <c r="F405" t="s">
        <v>21</v>
      </c>
      <c r="G405" t="s">
        <v>17</v>
      </c>
      <c r="H405">
        <v>1</v>
      </c>
      <c r="I405" s="2">
        <v>60</v>
      </c>
      <c r="J405" s="2">
        <f t="shared" si="19"/>
        <v>60</v>
      </c>
      <c r="K405" s="2" t="str">
        <f t="shared" si="20"/>
        <v>Sale</v>
      </c>
      <c r="L405" t="s">
        <v>27</v>
      </c>
    </row>
    <row r="406" spans="1:12" x14ac:dyDescent="0.25">
      <c r="A406">
        <v>5404</v>
      </c>
      <c r="B406">
        <v>103</v>
      </c>
      <c r="C406" s="5" t="str">
        <f>IFERROR(_xlfn.XLOOKUP(B406, Customers_raw!A:A, Customers_raw!B:B), "Unknown Customer")</f>
        <v>Mark Wilson</v>
      </c>
      <c r="D406" s="1">
        <v>45776</v>
      </c>
      <c r="E406" s="1" t="str">
        <f t="shared" si="18"/>
        <v>2025-04</v>
      </c>
      <c r="F406" t="s">
        <v>22</v>
      </c>
      <c r="G406" t="s">
        <v>17</v>
      </c>
      <c r="H406">
        <v>1</v>
      </c>
      <c r="I406" s="2">
        <v>24</v>
      </c>
      <c r="J406" s="2">
        <f t="shared" si="19"/>
        <v>24</v>
      </c>
      <c r="K406" s="2" t="str">
        <f t="shared" si="20"/>
        <v>Sale</v>
      </c>
      <c r="L406" t="s">
        <v>5</v>
      </c>
    </row>
    <row r="407" spans="1:12" x14ac:dyDescent="0.25">
      <c r="A407">
        <v>5405</v>
      </c>
      <c r="B407">
        <v>38</v>
      </c>
      <c r="C407" s="5" t="str">
        <f>IFERROR(_xlfn.XLOOKUP(B407, Customers_raw!A:A, Customers_raw!B:B), "Unknown Customer")</f>
        <v>Jennifer Davis</v>
      </c>
      <c r="D407" s="1">
        <v>45993</v>
      </c>
      <c r="E407" s="1" t="str">
        <f t="shared" si="18"/>
        <v>2025-12</v>
      </c>
      <c r="F407" t="s">
        <v>9</v>
      </c>
      <c r="G407" t="s">
        <v>6</v>
      </c>
      <c r="H407">
        <v>1</v>
      </c>
      <c r="I407" s="2">
        <v>45</v>
      </c>
      <c r="J407" s="2">
        <f t="shared" si="19"/>
        <v>45</v>
      </c>
      <c r="K407" s="2" t="str">
        <f t="shared" si="20"/>
        <v>Sale</v>
      </c>
      <c r="L407" t="s">
        <v>8</v>
      </c>
    </row>
    <row r="408" spans="1:12" x14ac:dyDescent="0.25">
      <c r="A408">
        <v>5406</v>
      </c>
      <c r="B408">
        <v>43</v>
      </c>
      <c r="C408" s="5" t="str">
        <f>IFERROR(_xlfn.XLOOKUP(B408, Customers_raw!A:A, Customers_raw!B:B), "Unknown Customer")</f>
        <v>Sandra Clark</v>
      </c>
      <c r="D408" s="1">
        <v>45863</v>
      </c>
      <c r="E408" s="1" t="str">
        <f t="shared" si="18"/>
        <v>2025-07</v>
      </c>
      <c r="F408" t="s">
        <v>22</v>
      </c>
      <c r="G408" t="s">
        <v>17</v>
      </c>
      <c r="H408">
        <v>1</v>
      </c>
      <c r="I408" s="2">
        <v>24</v>
      </c>
      <c r="J408" s="2">
        <f t="shared" si="19"/>
        <v>24</v>
      </c>
      <c r="K408" s="2" t="str">
        <f t="shared" si="20"/>
        <v>Sale</v>
      </c>
      <c r="L408" t="s">
        <v>23</v>
      </c>
    </row>
    <row r="409" spans="1:12" x14ac:dyDescent="0.25">
      <c r="A409">
        <v>5407</v>
      </c>
      <c r="B409">
        <v>68</v>
      </c>
      <c r="C409" s="5" t="str">
        <f>IFERROR(_xlfn.XLOOKUP(B409, Customers_raw!A:A, Customers_raw!B:B), "Unknown Customer")</f>
        <v>James Hernandez</v>
      </c>
      <c r="D409" s="1">
        <v>45840</v>
      </c>
      <c r="E409" s="1" t="str">
        <f t="shared" si="18"/>
        <v>2025-07</v>
      </c>
      <c r="F409" t="s">
        <v>15</v>
      </c>
      <c r="G409" t="s">
        <v>7</v>
      </c>
      <c r="H409">
        <v>2</v>
      </c>
      <c r="I409" s="2">
        <v>70</v>
      </c>
      <c r="J409" s="2">
        <f t="shared" si="19"/>
        <v>140</v>
      </c>
      <c r="K409" s="2" t="str">
        <f t="shared" si="20"/>
        <v>Sale</v>
      </c>
      <c r="L409" t="s">
        <v>8</v>
      </c>
    </row>
    <row r="410" spans="1:12" x14ac:dyDescent="0.25">
      <c r="A410">
        <v>5408</v>
      </c>
      <c r="B410">
        <v>26</v>
      </c>
      <c r="C410" s="5" t="str">
        <f>IFERROR(_xlfn.XLOOKUP(B410, Customers_raw!A:A, Customers_raw!B:B), "Unknown Customer")</f>
        <v>Betty Johnson</v>
      </c>
      <c r="D410" s="1">
        <v>45801</v>
      </c>
      <c r="E410" s="1" t="str">
        <f t="shared" si="18"/>
        <v>2025-05</v>
      </c>
      <c r="F410" t="s">
        <v>13</v>
      </c>
      <c r="G410" t="s">
        <v>7</v>
      </c>
      <c r="H410">
        <v>2</v>
      </c>
      <c r="I410" s="2">
        <v>35</v>
      </c>
      <c r="J410" s="2">
        <f t="shared" si="19"/>
        <v>70</v>
      </c>
      <c r="K410" s="2" t="str">
        <f t="shared" si="20"/>
        <v>Sale</v>
      </c>
      <c r="L410" t="s">
        <v>27</v>
      </c>
    </row>
    <row r="411" spans="1:12" x14ac:dyDescent="0.25">
      <c r="A411">
        <v>5409</v>
      </c>
      <c r="B411">
        <v>18</v>
      </c>
      <c r="C411" s="5" t="str">
        <f>IFERROR(_xlfn.XLOOKUP(B411, Customers_raw!A:A, Customers_raw!B:B), "Unknown Customer")</f>
        <v>Susan Sanchez</v>
      </c>
      <c r="D411" s="1">
        <v>45796</v>
      </c>
      <c r="E411" s="1" t="str">
        <f t="shared" si="18"/>
        <v>2025-05</v>
      </c>
      <c r="F411" t="s">
        <v>13</v>
      </c>
      <c r="G411" t="s">
        <v>7</v>
      </c>
      <c r="H411">
        <v>2</v>
      </c>
      <c r="I411" s="2">
        <v>32</v>
      </c>
      <c r="J411" s="2">
        <f t="shared" si="19"/>
        <v>64</v>
      </c>
      <c r="K411" s="2" t="str">
        <f t="shared" si="20"/>
        <v>Sale</v>
      </c>
      <c r="L411" t="s">
        <v>8</v>
      </c>
    </row>
    <row r="412" spans="1:12" x14ac:dyDescent="0.25">
      <c r="A412">
        <v>5410</v>
      </c>
      <c r="B412">
        <v>45</v>
      </c>
      <c r="C412" s="5" t="str">
        <f>IFERROR(_xlfn.XLOOKUP(B412, Customers_raw!A:A, Customers_raw!B:B), "Unknown Customer")</f>
        <v>Michael Moore</v>
      </c>
      <c r="D412" s="1">
        <v>45735</v>
      </c>
      <c r="E412" s="1" t="str">
        <f t="shared" si="18"/>
        <v>2025-03</v>
      </c>
      <c r="F412" t="s">
        <v>9</v>
      </c>
      <c r="G412" t="s">
        <v>6</v>
      </c>
      <c r="H412">
        <v>1</v>
      </c>
      <c r="I412" s="2">
        <v>45</v>
      </c>
      <c r="J412" s="2">
        <f t="shared" si="19"/>
        <v>45</v>
      </c>
      <c r="K412" s="2" t="str">
        <f t="shared" si="20"/>
        <v>Sale</v>
      </c>
      <c r="L412" t="s">
        <v>8</v>
      </c>
    </row>
    <row r="413" spans="1:12" x14ac:dyDescent="0.25">
      <c r="A413">
        <v>5411</v>
      </c>
      <c r="B413">
        <v>62</v>
      </c>
      <c r="C413" s="5" t="str">
        <f>IFERROR(_xlfn.XLOOKUP(B413, Customers_raw!A:A, Customers_raw!B:B), "Unknown Customer")</f>
        <v>Mary Wilson</v>
      </c>
      <c r="D413" s="1">
        <v>45826</v>
      </c>
      <c r="E413" s="1" t="str">
        <f t="shared" si="18"/>
        <v>2025-06</v>
      </c>
      <c r="F413" t="s">
        <v>9</v>
      </c>
      <c r="G413" t="s">
        <v>6</v>
      </c>
      <c r="H413">
        <v>1</v>
      </c>
      <c r="I413" s="2">
        <v>42</v>
      </c>
      <c r="J413" s="2">
        <f t="shared" si="19"/>
        <v>42</v>
      </c>
      <c r="K413" s="2" t="str">
        <f t="shared" si="20"/>
        <v>Sale</v>
      </c>
      <c r="L413" t="s">
        <v>5</v>
      </c>
    </row>
    <row r="414" spans="1:12" x14ac:dyDescent="0.25">
      <c r="A414">
        <v>5412</v>
      </c>
      <c r="B414">
        <v>72</v>
      </c>
      <c r="C414" s="5" t="str">
        <f>IFERROR(_xlfn.XLOOKUP(B414, Customers_raw!A:A, Customers_raw!B:B), "Unknown Customer")</f>
        <v>Steven Jackson</v>
      </c>
      <c r="D414" s="1">
        <v>45706</v>
      </c>
      <c r="E414" s="1" t="str">
        <f t="shared" si="18"/>
        <v>2025-02</v>
      </c>
      <c r="F414" t="s">
        <v>13</v>
      </c>
      <c r="G414" t="s">
        <v>7</v>
      </c>
      <c r="H414">
        <v>1</v>
      </c>
      <c r="I414" s="2">
        <v>35</v>
      </c>
      <c r="J414" s="2">
        <f t="shared" si="19"/>
        <v>35</v>
      </c>
      <c r="K414" s="2" t="str">
        <f t="shared" si="20"/>
        <v>Sale</v>
      </c>
      <c r="L414" t="s">
        <v>8</v>
      </c>
    </row>
    <row r="415" spans="1:12" x14ac:dyDescent="0.25">
      <c r="A415">
        <v>5413</v>
      </c>
      <c r="B415">
        <v>5</v>
      </c>
      <c r="C415" s="5" t="str">
        <f>IFERROR(_xlfn.XLOOKUP(B415, Customers_raw!A:A, Customers_raw!B:B), "Unknown Customer")</f>
        <v>Joshua Martin</v>
      </c>
      <c r="D415" s="1">
        <v>45920</v>
      </c>
      <c r="E415" s="1" t="str">
        <f t="shared" si="18"/>
        <v>2025-09</v>
      </c>
      <c r="F415" t="s">
        <v>16</v>
      </c>
      <c r="G415" t="s">
        <v>10</v>
      </c>
      <c r="H415">
        <v>2</v>
      </c>
      <c r="I415" s="2">
        <v>28</v>
      </c>
      <c r="J415" s="2">
        <f t="shared" si="19"/>
        <v>56</v>
      </c>
      <c r="K415" s="2" t="str">
        <f t="shared" si="20"/>
        <v>Sale</v>
      </c>
      <c r="L415" t="s">
        <v>8</v>
      </c>
    </row>
    <row r="416" spans="1:12" x14ac:dyDescent="0.25">
      <c r="A416">
        <v>5414</v>
      </c>
      <c r="B416">
        <v>48</v>
      </c>
      <c r="C416" s="5" t="str">
        <f>IFERROR(_xlfn.XLOOKUP(B416, Customers_raw!A:A, Customers_raw!B:B), "Unknown Customer")</f>
        <v>Sandra Thompson</v>
      </c>
      <c r="D416" s="1">
        <v>45997</v>
      </c>
      <c r="E416" s="1" t="str">
        <f t="shared" si="18"/>
        <v>2025-12</v>
      </c>
      <c r="F416" t="s">
        <v>19</v>
      </c>
      <c r="G416" t="s">
        <v>17</v>
      </c>
      <c r="H416">
        <v>1</v>
      </c>
      <c r="I416" s="2">
        <v>19</v>
      </c>
      <c r="J416" s="2">
        <f t="shared" si="19"/>
        <v>19</v>
      </c>
      <c r="K416" s="2" t="str">
        <f t="shared" si="20"/>
        <v>Sale</v>
      </c>
      <c r="L416" t="s">
        <v>5</v>
      </c>
    </row>
    <row r="417" spans="1:12" x14ac:dyDescent="0.25">
      <c r="A417">
        <v>5415</v>
      </c>
      <c r="B417">
        <v>1</v>
      </c>
      <c r="C417" s="5" t="str">
        <f>IFERROR(_xlfn.XLOOKUP(B417, Customers_raw!A:A, Customers_raw!B:B), "Unknown Customer")</f>
        <v>Christopher Jones</v>
      </c>
      <c r="D417" s="1">
        <v>45725</v>
      </c>
      <c r="E417" s="1" t="str">
        <f t="shared" si="18"/>
        <v>2025-03</v>
      </c>
      <c r="F417" t="s">
        <v>22</v>
      </c>
      <c r="G417" t="s">
        <v>17</v>
      </c>
      <c r="H417">
        <v>1</v>
      </c>
      <c r="I417" s="2">
        <v>24</v>
      </c>
      <c r="J417" s="2">
        <f t="shared" si="19"/>
        <v>24</v>
      </c>
      <c r="K417" s="2" t="str">
        <f t="shared" si="20"/>
        <v>Sale</v>
      </c>
      <c r="L417" t="s">
        <v>27</v>
      </c>
    </row>
    <row r="418" spans="1:12" x14ac:dyDescent="0.25">
      <c r="A418">
        <v>5416</v>
      </c>
      <c r="B418">
        <v>15</v>
      </c>
      <c r="C418" s="5" t="str">
        <f>IFERROR(_xlfn.XLOOKUP(B418, Customers_raw!A:A, Customers_raw!B:B), "Unknown Customer")</f>
        <v>Jennifer Rodriguez</v>
      </c>
      <c r="D418" s="1">
        <v>46000</v>
      </c>
      <c r="E418" s="1" t="str">
        <f t="shared" si="18"/>
        <v>2025-12</v>
      </c>
      <c r="F418" t="s">
        <v>20</v>
      </c>
      <c r="G418" t="s">
        <v>10</v>
      </c>
      <c r="H418">
        <v>2</v>
      </c>
      <c r="I418" s="2">
        <v>68</v>
      </c>
      <c r="J418" s="2">
        <f t="shared" si="19"/>
        <v>136</v>
      </c>
      <c r="K418" s="2" t="str">
        <f t="shared" si="20"/>
        <v>Sale</v>
      </c>
      <c r="L418" t="s">
        <v>8</v>
      </c>
    </row>
    <row r="419" spans="1:12" x14ac:dyDescent="0.25">
      <c r="A419">
        <v>5417</v>
      </c>
      <c r="B419">
        <v>32</v>
      </c>
      <c r="C419" s="5" t="str">
        <f>IFERROR(_xlfn.XLOOKUP(B419, Customers_raw!A:A, Customers_raw!B:B), "Unknown Customer")</f>
        <v>Kimberly Lopez</v>
      </c>
      <c r="D419" s="1">
        <v>45949</v>
      </c>
      <c r="E419" s="1" t="str">
        <f t="shared" si="18"/>
        <v>2025-10</v>
      </c>
      <c r="F419" t="s">
        <v>20</v>
      </c>
      <c r="G419" t="s">
        <v>10</v>
      </c>
      <c r="H419">
        <v>2</v>
      </c>
      <c r="I419" s="2">
        <v>65</v>
      </c>
      <c r="J419" s="2">
        <f t="shared" si="19"/>
        <v>130</v>
      </c>
      <c r="K419" s="2" t="str">
        <f t="shared" si="20"/>
        <v>Sale</v>
      </c>
      <c r="L419" t="s">
        <v>5</v>
      </c>
    </row>
    <row r="420" spans="1:12" x14ac:dyDescent="0.25">
      <c r="A420">
        <v>5418</v>
      </c>
      <c r="B420">
        <v>52</v>
      </c>
      <c r="C420" s="5" t="str">
        <f>IFERROR(_xlfn.XLOOKUP(B420, Customers_raw!A:A, Customers_raw!B:B), "Unknown Customer")</f>
        <v>Sarah Johnson</v>
      </c>
      <c r="D420" s="1">
        <v>45762</v>
      </c>
      <c r="E420" s="1" t="str">
        <f t="shared" si="18"/>
        <v>2025-04</v>
      </c>
      <c r="F420" t="s">
        <v>15</v>
      </c>
      <c r="G420" t="s">
        <v>7</v>
      </c>
      <c r="H420">
        <v>1</v>
      </c>
      <c r="I420" s="2">
        <v>73</v>
      </c>
      <c r="J420" s="2">
        <f t="shared" si="19"/>
        <v>73</v>
      </c>
      <c r="K420" s="2" t="str">
        <f t="shared" si="20"/>
        <v>Sale</v>
      </c>
      <c r="L420" t="s">
        <v>8</v>
      </c>
    </row>
    <row r="421" spans="1:12" x14ac:dyDescent="0.25">
      <c r="A421">
        <v>5419</v>
      </c>
      <c r="B421">
        <v>2</v>
      </c>
      <c r="C421" s="5" t="str">
        <f>IFERROR(_xlfn.XLOOKUP(B421, Customers_raw!A:A, Customers_raw!B:B), "Unknown Customer")</f>
        <v>Michael Lopez</v>
      </c>
      <c r="D421" s="1">
        <v>45685</v>
      </c>
      <c r="E421" s="1" t="str">
        <f t="shared" si="18"/>
        <v>2025-01</v>
      </c>
      <c r="F421" t="s">
        <v>12</v>
      </c>
      <c r="G421" t="s">
        <v>10</v>
      </c>
      <c r="H421">
        <v>3</v>
      </c>
      <c r="I421" s="2">
        <v>22.047244094488189</v>
      </c>
      <c r="J421" s="2">
        <f t="shared" si="19"/>
        <v>66.141732283464563</v>
      </c>
      <c r="K421" s="2" t="str">
        <f t="shared" si="20"/>
        <v>Sale</v>
      </c>
      <c r="L421" t="s">
        <v>8</v>
      </c>
    </row>
    <row r="422" spans="1:12" x14ac:dyDescent="0.25">
      <c r="A422">
        <v>5420</v>
      </c>
      <c r="B422">
        <v>97</v>
      </c>
      <c r="C422" s="5" t="str">
        <f>IFERROR(_xlfn.XLOOKUP(B422, Customers_raw!A:A, Customers_raw!B:B), "Unknown Customer")</f>
        <v>Charles Thomas</v>
      </c>
      <c r="D422" s="1">
        <v>45736</v>
      </c>
      <c r="E422" s="1" t="str">
        <f t="shared" si="18"/>
        <v>2025-03</v>
      </c>
      <c r="F422" t="s">
        <v>20</v>
      </c>
      <c r="G422" t="s">
        <v>10</v>
      </c>
      <c r="H422">
        <v>1</v>
      </c>
      <c r="I422" s="2">
        <v>65</v>
      </c>
      <c r="J422" s="2">
        <f t="shared" si="19"/>
        <v>65</v>
      </c>
      <c r="K422" s="2" t="str">
        <f t="shared" si="20"/>
        <v>Sale</v>
      </c>
      <c r="L422" t="s">
        <v>5</v>
      </c>
    </row>
    <row r="423" spans="1:12" x14ac:dyDescent="0.25">
      <c r="A423">
        <v>5421</v>
      </c>
      <c r="B423">
        <v>73</v>
      </c>
      <c r="C423" s="5" t="str">
        <f>IFERROR(_xlfn.XLOOKUP(B423, Customers_raw!A:A, Customers_raw!B:B), "Unknown Customer")</f>
        <v>Michael Thompson</v>
      </c>
      <c r="D423" s="1">
        <v>45701</v>
      </c>
      <c r="E423" s="1" t="str">
        <f t="shared" si="18"/>
        <v>2025-02</v>
      </c>
      <c r="F423" t="s">
        <v>12</v>
      </c>
      <c r="G423" t="s">
        <v>10</v>
      </c>
      <c r="H423">
        <v>1</v>
      </c>
      <c r="I423" s="2">
        <v>22</v>
      </c>
      <c r="J423" s="2">
        <f t="shared" si="19"/>
        <v>22</v>
      </c>
      <c r="K423" s="2" t="str">
        <f t="shared" si="20"/>
        <v>Sale</v>
      </c>
      <c r="L423" t="s">
        <v>27</v>
      </c>
    </row>
    <row r="424" spans="1:12" x14ac:dyDescent="0.25">
      <c r="A424">
        <v>5422</v>
      </c>
      <c r="B424">
        <v>10</v>
      </c>
      <c r="C424" s="5" t="str">
        <f>IFERROR(_xlfn.XLOOKUP(B424, Customers_raw!A:A, Customers_raw!B:B), "Unknown Customer")</f>
        <v>Karen Davis</v>
      </c>
      <c r="D424" s="1">
        <v>45830</v>
      </c>
      <c r="E424" s="1" t="str">
        <f t="shared" si="18"/>
        <v>2025-06</v>
      </c>
      <c r="F424" t="s">
        <v>21</v>
      </c>
      <c r="G424" t="s">
        <v>17</v>
      </c>
      <c r="H424">
        <v>1</v>
      </c>
      <c r="I424" s="2">
        <v>60</v>
      </c>
      <c r="J424" s="2">
        <f t="shared" si="19"/>
        <v>60</v>
      </c>
      <c r="K424" s="2" t="str">
        <f t="shared" si="20"/>
        <v>Sale</v>
      </c>
      <c r="L424" t="s">
        <v>5</v>
      </c>
    </row>
    <row r="425" spans="1:12" x14ac:dyDescent="0.25">
      <c r="A425">
        <v>5423</v>
      </c>
      <c r="B425">
        <v>44</v>
      </c>
      <c r="C425" s="5" t="str">
        <f>IFERROR(_xlfn.XLOOKUP(B425, Customers_raw!A:A, Customers_raw!B:B), "Unknown Customer")</f>
        <v>Emily Jackson</v>
      </c>
      <c r="D425" s="1">
        <v>45894</v>
      </c>
      <c r="E425" s="1" t="str">
        <f t="shared" si="18"/>
        <v>2025-08</v>
      </c>
      <c r="F425" t="s">
        <v>12</v>
      </c>
      <c r="G425" t="s">
        <v>10</v>
      </c>
      <c r="H425">
        <v>1</v>
      </c>
      <c r="I425" s="2">
        <v>22</v>
      </c>
      <c r="J425" s="2">
        <f t="shared" si="19"/>
        <v>22</v>
      </c>
      <c r="K425" s="2" t="str">
        <f t="shared" si="20"/>
        <v>Sale</v>
      </c>
      <c r="L425" t="s">
        <v>8</v>
      </c>
    </row>
    <row r="426" spans="1:12" x14ac:dyDescent="0.25">
      <c r="A426">
        <v>5424</v>
      </c>
      <c r="B426">
        <v>12</v>
      </c>
      <c r="C426" s="5" t="str">
        <f>IFERROR(_xlfn.XLOOKUP(B426, Customers_raw!A:A, Customers_raw!B:B), "Unknown Customer")</f>
        <v>Linda Moore</v>
      </c>
      <c r="D426" s="1">
        <v>45733</v>
      </c>
      <c r="E426" s="1" t="str">
        <f t="shared" si="18"/>
        <v>2025-03</v>
      </c>
      <c r="F426" t="s">
        <v>9</v>
      </c>
      <c r="G426" t="s">
        <v>6</v>
      </c>
      <c r="H426">
        <v>-1</v>
      </c>
      <c r="I426" s="2">
        <v>45</v>
      </c>
      <c r="J426" s="2">
        <f t="shared" si="19"/>
        <v>-45</v>
      </c>
      <c r="K426" s="2" t="str">
        <f t="shared" si="20"/>
        <v>Return</v>
      </c>
      <c r="L426" t="s">
        <v>23</v>
      </c>
    </row>
    <row r="427" spans="1:12" x14ac:dyDescent="0.25">
      <c r="A427">
        <v>5425</v>
      </c>
      <c r="B427">
        <v>29</v>
      </c>
      <c r="C427" s="5" t="str">
        <f>IFERROR(_xlfn.XLOOKUP(B427, Customers_raw!A:A, Customers_raw!B:B), "Unknown Customer")</f>
        <v>Thomas Lopez</v>
      </c>
      <c r="D427" s="1">
        <v>45827</v>
      </c>
      <c r="E427" s="1" t="str">
        <f t="shared" si="18"/>
        <v>2025-06</v>
      </c>
      <c r="F427" t="s">
        <v>22</v>
      </c>
      <c r="G427" t="s">
        <v>17</v>
      </c>
      <c r="H427">
        <v>1</v>
      </c>
      <c r="I427" s="2">
        <v>24</v>
      </c>
      <c r="J427" s="2">
        <f t="shared" si="19"/>
        <v>24</v>
      </c>
      <c r="K427" s="2" t="str">
        <f t="shared" si="20"/>
        <v>Sale</v>
      </c>
      <c r="L427" t="s">
        <v>27</v>
      </c>
    </row>
    <row r="428" spans="1:12" x14ac:dyDescent="0.25">
      <c r="A428">
        <v>5426</v>
      </c>
      <c r="B428">
        <v>100</v>
      </c>
      <c r="C428" s="5" t="str">
        <f>IFERROR(_xlfn.XLOOKUP(B428, Customers_raw!A:A, Customers_raw!B:B), "Unknown Customer")</f>
        <v>Susan Williams</v>
      </c>
      <c r="D428" s="1">
        <v>45693</v>
      </c>
      <c r="E428" s="1" t="str">
        <f t="shared" si="18"/>
        <v>2025-02</v>
      </c>
      <c r="F428" t="s">
        <v>11</v>
      </c>
      <c r="G428" t="s">
        <v>6</v>
      </c>
      <c r="H428">
        <v>1</v>
      </c>
      <c r="I428" s="2">
        <v>15</v>
      </c>
      <c r="J428" s="2">
        <f t="shared" si="19"/>
        <v>15</v>
      </c>
      <c r="K428" s="2" t="str">
        <f t="shared" si="20"/>
        <v>Sale</v>
      </c>
      <c r="L428" t="s">
        <v>8</v>
      </c>
    </row>
    <row r="429" spans="1:12" x14ac:dyDescent="0.25">
      <c r="A429">
        <v>5427</v>
      </c>
      <c r="B429">
        <v>84</v>
      </c>
      <c r="C429" s="5" t="str">
        <f>IFERROR(_xlfn.XLOOKUP(B429, Customers_raw!A:A, Customers_raw!B:B), "Unknown Customer")</f>
        <v>Kimberly Lewis</v>
      </c>
      <c r="D429" s="1">
        <v>45836</v>
      </c>
      <c r="E429" s="1" t="str">
        <f t="shared" si="18"/>
        <v>2025-06</v>
      </c>
      <c r="F429" t="s">
        <v>19</v>
      </c>
      <c r="G429" t="s">
        <v>17</v>
      </c>
      <c r="H429">
        <v>2</v>
      </c>
      <c r="I429" s="2">
        <v>19</v>
      </c>
      <c r="J429" s="2">
        <f t="shared" si="19"/>
        <v>38</v>
      </c>
      <c r="K429" s="2" t="str">
        <f t="shared" si="20"/>
        <v>Sale</v>
      </c>
      <c r="L429" t="s">
        <v>5</v>
      </c>
    </row>
    <row r="430" spans="1:12" x14ac:dyDescent="0.25">
      <c r="A430">
        <v>5428</v>
      </c>
      <c r="B430" t="s">
        <v>23</v>
      </c>
      <c r="C430" s="5" t="str">
        <f>IFERROR(_xlfn.XLOOKUP(B430, Customers_raw!A:A, Customers_raw!B:B), "Unknown Customer")</f>
        <v>Unknown Customer</v>
      </c>
      <c r="D430" s="1">
        <v>45896</v>
      </c>
      <c r="E430" s="1" t="str">
        <f t="shared" si="18"/>
        <v>2025-08</v>
      </c>
      <c r="F430" t="s">
        <v>16</v>
      </c>
      <c r="G430" t="s">
        <v>10</v>
      </c>
      <c r="H430">
        <v>2</v>
      </c>
      <c r="I430" s="2">
        <v>28</v>
      </c>
      <c r="J430" s="2">
        <f t="shared" si="19"/>
        <v>56</v>
      </c>
      <c r="K430" s="2" t="str">
        <f t="shared" si="20"/>
        <v>Sale</v>
      </c>
      <c r="L430" t="s">
        <v>5</v>
      </c>
    </row>
    <row r="431" spans="1:12" x14ac:dyDescent="0.25">
      <c r="A431">
        <v>5429</v>
      </c>
      <c r="B431">
        <v>76</v>
      </c>
      <c r="C431" s="5" t="str">
        <f>IFERROR(_xlfn.XLOOKUP(B431, Customers_raw!A:A, Customers_raw!B:B), "Unknown Customer")</f>
        <v>Thomas Anderson</v>
      </c>
      <c r="D431" s="1">
        <v>45993</v>
      </c>
      <c r="E431" s="1" t="str">
        <f t="shared" si="18"/>
        <v>2025-12</v>
      </c>
      <c r="F431" t="s">
        <v>15</v>
      </c>
      <c r="G431" t="s">
        <v>7</v>
      </c>
      <c r="H431">
        <v>1</v>
      </c>
      <c r="I431" s="2">
        <v>70</v>
      </c>
      <c r="J431" s="2">
        <f t="shared" si="19"/>
        <v>70</v>
      </c>
      <c r="K431" s="2" t="str">
        <f t="shared" si="20"/>
        <v>Sale</v>
      </c>
      <c r="L431" t="s">
        <v>27</v>
      </c>
    </row>
    <row r="432" spans="1:12" x14ac:dyDescent="0.25">
      <c r="A432">
        <v>5430</v>
      </c>
      <c r="B432">
        <v>76</v>
      </c>
      <c r="C432" s="5" t="str">
        <f>IFERROR(_xlfn.XLOOKUP(B432, Customers_raw!A:A, Customers_raw!B:B), "Unknown Customer")</f>
        <v>Thomas Anderson</v>
      </c>
      <c r="D432" s="1">
        <v>45945</v>
      </c>
      <c r="E432" s="1" t="str">
        <f t="shared" si="18"/>
        <v>2025-10</v>
      </c>
      <c r="F432" t="s">
        <v>13</v>
      </c>
      <c r="G432" t="s">
        <v>7</v>
      </c>
      <c r="H432">
        <v>2</v>
      </c>
      <c r="I432" s="2">
        <v>35</v>
      </c>
      <c r="J432" s="2">
        <f t="shared" si="19"/>
        <v>70</v>
      </c>
      <c r="K432" s="2" t="str">
        <f t="shared" si="20"/>
        <v>Sale</v>
      </c>
      <c r="L432" t="s">
        <v>8</v>
      </c>
    </row>
    <row r="433" spans="1:12" x14ac:dyDescent="0.25">
      <c r="A433">
        <v>5431</v>
      </c>
      <c r="B433">
        <v>85</v>
      </c>
      <c r="C433" s="5" t="str">
        <f>IFERROR(_xlfn.XLOOKUP(B433, Customers_raw!A:A, Customers_raw!B:B), "Unknown Customer")</f>
        <v>Elizabeth Martinez</v>
      </c>
      <c r="D433" s="1">
        <v>45978</v>
      </c>
      <c r="E433" s="1" t="str">
        <f t="shared" si="18"/>
        <v>2025-11</v>
      </c>
      <c r="F433" t="s">
        <v>14</v>
      </c>
      <c r="G433" t="s">
        <v>7</v>
      </c>
      <c r="H433">
        <v>2</v>
      </c>
      <c r="I433" s="2">
        <v>55</v>
      </c>
      <c r="J433" s="2">
        <f t="shared" si="19"/>
        <v>110</v>
      </c>
      <c r="K433" s="2" t="str">
        <f t="shared" si="20"/>
        <v>Sale</v>
      </c>
      <c r="L433" t="s">
        <v>5</v>
      </c>
    </row>
    <row r="434" spans="1:12" x14ac:dyDescent="0.25">
      <c r="A434">
        <v>5432</v>
      </c>
      <c r="B434">
        <v>87</v>
      </c>
      <c r="C434" s="5" t="str">
        <f>IFERROR(_xlfn.XLOOKUP(B434, Customers_raw!A:A, Customers_raw!B:B), "Unknown Customer")</f>
        <v>Joseph Williams</v>
      </c>
      <c r="D434" s="1">
        <v>45820</v>
      </c>
      <c r="E434" s="1" t="str">
        <f t="shared" si="18"/>
        <v>2025-06</v>
      </c>
      <c r="F434" t="s">
        <v>11</v>
      </c>
      <c r="G434" t="s">
        <v>6</v>
      </c>
      <c r="H434">
        <v>1</v>
      </c>
      <c r="I434" s="2">
        <v>15</v>
      </c>
      <c r="J434" s="2">
        <f t="shared" si="19"/>
        <v>15</v>
      </c>
      <c r="K434" s="2" t="str">
        <f t="shared" si="20"/>
        <v>Sale</v>
      </c>
      <c r="L434" t="s">
        <v>27</v>
      </c>
    </row>
    <row r="435" spans="1:12" x14ac:dyDescent="0.25">
      <c r="A435">
        <v>5433</v>
      </c>
      <c r="B435">
        <v>3</v>
      </c>
      <c r="C435" s="5" t="str">
        <f>IFERROR(_xlfn.XLOOKUP(B435, Customers_raw!A:A, Customers_raw!B:B), "Unknown Customer")</f>
        <v>Anthony Williams</v>
      </c>
      <c r="D435" s="1">
        <v>45666</v>
      </c>
      <c r="E435" s="1" t="str">
        <f t="shared" si="18"/>
        <v>2025-01</v>
      </c>
      <c r="F435" t="s">
        <v>12</v>
      </c>
      <c r="G435" t="s">
        <v>10</v>
      </c>
      <c r="H435">
        <v>2</v>
      </c>
      <c r="I435" s="2">
        <v>25</v>
      </c>
      <c r="J435" s="2">
        <f t="shared" si="19"/>
        <v>50</v>
      </c>
      <c r="K435" s="2" t="str">
        <f t="shared" si="20"/>
        <v>Sale</v>
      </c>
      <c r="L435" t="s">
        <v>27</v>
      </c>
    </row>
    <row r="436" spans="1:12" x14ac:dyDescent="0.25">
      <c r="A436">
        <v>5434</v>
      </c>
      <c r="B436">
        <v>43</v>
      </c>
      <c r="C436" s="5" t="str">
        <f>IFERROR(_xlfn.XLOOKUP(B436, Customers_raw!A:A, Customers_raw!B:B), "Unknown Customer")</f>
        <v>Sandra Clark</v>
      </c>
      <c r="D436" s="1">
        <v>45767</v>
      </c>
      <c r="E436" s="1" t="str">
        <f t="shared" si="18"/>
        <v>2025-04</v>
      </c>
      <c r="F436" t="s">
        <v>15</v>
      </c>
      <c r="G436" t="s">
        <v>7</v>
      </c>
      <c r="H436">
        <v>1</v>
      </c>
      <c r="I436" s="2">
        <v>70</v>
      </c>
      <c r="J436" s="2">
        <f t="shared" si="19"/>
        <v>70</v>
      </c>
      <c r="K436" s="2" t="str">
        <f t="shared" si="20"/>
        <v>Sale</v>
      </c>
      <c r="L436" t="s">
        <v>5</v>
      </c>
    </row>
    <row r="437" spans="1:12" x14ac:dyDescent="0.25">
      <c r="A437">
        <v>5435</v>
      </c>
      <c r="B437">
        <v>43</v>
      </c>
      <c r="C437" s="5" t="str">
        <f>IFERROR(_xlfn.XLOOKUP(B437, Customers_raw!A:A, Customers_raw!B:B), "Unknown Customer")</f>
        <v>Sandra Clark</v>
      </c>
      <c r="D437" s="1">
        <v>45796</v>
      </c>
      <c r="E437" s="1" t="str">
        <f t="shared" si="18"/>
        <v>2025-05</v>
      </c>
      <c r="F437" t="s">
        <v>12</v>
      </c>
      <c r="G437" t="s">
        <v>10</v>
      </c>
      <c r="H437">
        <v>3</v>
      </c>
      <c r="I437" s="2">
        <v>22</v>
      </c>
      <c r="J437" s="2">
        <f t="shared" si="19"/>
        <v>66</v>
      </c>
      <c r="K437" s="2" t="str">
        <f t="shared" si="20"/>
        <v>Sale</v>
      </c>
      <c r="L437" t="s">
        <v>8</v>
      </c>
    </row>
    <row r="438" spans="1:12" x14ac:dyDescent="0.25">
      <c r="A438">
        <v>5436</v>
      </c>
      <c r="B438">
        <v>28</v>
      </c>
      <c r="C438" s="5" t="str">
        <f>IFERROR(_xlfn.XLOOKUP(B438, Customers_raw!A:A, Customers_raw!B:B), "Unknown Customer")</f>
        <v>Michael Lopez</v>
      </c>
      <c r="D438" s="1">
        <v>45979</v>
      </c>
      <c r="E438" s="1" t="str">
        <f t="shared" si="18"/>
        <v>2025-11</v>
      </c>
      <c r="F438" t="s">
        <v>22</v>
      </c>
      <c r="G438" t="s">
        <v>17</v>
      </c>
      <c r="H438">
        <v>2</v>
      </c>
      <c r="I438" s="2">
        <v>24</v>
      </c>
      <c r="J438" s="2">
        <f t="shared" si="19"/>
        <v>48</v>
      </c>
      <c r="K438" s="2" t="str">
        <f t="shared" si="20"/>
        <v>Sale</v>
      </c>
      <c r="L438" t="s">
        <v>5</v>
      </c>
    </row>
    <row r="439" spans="1:12" x14ac:dyDescent="0.25">
      <c r="A439">
        <v>5437</v>
      </c>
      <c r="B439">
        <v>20</v>
      </c>
      <c r="C439" s="5" t="str">
        <f>IFERROR(_xlfn.XLOOKUP(B439, Customers_raw!A:A, Customers_raw!B:B), "Unknown Customer")</f>
        <v>David Ramirez</v>
      </c>
      <c r="D439" s="1">
        <v>45743</v>
      </c>
      <c r="E439" s="1" t="str">
        <f t="shared" si="18"/>
        <v>2025-03</v>
      </c>
      <c r="F439" t="s">
        <v>11</v>
      </c>
      <c r="G439" t="s">
        <v>6</v>
      </c>
      <c r="H439">
        <v>1</v>
      </c>
      <c r="I439" s="2">
        <v>21</v>
      </c>
      <c r="J439" s="2">
        <f t="shared" si="19"/>
        <v>21</v>
      </c>
      <c r="K439" s="2" t="str">
        <f t="shared" si="20"/>
        <v>Sale</v>
      </c>
      <c r="L439" t="s">
        <v>8</v>
      </c>
    </row>
    <row r="440" spans="1:12" x14ac:dyDescent="0.25">
      <c r="A440">
        <v>5438</v>
      </c>
      <c r="B440">
        <v>41</v>
      </c>
      <c r="C440" s="5" t="str">
        <f>IFERROR(_xlfn.XLOOKUP(B440, Customers_raw!A:A, Customers_raw!B:B), "Unknown Customer")</f>
        <v>Margaret Clark</v>
      </c>
      <c r="D440" s="1">
        <v>45968</v>
      </c>
      <c r="E440" s="1" t="str">
        <f t="shared" si="18"/>
        <v>2025-11</v>
      </c>
      <c r="F440" t="s">
        <v>15</v>
      </c>
      <c r="G440" t="s">
        <v>7</v>
      </c>
      <c r="H440">
        <v>1</v>
      </c>
      <c r="I440" s="2">
        <v>70</v>
      </c>
      <c r="J440" s="2">
        <f t="shared" si="19"/>
        <v>70</v>
      </c>
      <c r="K440" s="2" t="str">
        <f t="shared" si="20"/>
        <v>Sale</v>
      </c>
      <c r="L440" t="s">
        <v>8</v>
      </c>
    </row>
    <row r="441" spans="1:12" x14ac:dyDescent="0.25">
      <c r="A441">
        <v>5439</v>
      </c>
      <c r="B441">
        <v>110</v>
      </c>
      <c r="C441" s="5" t="str">
        <f>IFERROR(_xlfn.XLOOKUP(B441, Customers_raw!A:A, Customers_raw!B:B), "Unknown Customer")</f>
        <v>Betty Walker</v>
      </c>
      <c r="D441" s="1">
        <v>45711</v>
      </c>
      <c r="E441" s="1" t="str">
        <f t="shared" si="18"/>
        <v>2025-02</v>
      </c>
      <c r="F441" t="s">
        <v>20</v>
      </c>
      <c r="G441" t="s">
        <v>10</v>
      </c>
      <c r="H441">
        <v>1</v>
      </c>
      <c r="I441" s="2">
        <v>68</v>
      </c>
      <c r="J441" s="2">
        <f t="shared" si="19"/>
        <v>68</v>
      </c>
      <c r="K441" s="2" t="str">
        <f t="shared" si="20"/>
        <v>Sale</v>
      </c>
      <c r="L441" t="s">
        <v>5</v>
      </c>
    </row>
    <row r="442" spans="1:12" x14ac:dyDescent="0.25">
      <c r="A442">
        <v>5440</v>
      </c>
      <c r="B442">
        <v>46</v>
      </c>
      <c r="C442" s="5" t="str">
        <f>IFERROR(_xlfn.XLOOKUP(B442, Customers_raw!A:A, Customers_raw!B:B), "Unknown Customer")</f>
        <v>Mary Rodriguez</v>
      </c>
      <c r="D442" s="1">
        <v>45709</v>
      </c>
      <c r="E442" s="1" t="str">
        <f t="shared" si="18"/>
        <v>2025-02</v>
      </c>
      <c r="F442" t="s">
        <v>22</v>
      </c>
      <c r="G442" t="s">
        <v>17</v>
      </c>
      <c r="H442">
        <v>1</v>
      </c>
      <c r="I442" s="2">
        <v>24</v>
      </c>
      <c r="J442" s="2">
        <f t="shared" si="19"/>
        <v>24</v>
      </c>
      <c r="K442" s="2" t="str">
        <f t="shared" si="20"/>
        <v>Sale</v>
      </c>
      <c r="L442" t="s">
        <v>8</v>
      </c>
    </row>
    <row r="443" spans="1:12" x14ac:dyDescent="0.25">
      <c r="A443">
        <v>5441</v>
      </c>
      <c r="B443">
        <v>66</v>
      </c>
      <c r="C443" s="5" t="str">
        <f>IFERROR(_xlfn.XLOOKUP(B443, Customers_raw!A:A, Customers_raw!B:B), "Unknown Customer")</f>
        <v>Barbara Anderson</v>
      </c>
      <c r="D443" s="1">
        <v>45827</v>
      </c>
      <c r="E443" s="1" t="str">
        <f t="shared" si="18"/>
        <v>2025-06</v>
      </c>
      <c r="F443" t="s">
        <v>21</v>
      </c>
      <c r="G443" t="s">
        <v>17</v>
      </c>
      <c r="H443">
        <v>1</v>
      </c>
      <c r="I443" s="2">
        <v>60</v>
      </c>
      <c r="J443" s="2">
        <f t="shared" si="19"/>
        <v>60</v>
      </c>
      <c r="K443" s="2" t="str">
        <f t="shared" si="20"/>
        <v>Sale</v>
      </c>
      <c r="L443" t="s">
        <v>5</v>
      </c>
    </row>
    <row r="444" spans="1:12" x14ac:dyDescent="0.25">
      <c r="A444">
        <v>5442</v>
      </c>
      <c r="B444">
        <v>91</v>
      </c>
      <c r="C444" s="5" t="str">
        <f>IFERROR(_xlfn.XLOOKUP(B444, Customers_raw!A:A, Customers_raw!B:B), "Unknown Customer")</f>
        <v>Donald Rodriguez</v>
      </c>
      <c r="D444" s="1">
        <v>46009</v>
      </c>
      <c r="E444" s="1" t="str">
        <f t="shared" si="18"/>
        <v>2025-12</v>
      </c>
      <c r="F444" t="s">
        <v>22</v>
      </c>
      <c r="G444" t="s">
        <v>17</v>
      </c>
      <c r="H444">
        <v>2</v>
      </c>
      <c r="I444" s="2">
        <v>21</v>
      </c>
      <c r="J444" s="2">
        <f t="shared" si="19"/>
        <v>42</v>
      </c>
      <c r="K444" s="2" t="str">
        <f t="shared" si="20"/>
        <v>Sale</v>
      </c>
      <c r="L444" t="s">
        <v>8</v>
      </c>
    </row>
    <row r="445" spans="1:12" x14ac:dyDescent="0.25">
      <c r="A445">
        <v>5443</v>
      </c>
      <c r="B445">
        <v>47</v>
      </c>
      <c r="C445" s="5" t="str">
        <f>IFERROR(_xlfn.XLOOKUP(B445, Customers_raw!A:A, Customers_raw!B:B), "Unknown Customer")</f>
        <v>Christopher Rodriguez</v>
      </c>
      <c r="D445" s="1">
        <v>45667</v>
      </c>
      <c r="E445" s="1" t="str">
        <f t="shared" si="18"/>
        <v>2025-01</v>
      </c>
      <c r="F445" t="s">
        <v>19</v>
      </c>
      <c r="G445" t="s">
        <v>17</v>
      </c>
      <c r="H445">
        <v>3</v>
      </c>
      <c r="I445" s="2">
        <v>16</v>
      </c>
      <c r="J445" s="2">
        <f t="shared" si="19"/>
        <v>48</v>
      </c>
      <c r="K445" s="2" t="str">
        <f t="shared" si="20"/>
        <v>Sale</v>
      </c>
      <c r="L445" t="s">
        <v>8</v>
      </c>
    </row>
    <row r="446" spans="1:12" x14ac:dyDescent="0.25">
      <c r="A446">
        <v>5444</v>
      </c>
      <c r="B446">
        <v>40</v>
      </c>
      <c r="C446" s="5" t="str">
        <f>IFERROR(_xlfn.XLOOKUP(B446, Customers_raw!A:A, Customers_raw!B:B), "Unknown Customer")</f>
        <v>Jennifer Ramirez</v>
      </c>
      <c r="D446" s="1">
        <v>45735</v>
      </c>
      <c r="E446" s="1" t="str">
        <f t="shared" si="18"/>
        <v>2025-03</v>
      </c>
      <c r="F446" t="s">
        <v>15</v>
      </c>
      <c r="G446" t="s">
        <v>7</v>
      </c>
      <c r="H446">
        <v>1</v>
      </c>
      <c r="I446" s="2">
        <v>70</v>
      </c>
      <c r="J446" s="2">
        <f t="shared" si="19"/>
        <v>70</v>
      </c>
      <c r="K446" s="2" t="str">
        <f t="shared" si="20"/>
        <v>Sale</v>
      </c>
      <c r="L446" t="s">
        <v>8</v>
      </c>
    </row>
    <row r="447" spans="1:12" x14ac:dyDescent="0.25">
      <c r="A447">
        <v>5445</v>
      </c>
      <c r="B447">
        <v>35</v>
      </c>
      <c r="C447" s="5" t="str">
        <f>IFERROR(_xlfn.XLOOKUP(B447, Customers_raw!A:A, Customers_raw!B:B), "Unknown Customer")</f>
        <v>Richard Clark</v>
      </c>
      <c r="D447" s="1">
        <v>45754</v>
      </c>
      <c r="E447" s="1" t="str">
        <f t="shared" si="18"/>
        <v>2025-04</v>
      </c>
      <c r="F447" t="s">
        <v>20</v>
      </c>
      <c r="G447" t="s">
        <v>10</v>
      </c>
      <c r="H447">
        <v>2</v>
      </c>
      <c r="I447" s="2">
        <v>65</v>
      </c>
      <c r="J447" s="2">
        <f t="shared" si="19"/>
        <v>130</v>
      </c>
      <c r="K447" s="2" t="str">
        <f t="shared" si="20"/>
        <v>Sale</v>
      </c>
      <c r="L447" t="s">
        <v>5</v>
      </c>
    </row>
    <row r="448" spans="1:12" x14ac:dyDescent="0.25">
      <c r="A448">
        <v>5446</v>
      </c>
      <c r="B448">
        <v>98</v>
      </c>
      <c r="C448" s="5" t="str">
        <f>IFERROR(_xlfn.XLOOKUP(B448, Customers_raw!A:A, Customers_raw!B:B), "Unknown Customer")</f>
        <v>Karen Williams</v>
      </c>
      <c r="D448" s="1">
        <v>45807</v>
      </c>
      <c r="E448" s="1" t="str">
        <f t="shared" si="18"/>
        <v>2025-05</v>
      </c>
      <c r="F448" t="s">
        <v>9</v>
      </c>
      <c r="G448" t="s">
        <v>6</v>
      </c>
      <c r="H448">
        <v>2</v>
      </c>
      <c r="I448" s="2">
        <v>48</v>
      </c>
      <c r="J448" s="2">
        <f t="shared" si="19"/>
        <v>96</v>
      </c>
      <c r="K448" s="2" t="str">
        <f t="shared" si="20"/>
        <v>Sale</v>
      </c>
      <c r="L448" t="s">
        <v>5</v>
      </c>
    </row>
    <row r="449" spans="1:12" x14ac:dyDescent="0.25">
      <c r="A449">
        <v>5447</v>
      </c>
      <c r="B449">
        <v>82</v>
      </c>
      <c r="C449" s="5" t="str">
        <f>IFERROR(_xlfn.XLOOKUP(B449, Customers_raw!A:A, Customers_raw!B:B), "Unknown Customer")</f>
        <v>Thomas Ramirez</v>
      </c>
      <c r="D449" s="1">
        <v>45939</v>
      </c>
      <c r="E449" s="1" t="str">
        <f t="shared" si="18"/>
        <v>2025-10</v>
      </c>
      <c r="F449" t="s">
        <v>14</v>
      </c>
      <c r="G449" t="s">
        <v>7</v>
      </c>
      <c r="H449">
        <v>3</v>
      </c>
      <c r="I449" s="2">
        <v>55</v>
      </c>
      <c r="J449" s="2">
        <f t="shared" si="19"/>
        <v>165</v>
      </c>
      <c r="K449" s="2" t="str">
        <f t="shared" si="20"/>
        <v>Sale</v>
      </c>
      <c r="L449" t="s">
        <v>27</v>
      </c>
    </row>
    <row r="450" spans="1:12" x14ac:dyDescent="0.25">
      <c r="A450">
        <v>5448</v>
      </c>
      <c r="B450">
        <v>64</v>
      </c>
      <c r="C450" s="5" t="str">
        <f>IFERROR(_xlfn.XLOOKUP(B450, Customers_raw!A:A, Customers_raw!B:B), "Unknown Customer")</f>
        <v>Barbara Rodriguez</v>
      </c>
      <c r="D450" s="1">
        <v>45930</v>
      </c>
      <c r="E450" s="1" t="str">
        <f t="shared" si="18"/>
        <v>2025-09</v>
      </c>
      <c r="F450" t="s">
        <v>16</v>
      </c>
      <c r="G450" t="s">
        <v>10</v>
      </c>
      <c r="H450">
        <v>1</v>
      </c>
      <c r="I450" s="2">
        <v>28</v>
      </c>
      <c r="J450" s="2">
        <f t="shared" si="19"/>
        <v>28</v>
      </c>
      <c r="K450" s="2" t="str">
        <f t="shared" si="20"/>
        <v>Sale</v>
      </c>
      <c r="L450" t="s">
        <v>27</v>
      </c>
    </row>
    <row r="451" spans="1:12" x14ac:dyDescent="0.25">
      <c r="A451">
        <v>5449</v>
      </c>
      <c r="B451">
        <v>40</v>
      </c>
      <c r="C451" s="5" t="str">
        <f>IFERROR(_xlfn.XLOOKUP(B451, Customers_raw!A:A, Customers_raw!B:B), "Unknown Customer")</f>
        <v>Jennifer Ramirez</v>
      </c>
      <c r="D451" s="1">
        <v>45924</v>
      </c>
      <c r="E451" s="1" t="str">
        <f t="shared" ref="E451:E514" si="21">TEXT(D:D,"YYYY-MM")</f>
        <v>2025-09</v>
      </c>
      <c r="F451" t="s">
        <v>19</v>
      </c>
      <c r="G451" t="s">
        <v>17</v>
      </c>
      <c r="H451">
        <v>3</v>
      </c>
      <c r="I451" s="2">
        <v>19</v>
      </c>
      <c r="J451" s="2">
        <f t="shared" ref="J451:J514" si="22">H451*I451</f>
        <v>57</v>
      </c>
      <c r="K451" s="2" t="str">
        <f t="shared" ref="K451:K514" si="23">IF(H451&lt;0,"Return","Sale")</f>
        <v>Sale</v>
      </c>
      <c r="L451" t="s">
        <v>8</v>
      </c>
    </row>
    <row r="452" spans="1:12" x14ac:dyDescent="0.25">
      <c r="A452">
        <v>5450</v>
      </c>
      <c r="B452">
        <v>100</v>
      </c>
      <c r="C452" s="5" t="str">
        <f>IFERROR(_xlfn.XLOOKUP(B452, Customers_raw!A:A, Customers_raw!B:B), "Unknown Customer")</f>
        <v>Susan Williams</v>
      </c>
      <c r="D452" s="1">
        <v>46013</v>
      </c>
      <c r="E452" s="1" t="str">
        <f t="shared" si="21"/>
        <v>2025-12</v>
      </c>
      <c r="F452" t="s">
        <v>11</v>
      </c>
      <c r="G452" t="s">
        <v>6</v>
      </c>
      <c r="H452">
        <v>1</v>
      </c>
      <c r="I452" s="2">
        <v>18</v>
      </c>
      <c r="J452" s="2">
        <f t="shared" si="22"/>
        <v>18</v>
      </c>
      <c r="K452" s="2" t="str">
        <f t="shared" si="23"/>
        <v>Sale</v>
      </c>
      <c r="L452" t="s">
        <v>27</v>
      </c>
    </row>
    <row r="453" spans="1:12" x14ac:dyDescent="0.25">
      <c r="A453">
        <v>5451</v>
      </c>
      <c r="B453">
        <v>42</v>
      </c>
      <c r="C453" s="5" t="str">
        <f>IFERROR(_xlfn.XLOOKUP(B453, Customers_raw!A:A, Customers_raw!B:B), "Unknown Customer")</f>
        <v>Jennifer Harris</v>
      </c>
      <c r="D453" s="1">
        <v>45864</v>
      </c>
      <c r="E453" s="1" t="str">
        <f t="shared" si="21"/>
        <v>2025-07</v>
      </c>
      <c r="F453" t="s">
        <v>13</v>
      </c>
      <c r="G453" t="s">
        <v>7</v>
      </c>
      <c r="H453">
        <v>3</v>
      </c>
      <c r="I453" s="2">
        <v>32</v>
      </c>
      <c r="J453" s="2">
        <f t="shared" si="22"/>
        <v>96</v>
      </c>
      <c r="K453" s="2" t="str">
        <f t="shared" si="23"/>
        <v>Sale</v>
      </c>
      <c r="L453" t="s">
        <v>5</v>
      </c>
    </row>
    <row r="454" spans="1:12" x14ac:dyDescent="0.25">
      <c r="A454">
        <v>5452</v>
      </c>
      <c r="B454">
        <v>50</v>
      </c>
      <c r="C454" s="5" t="str">
        <f>IFERROR(_xlfn.XLOOKUP(B454, Customers_raw!A:A, Customers_raw!B:B), "Unknown Customer")</f>
        <v>Elizabeth Garcia</v>
      </c>
      <c r="D454" s="1">
        <v>45794</v>
      </c>
      <c r="E454" s="1" t="str">
        <f t="shared" si="21"/>
        <v>2025-05</v>
      </c>
      <c r="F454" t="s">
        <v>13</v>
      </c>
      <c r="G454" t="s">
        <v>7</v>
      </c>
      <c r="H454">
        <v>1</v>
      </c>
      <c r="I454" s="2">
        <v>35</v>
      </c>
      <c r="J454" s="2">
        <f t="shared" si="22"/>
        <v>35</v>
      </c>
      <c r="K454" s="2" t="str">
        <f t="shared" si="23"/>
        <v>Sale</v>
      </c>
      <c r="L454" t="s">
        <v>5</v>
      </c>
    </row>
    <row r="455" spans="1:12" x14ac:dyDescent="0.25">
      <c r="A455">
        <v>5453</v>
      </c>
      <c r="B455">
        <v>21</v>
      </c>
      <c r="C455" s="5" t="str">
        <f>IFERROR(_xlfn.XLOOKUP(B455, Customers_raw!A:A, Customers_raw!B:B), "Unknown Customer")</f>
        <v>Daniel Thompson</v>
      </c>
      <c r="D455" s="1">
        <v>45680</v>
      </c>
      <c r="E455" s="1" t="str">
        <f t="shared" si="21"/>
        <v>2025-01</v>
      </c>
      <c r="F455" t="s">
        <v>11</v>
      </c>
      <c r="G455" t="s">
        <v>6</v>
      </c>
      <c r="H455">
        <v>1</v>
      </c>
      <c r="I455" s="2">
        <v>21</v>
      </c>
      <c r="J455" s="2">
        <f t="shared" si="22"/>
        <v>21</v>
      </c>
      <c r="K455" s="2" t="str">
        <f t="shared" si="23"/>
        <v>Sale</v>
      </c>
      <c r="L455" t="s">
        <v>8</v>
      </c>
    </row>
    <row r="456" spans="1:12" x14ac:dyDescent="0.25">
      <c r="A456">
        <v>5454</v>
      </c>
      <c r="B456">
        <v>36</v>
      </c>
      <c r="C456" s="5" t="str">
        <f>IFERROR(_xlfn.XLOOKUP(B456, Customers_raw!A:A, Customers_raw!B:B), "Unknown Customer")</f>
        <v>Daniel Harris</v>
      </c>
      <c r="D456" s="1">
        <v>45784</v>
      </c>
      <c r="E456" s="1" t="str">
        <f t="shared" si="21"/>
        <v>2025-05</v>
      </c>
      <c r="F456" t="s">
        <v>14</v>
      </c>
      <c r="G456" t="s">
        <v>7</v>
      </c>
      <c r="H456">
        <v>2</v>
      </c>
      <c r="I456" s="2">
        <v>55</v>
      </c>
      <c r="J456" s="2">
        <f t="shared" si="22"/>
        <v>110</v>
      </c>
      <c r="K456" s="2" t="str">
        <f t="shared" si="23"/>
        <v>Sale</v>
      </c>
      <c r="L456" t="s">
        <v>5</v>
      </c>
    </row>
    <row r="457" spans="1:12" x14ac:dyDescent="0.25">
      <c r="A457">
        <v>5455</v>
      </c>
      <c r="B457">
        <v>58</v>
      </c>
      <c r="C457" s="5" t="str">
        <f>IFERROR(_xlfn.XLOOKUP(B457, Customers_raw!A:A, Customers_raw!B:B), "Unknown Customer")</f>
        <v>Thomas Robinson</v>
      </c>
      <c r="D457" s="1">
        <v>45679</v>
      </c>
      <c r="E457" s="1" t="str">
        <f t="shared" si="21"/>
        <v>2025-01</v>
      </c>
      <c r="F457" t="s">
        <v>16</v>
      </c>
      <c r="G457" t="s">
        <v>10</v>
      </c>
      <c r="H457">
        <v>1</v>
      </c>
      <c r="I457" s="2">
        <v>31</v>
      </c>
      <c r="J457" s="2">
        <f t="shared" si="22"/>
        <v>31</v>
      </c>
      <c r="K457" s="2" t="str">
        <f t="shared" si="23"/>
        <v>Sale</v>
      </c>
      <c r="L457" t="s">
        <v>27</v>
      </c>
    </row>
    <row r="458" spans="1:12" x14ac:dyDescent="0.25">
      <c r="A458">
        <v>5456</v>
      </c>
      <c r="B458">
        <v>82</v>
      </c>
      <c r="C458" s="5" t="str">
        <f>IFERROR(_xlfn.XLOOKUP(B458, Customers_raw!A:A, Customers_raw!B:B), "Unknown Customer")</f>
        <v>Thomas Ramirez</v>
      </c>
      <c r="D458" s="1">
        <v>45938</v>
      </c>
      <c r="E458" s="1" t="str">
        <f t="shared" si="21"/>
        <v>2025-10</v>
      </c>
      <c r="F458" t="s">
        <v>12</v>
      </c>
      <c r="G458" t="s">
        <v>10</v>
      </c>
      <c r="H458">
        <v>2</v>
      </c>
      <c r="I458" s="2">
        <v>22</v>
      </c>
      <c r="J458" s="2">
        <f t="shared" si="22"/>
        <v>44</v>
      </c>
      <c r="K458" s="2" t="str">
        <f t="shared" si="23"/>
        <v>Sale</v>
      </c>
      <c r="L458" t="s">
        <v>5</v>
      </c>
    </row>
    <row r="459" spans="1:12" x14ac:dyDescent="0.25">
      <c r="A459">
        <v>5457</v>
      </c>
      <c r="B459">
        <v>22</v>
      </c>
      <c r="C459" s="5" t="str">
        <f>IFERROR(_xlfn.XLOOKUP(B459, Customers_raw!A:A, Customers_raw!B:B), "Unknown Customer")</f>
        <v>Joseph Thompson</v>
      </c>
      <c r="D459" s="1">
        <v>45748</v>
      </c>
      <c r="E459" s="1" t="str">
        <f t="shared" si="21"/>
        <v>2025-04</v>
      </c>
      <c r="F459" t="s">
        <v>22</v>
      </c>
      <c r="G459" t="s">
        <v>17</v>
      </c>
      <c r="H459">
        <v>2</v>
      </c>
      <c r="I459" s="2">
        <v>24</v>
      </c>
      <c r="J459" s="2">
        <f t="shared" si="22"/>
        <v>48</v>
      </c>
      <c r="K459" s="2" t="str">
        <f t="shared" si="23"/>
        <v>Sale</v>
      </c>
      <c r="L459" t="s">
        <v>8</v>
      </c>
    </row>
    <row r="460" spans="1:12" x14ac:dyDescent="0.25">
      <c r="A460">
        <v>5458</v>
      </c>
      <c r="B460">
        <v>51</v>
      </c>
      <c r="C460" s="5" t="str">
        <f>IFERROR(_xlfn.XLOOKUP(B460, Customers_raw!A:A, Customers_raw!B:B), "Unknown Customer")</f>
        <v>Patricia Hernandez</v>
      </c>
      <c r="D460" s="1">
        <v>45830</v>
      </c>
      <c r="E460" s="1" t="str">
        <f t="shared" si="21"/>
        <v>2025-06</v>
      </c>
      <c r="F460" t="s">
        <v>13</v>
      </c>
      <c r="G460" t="s">
        <v>7</v>
      </c>
      <c r="H460">
        <v>1</v>
      </c>
      <c r="I460" s="2">
        <v>32</v>
      </c>
      <c r="J460" s="2">
        <f t="shared" si="22"/>
        <v>32</v>
      </c>
      <c r="K460" s="2" t="str">
        <f t="shared" si="23"/>
        <v>Sale</v>
      </c>
      <c r="L460" t="s">
        <v>5</v>
      </c>
    </row>
    <row r="461" spans="1:12" x14ac:dyDescent="0.25">
      <c r="A461">
        <v>5459</v>
      </c>
      <c r="B461">
        <v>37</v>
      </c>
      <c r="C461" s="5" t="str">
        <f>IFERROR(_xlfn.XLOOKUP(B461, Customers_raw!A:A, Customers_raw!B:B), "Unknown Customer")</f>
        <v>Kenneth Lopez</v>
      </c>
      <c r="D461" s="1">
        <v>45767</v>
      </c>
      <c r="E461" s="1" t="str">
        <f t="shared" si="21"/>
        <v>2025-04</v>
      </c>
      <c r="F461" t="s">
        <v>20</v>
      </c>
      <c r="G461" t="s">
        <v>10</v>
      </c>
      <c r="H461">
        <v>3</v>
      </c>
      <c r="I461" s="2">
        <v>65.099999999999994</v>
      </c>
      <c r="J461" s="2">
        <f t="shared" si="22"/>
        <v>195.29999999999998</v>
      </c>
      <c r="K461" s="2" t="str">
        <f t="shared" si="23"/>
        <v>Sale</v>
      </c>
      <c r="L461" t="s">
        <v>27</v>
      </c>
    </row>
    <row r="462" spans="1:12" x14ac:dyDescent="0.25">
      <c r="A462">
        <v>5460</v>
      </c>
      <c r="B462">
        <v>1</v>
      </c>
      <c r="C462" s="5" t="str">
        <f>IFERROR(_xlfn.XLOOKUP(B462, Customers_raw!A:A, Customers_raw!B:B), "Unknown Customer")</f>
        <v>Christopher Jones</v>
      </c>
      <c r="D462" s="1">
        <v>45999</v>
      </c>
      <c r="E462" s="1" t="str">
        <f t="shared" si="21"/>
        <v>2025-12</v>
      </c>
      <c r="F462" t="s">
        <v>21</v>
      </c>
      <c r="G462" t="s">
        <v>17</v>
      </c>
      <c r="H462">
        <v>2</v>
      </c>
      <c r="I462" s="2">
        <v>60</v>
      </c>
      <c r="J462" s="2">
        <f t="shared" si="22"/>
        <v>120</v>
      </c>
      <c r="K462" s="2" t="str">
        <f t="shared" si="23"/>
        <v>Sale</v>
      </c>
      <c r="L462" t="s">
        <v>27</v>
      </c>
    </row>
    <row r="463" spans="1:12" x14ac:dyDescent="0.25">
      <c r="A463">
        <v>5461</v>
      </c>
      <c r="B463">
        <v>94</v>
      </c>
      <c r="C463" s="5" t="str">
        <f>IFERROR(_xlfn.XLOOKUP(B463, Customers_raw!A:A, Customers_raw!B:B), "Unknown Customer")</f>
        <v>Kenneth Jones</v>
      </c>
      <c r="D463" s="1">
        <v>46005</v>
      </c>
      <c r="E463" s="1" t="str">
        <f t="shared" si="21"/>
        <v>2025-12</v>
      </c>
      <c r="F463" t="s">
        <v>18</v>
      </c>
      <c r="G463" t="s">
        <v>6</v>
      </c>
      <c r="H463">
        <v>1</v>
      </c>
      <c r="I463" s="2">
        <v>89</v>
      </c>
      <c r="J463" s="2">
        <f t="shared" si="22"/>
        <v>89</v>
      </c>
      <c r="K463" s="2" t="str">
        <f t="shared" si="23"/>
        <v>Sale</v>
      </c>
      <c r="L463" t="s">
        <v>27</v>
      </c>
    </row>
    <row r="464" spans="1:12" x14ac:dyDescent="0.25">
      <c r="A464">
        <v>5462</v>
      </c>
      <c r="B464">
        <v>16</v>
      </c>
      <c r="C464" s="5" t="str">
        <f>IFERROR(_xlfn.XLOOKUP(B464, Customers_raw!A:A, Customers_raw!B:B), "Unknown Customer")</f>
        <v>Karen Perez</v>
      </c>
      <c r="D464" s="1">
        <v>45675</v>
      </c>
      <c r="E464" s="1" t="str">
        <f t="shared" si="21"/>
        <v>2025-01</v>
      </c>
      <c r="F464" t="s">
        <v>18</v>
      </c>
      <c r="G464" t="s">
        <v>6</v>
      </c>
      <c r="H464">
        <v>1</v>
      </c>
      <c r="I464" s="2">
        <v>89</v>
      </c>
      <c r="J464" s="2">
        <f t="shared" si="22"/>
        <v>89</v>
      </c>
      <c r="K464" s="2" t="str">
        <f t="shared" si="23"/>
        <v>Sale</v>
      </c>
      <c r="L464" t="s">
        <v>27</v>
      </c>
    </row>
    <row r="465" spans="1:12" x14ac:dyDescent="0.25">
      <c r="A465">
        <v>5463</v>
      </c>
      <c r="B465">
        <v>36</v>
      </c>
      <c r="C465" s="5" t="str">
        <f>IFERROR(_xlfn.XLOOKUP(B465, Customers_raw!A:A, Customers_raw!B:B), "Unknown Customer")</f>
        <v>Daniel Harris</v>
      </c>
      <c r="D465" s="1">
        <v>45749</v>
      </c>
      <c r="E465" s="1" t="str">
        <f t="shared" si="21"/>
        <v>2025-04</v>
      </c>
      <c r="F465" t="s">
        <v>19</v>
      </c>
      <c r="G465" t="s">
        <v>17</v>
      </c>
      <c r="H465">
        <v>2</v>
      </c>
      <c r="I465" s="2">
        <v>19</v>
      </c>
      <c r="J465" s="2">
        <f t="shared" si="22"/>
        <v>38</v>
      </c>
      <c r="K465" s="2" t="str">
        <f t="shared" si="23"/>
        <v>Sale</v>
      </c>
      <c r="L465" t="s">
        <v>8</v>
      </c>
    </row>
    <row r="466" spans="1:12" x14ac:dyDescent="0.25">
      <c r="A466">
        <v>5464</v>
      </c>
      <c r="B466">
        <v>47</v>
      </c>
      <c r="C466" s="5" t="str">
        <f>IFERROR(_xlfn.XLOOKUP(B466, Customers_raw!A:A, Customers_raw!B:B), "Unknown Customer")</f>
        <v>Christopher Rodriguez</v>
      </c>
      <c r="D466" s="1">
        <v>45949</v>
      </c>
      <c r="E466" s="1" t="str">
        <f t="shared" si="21"/>
        <v>2025-10</v>
      </c>
      <c r="F466" t="s">
        <v>22</v>
      </c>
      <c r="G466" t="s">
        <v>17</v>
      </c>
      <c r="H466">
        <v>1</v>
      </c>
      <c r="I466" s="2">
        <v>21</v>
      </c>
      <c r="J466" s="2">
        <f t="shared" si="22"/>
        <v>21</v>
      </c>
      <c r="K466" s="2" t="str">
        <f t="shared" si="23"/>
        <v>Sale</v>
      </c>
      <c r="L466" t="s">
        <v>8</v>
      </c>
    </row>
    <row r="467" spans="1:12" x14ac:dyDescent="0.25">
      <c r="A467">
        <v>5465</v>
      </c>
      <c r="B467">
        <v>108</v>
      </c>
      <c r="C467" s="5" t="str">
        <f>IFERROR(_xlfn.XLOOKUP(B467, Customers_raw!A:A, Customers_raw!B:B), "Unknown Customer")</f>
        <v>Charles Perez</v>
      </c>
      <c r="D467" s="1">
        <v>45769</v>
      </c>
      <c r="E467" s="1" t="str">
        <f t="shared" si="21"/>
        <v>2025-04</v>
      </c>
      <c r="F467" t="s">
        <v>11</v>
      </c>
      <c r="G467" t="s">
        <v>6</v>
      </c>
      <c r="H467">
        <v>2</v>
      </c>
      <c r="I467" s="2">
        <v>18</v>
      </c>
      <c r="J467" s="2">
        <f t="shared" si="22"/>
        <v>36</v>
      </c>
      <c r="K467" s="2" t="str">
        <f t="shared" si="23"/>
        <v>Sale</v>
      </c>
      <c r="L467" t="s">
        <v>27</v>
      </c>
    </row>
    <row r="468" spans="1:12" x14ac:dyDescent="0.25">
      <c r="A468">
        <v>5466</v>
      </c>
      <c r="B468">
        <v>8</v>
      </c>
      <c r="C468" s="5" t="str">
        <f>IFERROR(_xlfn.XLOOKUP(B468, Customers_raw!A:A, Customers_raw!B:B), "Unknown Customer")</f>
        <v>Lisa Brown</v>
      </c>
      <c r="D468" s="1">
        <v>45960</v>
      </c>
      <c r="E468" s="1" t="str">
        <f t="shared" si="21"/>
        <v>2025-10</v>
      </c>
      <c r="F468" t="s">
        <v>13</v>
      </c>
      <c r="G468" t="s">
        <v>7</v>
      </c>
      <c r="H468">
        <v>1</v>
      </c>
      <c r="I468" s="2">
        <v>35</v>
      </c>
      <c r="J468" s="2">
        <f t="shared" si="22"/>
        <v>35</v>
      </c>
      <c r="K468" s="2" t="str">
        <f t="shared" si="23"/>
        <v>Sale</v>
      </c>
      <c r="L468" t="s">
        <v>8</v>
      </c>
    </row>
    <row r="469" spans="1:12" x14ac:dyDescent="0.25">
      <c r="A469">
        <v>5467</v>
      </c>
      <c r="B469">
        <v>29</v>
      </c>
      <c r="C469" s="5" t="str">
        <f>IFERROR(_xlfn.XLOOKUP(B469, Customers_raw!A:A, Customers_raw!B:B), "Unknown Customer")</f>
        <v>Thomas Lopez</v>
      </c>
      <c r="D469" s="1">
        <v>45980</v>
      </c>
      <c r="E469" s="1" t="str">
        <f t="shared" si="21"/>
        <v>2025-11</v>
      </c>
      <c r="F469" t="s">
        <v>18</v>
      </c>
      <c r="G469" t="s">
        <v>6</v>
      </c>
      <c r="H469">
        <v>1</v>
      </c>
      <c r="I469" s="2">
        <v>92</v>
      </c>
      <c r="J469" s="2">
        <f t="shared" si="22"/>
        <v>92</v>
      </c>
      <c r="K469" s="2" t="str">
        <f t="shared" si="23"/>
        <v>Sale</v>
      </c>
      <c r="L469" t="s">
        <v>27</v>
      </c>
    </row>
    <row r="470" spans="1:12" x14ac:dyDescent="0.25">
      <c r="A470">
        <v>5468</v>
      </c>
      <c r="B470">
        <v>72</v>
      </c>
      <c r="C470" s="5" t="str">
        <f>IFERROR(_xlfn.XLOOKUP(B470, Customers_raw!A:A, Customers_raw!B:B), "Unknown Customer")</f>
        <v>Steven Jackson</v>
      </c>
      <c r="D470" s="1">
        <v>45802</v>
      </c>
      <c r="E470" s="1" t="str">
        <f t="shared" si="21"/>
        <v>2025-05</v>
      </c>
      <c r="F470" t="s">
        <v>9</v>
      </c>
      <c r="G470" t="s">
        <v>6</v>
      </c>
      <c r="H470">
        <v>1</v>
      </c>
      <c r="I470" s="2">
        <v>45</v>
      </c>
      <c r="J470" s="2">
        <f t="shared" si="22"/>
        <v>45</v>
      </c>
      <c r="K470" s="2" t="str">
        <f t="shared" si="23"/>
        <v>Sale</v>
      </c>
      <c r="L470" t="s">
        <v>8</v>
      </c>
    </row>
    <row r="471" spans="1:12" x14ac:dyDescent="0.25">
      <c r="A471">
        <v>5469</v>
      </c>
      <c r="B471">
        <v>48</v>
      </c>
      <c r="C471" s="5" t="str">
        <f>IFERROR(_xlfn.XLOOKUP(B471, Customers_raw!A:A, Customers_raw!B:B), "Unknown Customer")</f>
        <v>Sandra Thompson</v>
      </c>
      <c r="D471" s="1">
        <v>45980</v>
      </c>
      <c r="E471" s="1" t="str">
        <f t="shared" si="21"/>
        <v>2025-11</v>
      </c>
      <c r="F471" t="s">
        <v>12</v>
      </c>
      <c r="G471" t="s">
        <v>10</v>
      </c>
      <c r="H471">
        <v>3</v>
      </c>
      <c r="I471" s="2">
        <v>19</v>
      </c>
      <c r="J471" s="2">
        <f t="shared" si="22"/>
        <v>57</v>
      </c>
      <c r="K471" s="2" t="str">
        <f t="shared" si="23"/>
        <v>Sale</v>
      </c>
      <c r="L471" t="s">
        <v>8</v>
      </c>
    </row>
    <row r="472" spans="1:12" x14ac:dyDescent="0.25">
      <c r="A472">
        <v>5470</v>
      </c>
      <c r="B472">
        <v>50</v>
      </c>
      <c r="C472" s="5" t="str">
        <f>IFERROR(_xlfn.XLOOKUP(B472, Customers_raw!A:A, Customers_raw!B:B), "Unknown Customer")</f>
        <v>Elizabeth Garcia</v>
      </c>
      <c r="D472" s="1">
        <v>45959</v>
      </c>
      <c r="E472" s="1" t="str">
        <f t="shared" si="21"/>
        <v>2025-10</v>
      </c>
      <c r="F472" t="s">
        <v>15</v>
      </c>
      <c r="G472" t="s">
        <v>7</v>
      </c>
      <c r="H472">
        <v>1</v>
      </c>
      <c r="I472" s="2">
        <v>67</v>
      </c>
      <c r="J472" s="2">
        <f t="shared" si="22"/>
        <v>67</v>
      </c>
      <c r="K472" s="2" t="str">
        <f t="shared" si="23"/>
        <v>Sale</v>
      </c>
      <c r="L472" t="s">
        <v>5</v>
      </c>
    </row>
    <row r="473" spans="1:12" x14ac:dyDescent="0.25">
      <c r="A473">
        <v>5471</v>
      </c>
      <c r="B473">
        <v>33</v>
      </c>
      <c r="C473" s="5" t="str">
        <f>IFERROR(_xlfn.XLOOKUP(B473, Customers_raw!A:A, Customers_raw!B:B), "Unknown Customer")</f>
        <v>Jennifer White</v>
      </c>
      <c r="D473" s="1">
        <v>45986</v>
      </c>
      <c r="E473" s="1" t="str">
        <f t="shared" si="21"/>
        <v>2025-11</v>
      </c>
      <c r="F473" t="s">
        <v>12</v>
      </c>
      <c r="G473" t="s">
        <v>10</v>
      </c>
      <c r="H473">
        <v>2</v>
      </c>
      <c r="I473" s="2">
        <v>22</v>
      </c>
      <c r="J473" s="2">
        <f t="shared" si="22"/>
        <v>44</v>
      </c>
      <c r="K473" s="2" t="str">
        <f t="shared" si="23"/>
        <v>Sale</v>
      </c>
      <c r="L473" t="s">
        <v>5</v>
      </c>
    </row>
    <row r="474" spans="1:12" x14ac:dyDescent="0.25">
      <c r="A474">
        <v>5472</v>
      </c>
      <c r="B474">
        <v>57</v>
      </c>
      <c r="C474" s="5" t="str">
        <f>IFERROR(_xlfn.XLOOKUP(B474, Customers_raw!A:A, Customers_raw!B:B), "Unknown Customer")</f>
        <v>Karen Clark</v>
      </c>
      <c r="D474" s="1">
        <v>45974</v>
      </c>
      <c r="E474" s="1" t="str">
        <f t="shared" si="21"/>
        <v>2025-11</v>
      </c>
      <c r="F474" t="s">
        <v>19</v>
      </c>
      <c r="G474" t="s">
        <v>17</v>
      </c>
      <c r="H474">
        <v>1</v>
      </c>
      <c r="I474" s="2">
        <v>19</v>
      </c>
      <c r="J474" s="2">
        <f t="shared" si="22"/>
        <v>19</v>
      </c>
      <c r="K474" s="2" t="str">
        <f t="shared" si="23"/>
        <v>Sale</v>
      </c>
      <c r="L474" t="s">
        <v>8</v>
      </c>
    </row>
    <row r="475" spans="1:12" x14ac:dyDescent="0.25">
      <c r="A475">
        <v>5473</v>
      </c>
      <c r="B475">
        <v>52</v>
      </c>
      <c r="C475" s="5" t="str">
        <f>IFERROR(_xlfn.XLOOKUP(B475, Customers_raw!A:A, Customers_raw!B:B), "Unknown Customer")</f>
        <v>Sarah Johnson</v>
      </c>
      <c r="D475" s="1">
        <v>45802</v>
      </c>
      <c r="E475" s="1" t="str">
        <f t="shared" si="21"/>
        <v>2025-05</v>
      </c>
      <c r="F475" t="s">
        <v>20</v>
      </c>
      <c r="G475" t="s">
        <v>10</v>
      </c>
      <c r="H475">
        <v>1</v>
      </c>
      <c r="I475" s="2">
        <v>68</v>
      </c>
      <c r="J475" s="2">
        <f t="shared" si="22"/>
        <v>68</v>
      </c>
      <c r="K475" s="2" t="str">
        <f t="shared" si="23"/>
        <v>Sale</v>
      </c>
      <c r="L475" t="s">
        <v>27</v>
      </c>
    </row>
    <row r="476" spans="1:12" x14ac:dyDescent="0.25">
      <c r="A476">
        <v>5474</v>
      </c>
      <c r="B476">
        <v>102</v>
      </c>
      <c r="C476" s="5" t="str">
        <f>IFERROR(_xlfn.XLOOKUP(B476, Customers_raw!A:A, Customers_raw!B:B), "Unknown Customer")</f>
        <v>Ashley Wilson</v>
      </c>
      <c r="D476" s="1">
        <v>45965</v>
      </c>
      <c r="E476" s="1" t="str">
        <f t="shared" si="21"/>
        <v>2025-11</v>
      </c>
      <c r="F476" t="s">
        <v>19</v>
      </c>
      <c r="G476" t="s">
        <v>17</v>
      </c>
      <c r="H476">
        <v>1</v>
      </c>
      <c r="I476" s="2">
        <v>22</v>
      </c>
      <c r="J476" s="2">
        <f t="shared" si="22"/>
        <v>22</v>
      </c>
      <c r="K476" s="2" t="str">
        <f t="shared" si="23"/>
        <v>Sale</v>
      </c>
      <c r="L476" t="s">
        <v>5</v>
      </c>
    </row>
    <row r="477" spans="1:12" x14ac:dyDescent="0.25">
      <c r="A477">
        <v>5475</v>
      </c>
      <c r="B477">
        <v>101</v>
      </c>
      <c r="C477" s="5" t="str">
        <f>IFERROR(_xlfn.XLOOKUP(B477, Customers_raw!A:A, Customers_raw!B:B), "Unknown Customer")</f>
        <v>David Lee</v>
      </c>
      <c r="D477" s="1">
        <v>45971</v>
      </c>
      <c r="E477" s="1" t="str">
        <f t="shared" si="21"/>
        <v>2025-11</v>
      </c>
      <c r="F477" t="s">
        <v>16</v>
      </c>
      <c r="G477" t="s">
        <v>10</v>
      </c>
      <c r="H477">
        <v>1</v>
      </c>
      <c r="I477" s="2">
        <v>28</v>
      </c>
      <c r="J477" s="2">
        <f t="shared" si="22"/>
        <v>28</v>
      </c>
      <c r="K477" s="2" t="str">
        <f t="shared" si="23"/>
        <v>Sale</v>
      </c>
      <c r="L477" t="s">
        <v>8</v>
      </c>
    </row>
    <row r="478" spans="1:12" x14ac:dyDescent="0.25">
      <c r="A478">
        <v>5476</v>
      </c>
      <c r="B478">
        <v>107</v>
      </c>
      <c r="C478" s="5" t="str">
        <f>IFERROR(_xlfn.XLOOKUP(B478, Customers_raw!A:A, Customers_raw!B:B), "Unknown Customer")</f>
        <v>Lisa Walker</v>
      </c>
      <c r="D478" s="1">
        <v>45980</v>
      </c>
      <c r="E478" s="1" t="str">
        <f t="shared" si="21"/>
        <v>2025-11</v>
      </c>
      <c r="F478" t="s">
        <v>22</v>
      </c>
      <c r="G478" t="s">
        <v>17</v>
      </c>
      <c r="H478">
        <v>2</v>
      </c>
      <c r="I478" s="2">
        <v>24</v>
      </c>
      <c r="J478" s="2">
        <f t="shared" si="22"/>
        <v>48</v>
      </c>
      <c r="K478" s="2" t="str">
        <f t="shared" si="23"/>
        <v>Sale</v>
      </c>
      <c r="L478" t="s">
        <v>27</v>
      </c>
    </row>
    <row r="479" spans="1:12" x14ac:dyDescent="0.25">
      <c r="A479">
        <v>5477</v>
      </c>
      <c r="B479">
        <v>81</v>
      </c>
      <c r="C479" s="5" t="str">
        <f>IFERROR(_xlfn.XLOOKUP(B479, Customers_raw!A:A, Customers_raw!B:B), "Unknown Customer")</f>
        <v>Sarah Moore</v>
      </c>
      <c r="D479" s="1">
        <v>45664</v>
      </c>
      <c r="E479" s="1" t="str">
        <f t="shared" si="21"/>
        <v>2025-01</v>
      </c>
      <c r="F479" t="s">
        <v>11</v>
      </c>
      <c r="G479" t="s">
        <v>6</v>
      </c>
      <c r="H479">
        <v>1</v>
      </c>
      <c r="I479" s="2">
        <v>15</v>
      </c>
      <c r="J479" s="2">
        <f t="shared" si="22"/>
        <v>15</v>
      </c>
      <c r="K479" s="2" t="str">
        <f t="shared" si="23"/>
        <v>Sale</v>
      </c>
      <c r="L479" t="s">
        <v>5</v>
      </c>
    </row>
    <row r="480" spans="1:12" x14ac:dyDescent="0.25">
      <c r="A480">
        <v>5478</v>
      </c>
      <c r="B480">
        <v>46</v>
      </c>
      <c r="C480" s="5" t="str">
        <f>IFERROR(_xlfn.XLOOKUP(B480, Customers_raw!A:A, Customers_raw!B:B), "Unknown Customer")</f>
        <v>Mary Rodriguez</v>
      </c>
      <c r="D480" s="1">
        <v>45673</v>
      </c>
      <c r="E480" s="1" t="str">
        <f t="shared" si="21"/>
        <v>2025-01</v>
      </c>
      <c r="F480" t="s">
        <v>14</v>
      </c>
      <c r="G480" t="s">
        <v>7</v>
      </c>
      <c r="H480">
        <v>1</v>
      </c>
      <c r="I480" s="2">
        <v>55</v>
      </c>
      <c r="J480" s="2">
        <f t="shared" si="22"/>
        <v>55</v>
      </c>
      <c r="K480" s="2" t="str">
        <f t="shared" si="23"/>
        <v>Sale</v>
      </c>
      <c r="L480" t="s">
        <v>5</v>
      </c>
    </row>
    <row r="481" spans="1:12" x14ac:dyDescent="0.25">
      <c r="A481">
        <v>5479</v>
      </c>
      <c r="B481">
        <v>100</v>
      </c>
      <c r="C481" s="5" t="str">
        <f>IFERROR(_xlfn.XLOOKUP(B481, Customers_raw!A:A, Customers_raw!B:B), "Unknown Customer")</f>
        <v>Susan Williams</v>
      </c>
      <c r="D481" s="1">
        <v>45906</v>
      </c>
      <c r="E481" s="1" t="str">
        <f t="shared" si="21"/>
        <v>2025-09</v>
      </c>
      <c r="F481" t="s">
        <v>13</v>
      </c>
      <c r="G481" t="s">
        <v>7</v>
      </c>
      <c r="H481">
        <v>1</v>
      </c>
      <c r="I481" s="2">
        <v>32</v>
      </c>
      <c r="J481" s="2">
        <f t="shared" si="22"/>
        <v>32</v>
      </c>
      <c r="K481" s="2" t="str">
        <f t="shared" si="23"/>
        <v>Sale</v>
      </c>
      <c r="L481" t="s">
        <v>8</v>
      </c>
    </row>
    <row r="482" spans="1:12" x14ac:dyDescent="0.25">
      <c r="A482">
        <v>5480</v>
      </c>
      <c r="B482">
        <v>68</v>
      </c>
      <c r="C482" s="5" t="str">
        <f>IFERROR(_xlfn.XLOOKUP(B482, Customers_raw!A:A, Customers_raw!B:B), "Unknown Customer")</f>
        <v>James Hernandez</v>
      </c>
      <c r="D482" s="1">
        <v>45905</v>
      </c>
      <c r="E482" s="1" t="str">
        <f t="shared" si="21"/>
        <v>2025-09</v>
      </c>
      <c r="F482" t="s">
        <v>21</v>
      </c>
      <c r="G482" t="s">
        <v>17</v>
      </c>
      <c r="H482">
        <v>1</v>
      </c>
      <c r="I482" s="2">
        <v>59.846153846153847</v>
      </c>
      <c r="J482" s="2">
        <f t="shared" si="22"/>
        <v>59.846153846153847</v>
      </c>
      <c r="K482" s="2" t="str">
        <f t="shared" si="23"/>
        <v>Sale</v>
      </c>
      <c r="L482" t="s">
        <v>27</v>
      </c>
    </row>
    <row r="483" spans="1:12" x14ac:dyDescent="0.25">
      <c r="A483">
        <v>5481</v>
      </c>
      <c r="B483">
        <v>91</v>
      </c>
      <c r="C483" s="5" t="str">
        <f>IFERROR(_xlfn.XLOOKUP(B483, Customers_raw!A:A, Customers_raw!B:B), "Unknown Customer")</f>
        <v>Donald Rodriguez</v>
      </c>
      <c r="D483" s="1">
        <v>45923</v>
      </c>
      <c r="E483" s="1" t="str">
        <f t="shared" si="21"/>
        <v>2025-09</v>
      </c>
      <c r="F483" t="s">
        <v>18</v>
      </c>
      <c r="G483" t="s">
        <v>6</v>
      </c>
      <c r="H483">
        <v>3</v>
      </c>
      <c r="I483" s="2">
        <v>89</v>
      </c>
      <c r="J483" s="2">
        <f t="shared" si="22"/>
        <v>267</v>
      </c>
      <c r="K483" s="2" t="str">
        <f t="shared" si="23"/>
        <v>Sale</v>
      </c>
      <c r="L483" t="s">
        <v>27</v>
      </c>
    </row>
    <row r="484" spans="1:12" x14ac:dyDescent="0.25">
      <c r="A484">
        <v>5482</v>
      </c>
      <c r="B484">
        <v>18</v>
      </c>
      <c r="C484" s="5" t="str">
        <f>IFERROR(_xlfn.XLOOKUP(B484, Customers_raw!A:A, Customers_raw!B:B), "Unknown Customer")</f>
        <v>Susan Sanchez</v>
      </c>
      <c r="D484" s="1">
        <v>45714</v>
      </c>
      <c r="E484" s="1" t="str">
        <f t="shared" si="21"/>
        <v>2025-02</v>
      </c>
      <c r="F484" t="s">
        <v>16</v>
      </c>
      <c r="G484" t="s">
        <v>10</v>
      </c>
      <c r="H484">
        <v>3</v>
      </c>
      <c r="I484" s="2">
        <v>31</v>
      </c>
      <c r="J484" s="2">
        <f t="shared" si="22"/>
        <v>93</v>
      </c>
      <c r="K484" s="2" t="str">
        <f t="shared" si="23"/>
        <v>Sale</v>
      </c>
      <c r="L484" t="s">
        <v>8</v>
      </c>
    </row>
    <row r="485" spans="1:12" x14ac:dyDescent="0.25">
      <c r="A485">
        <v>5483</v>
      </c>
      <c r="B485">
        <v>2</v>
      </c>
      <c r="C485" s="5" t="str">
        <f>IFERROR(_xlfn.XLOOKUP(B485, Customers_raw!A:A, Customers_raw!B:B), "Unknown Customer")</f>
        <v>Michael Lopez</v>
      </c>
      <c r="D485" s="1">
        <v>45895</v>
      </c>
      <c r="E485" s="1" t="str">
        <f t="shared" si="21"/>
        <v>2025-08</v>
      </c>
      <c r="F485" t="s">
        <v>12</v>
      </c>
      <c r="G485" t="s">
        <v>10</v>
      </c>
      <c r="H485">
        <v>1</v>
      </c>
      <c r="I485" s="2">
        <v>25</v>
      </c>
      <c r="J485" s="2">
        <f t="shared" si="22"/>
        <v>25</v>
      </c>
      <c r="K485" s="2" t="str">
        <f t="shared" si="23"/>
        <v>Sale</v>
      </c>
      <c r="L485" t="s">
        <v>5</v>
      </c>
    </row>
    <row r="486" spans="1:12" x14ac:dyDescent="0.25">
      <c r="A486">
        <v>5484</v>
      </c>
      <c r="B486">
        <v>44</v>
      </c>
      <c r="C486" s="5" t="str">
        <f>IFERROR(_xlfn.XLOOKUP(B486, Customers_raw!A:A, Customers_raw!B:B), "Unknown Customer")</f>
        <v>Emily Jackson</v>
      </c>
      <c r="D486" s="1">
        <v>45944</v>
      </c>
      <c r="E486" s="1" t="str">
        <f t="shared" si="21"/>
        <v>2025-10</v>
      </c>
      <c r="F486" t="s">
        <v>21</v>
      </c>
      <c r="G486" t="s">
        <v>17</v>
      </c>
      <c r="H486">
        <v>1</v>
      </c>
      <c r="I486" s="2">
        <v>60</v>
      </c>
      <c r="J486" s="2">
        <f t="shared" si="22"/>
        <v>60</v>
      </c>
      <c r="K486" s="2" t="str">
        <f t="shared" si="23"/>
        <v>Sale</v>
      </c>
      <c r="L486" t="s">
        <v>27</v>
      </c>
    </row>
    <row r="487" spans="1:12" x14ac:dyDescent="0.25">
      <c r="A487">
        <v>5485</v>
      </c>
      <c r="B487">
        <v>46</v>
      </c>
      <c r="C487" s="5" t="str">
        <f>IFERROR(_xlfn.XLOOKUP(B487, Customers_raw!A:A, Customers_raw!B:B), "Unknown Customer")</f>
        <v>Mary Rodriguez</v>
      </c>
      <c r="D487" s="1">
        <v>45711</v>
      </c>
      <c r="E487" s="1" t="str">
        <f t="shared" si="21"/>
        <v>2025-02</v>
      </c>
      <c r="F487" t="s">
        <v>14</v>
      </c>
      <c r="G487" t="s">
        <v>7</v>
      </c>
      <c r="H487">
        <v>2</v>
      </c>
      <c r="I487" s="2">
        <v>55</v>
      </c>
      <c r="J487" s="2">
        <f t="shared" si="22"/>
        <v>110</v>
      </c>
      <c r="K487" s="2" t="str">
        <f t="shared" si="23"/>
        <v>Sale</v>
      </c>
      <c r="L487" t="s">
        <v>8</v>
      </c>
    </row>
    <row r="488" spans="1:12" x14ac:dyDescent="0.25">
      <c r="A488">
        <v>5486</v>
      </c>
      <c r="B488">
        <v>74</v>
      </c>
      <c r="C488" s="5" t="str">
        <f>IFERROR(_xlfn.XLOOKUP(B488, Customers_raw!A:A, Customers_raw!B:B), "Unknown Customer")</f>
        <v>Betty Moore</v>
      </c>
      <c r="D488" s="1">
        <v>45983</v>
      </c>
      <c r="E488" s="1" t="str">
        <f t="shared" si="21"/>
        <v>2025-11</v>
      </c>
      <c r="F488" t="s">
        <v>21</v>
      </c>
      <c r="G488" t="s">
        <v>17</v>
      </c>
      <c r="H488">
        <v>1</v>
      </c>
      <c r="I488" s="2">
        <v>63</v>
      </c>
      <c r="J488" s="2">
        <f t="shared" si="22"/>
        <v>63</v>
      </c>
      <c r="K488" s="2" t="str">
        <f t="shared" si="23"/>
        <v>Sale</v>
      </c>
      <c r="L488" t="s">
        <v>8</v>
      </c>
    </row>
    <row r="489" spans="1:12" x14ac:dyDescent="0.25">
      <c r="A489">
        <v>5487</v>
      </c>
      <c r="B489">
        <v>22</v>
      </c>
      <c r="C489" s="5" t="str">
        <f>IFERROR(_xlfn.XLOOKUP(B489, Customers_raw!A:A, Customers_raw!B:B), "Unknown Customer")</f>
        <v>Joseph Thompson</v>
      </c>
      <c r="D489" s="1">
        <v>45991</v>
      </c>
      <c r="E489" s="1" t="str">
        <f t="shared" si="21"/>
        <v>2025-11</v>
      </c>
      <c r="F489" t="s">
        <v>14</v>
      </c>
      <c r="G489" t="s">
        <v>7</v>
      </c>
      <c r="H489">
        <v>3</v>
      </c>
      <c r="I489" s="2">
        <v>55</v>
      </c>
      <c r="J489" s="2">
        <f t="shared" si="22"/>
        <v>165</v>
      </c>
      <c r="K489" s="2" t="str">
        <f t="shared" si="23"/>
        <v>Sale</v>
      </c>
      <c r="L489" t="s">
        <v>27</v>
      </c>
    </row>
    <row r="490" spans="1:12" x14ac:dyDescent="0.25">
      <c r="A490">
        <v>5488</v>
      </c>
      <c r="B490">
        <v>19</v>
      </c>
      <c r="C490" s="5" t="str">
        <f>IFERROR(_xlfn.XLOOKUP(B490, Customers_raw!A:A, Customers_raw!B:B), "Unknown Customer")</f>
        <v>Ashley Williams</v>
      </c>
      <c r="D490" s="1">
        <v>46000</v>
      </c>
      <c r="E490" s="1" t="str">
        <f t="shared" si="21"/>
        <v>2025-12</v>
      </c>
      <c r="F490" t="s">
        <v>12</v>
      </c>
      <c r="G490" t="s">
        <v>10</v>
      </c>
      <c r="H490">
        <v>1</v>
      </c>
      <c r="I490" s="2">
        <v>22</v>
      </c>
      <c r="J490" s="2">
        <f t="shared" si="22"/>
        <v>22</v>
      </c>
      <c r="K490" s="2" t="str">
        <f t="shared" si="23"/>
        <v>Sale</v>
      </c>
      <c r="L490" t="s">
        <v>8</v>
      </c>
    </row>
    <row r="491" spans="1:12" x14ac:dyDescent="0.25">
      <c r="A491">
        <v>5489</v>
      </c>
      <c r="B491">
        <v>73</v>
      </c>
      <c r="C491" s="5" t="str">
        <f>IFERROR(_xlfn.XLOOKUP(B491, Customers_raw!A:A, Customers_raw!B:B), "Unknown Customer")</f>
        <v>Michael Thompson</v>
      </c>
      <c r="D491" s="1">
        <v>45772</v>
      </c>
      <c r="E491" s="1" t="str">
        <f t="shared" si="21"/>
        <v>2025-04</v>
      </c>
      <c r="F491" t="s">
        <v>19</v>
      </c>
      <c r="G491" t="s">
        <v>17</v>
      </c>
      <c r="H491">
        <v>1</v>
      </c>
      <c r="I491" s="2">
        <v>16</v>
      </c>
      <c r="J491" s="2">
        <f t="shared" si="22"/>
        <v>16</v>
      </c>
      <c r="K491" s="2" t="str">
        <f t="shared" si="23"/>
        <v>Sale</v>
      </c>
      <c r="L491" t="s">
        <v>8</v>
      </c>
    </row>
    <row r="492" spans="1:12" x14ac:dyDescent="0.25">
      <c r="A492">
        <v>5490</v>
      </c>
      <c r="B492">
        <v>60</v>
      </c>
      <c r="C492" s="5" t="str">
        <f>IFERROR(_xlfn.XLOOKUP(B492, Customers_raw!A:A, Customers_raw!B:B), "Unknown Customer")</f>
        <v>Margaret Moore</v>
      </c>
      <c r="D492" s="1">
        <v>45863</v>
      </c>
      <c r="E492" s="1" t="str">
        <f t="shared" si="21"/>
        <v>2025-07</v>
      </c>
      <c r="F492" t="s">
        <v>16</v>
      </c>
      <c r="G492" t="s">
        <v>10</v>
      </c>
      <c r="H492">
        <v>1</v>
      </c>
      <c r="I492" s="2">
        <v>25</v>
      </c>
      <c r="J492" s="2">
        <f t="shared" si="22"/>
        <v>25</v>
      </c>
      <c r="K492" s="2" t="str">
        <f t="shared" si="23"/>
        <v>Sale</v>
      </c>
      <c r="L492" t="s">
        <v>5</v>
      </c>
    </row>
    <row r="493" spans="1:12" x14ac:dyDescent="0.25">
      <c r="A493">
        <v>5491</v>
      </c>
      <c r="B493">
        <v>6</v>
      </c>
      <c r="C493" s="5" t="str">
        <f>IFERROR(_xlfn.XLOOKUP(B493, Customers_raw!A:A, Customers_raw!B:B), "Unknown Customer")</f>
        <v>David Martinez</v>
      </c>
      <c r="D493" s="1">
        <v>45897</v>
      </c>
      <c r="E493" s="1" t="str">
        <f t="shared" si="21"/>
        <v>2025-08</v>
      </c>
      <c r="F493" t="s">
        <v>20</v>
      </c>
      <c r="G493" t="s">
        <v>10</v>
      </c>
      <c r="H493">
        <v>2</v>
      </c>
      <c r="I493" s="2">
        <v>65.099999999999994</v>
      </c>
      <c r="J493" s="2">
        <f t="shared" si="22"/>
        <v>130.19999999999999</v>
      </c>
      <c r="K493" s="2" t="str">
        <f t="shared" si="23"/>
        <v>Sale</v>
      </c>
      <c r="L493" t="s">
        <v>27</v>
      </c>
    </row>
    <row r="494" spans="1:12" x14ac:dyDescent="0.25">
      <c r="A494">
        <v>5492</v>
      </c>
      <c r="B494">
        <v>19</v>
      </c>
      <c r="C494" s="5" t="str">
        <f>IFERROR(_xlfn.XLOOKUP(B494, Customers_raw!A:A, Customers_raw!B:B), "Unknown Customer")</f>
        <v>Ashley Williams</v>
      </c>
      <c r="D494" s="1">
        <v>45741</v>
      </c>
      <c r="E494" s="1" t="str">
        <f t="shared" si="21"/>
        <v>2025-03</v>
      </c>
      <c r="F494" t="s">
        <v>15</v>
      </c>
      <c r="G494" t="s">
        <v>7</v>
      </c>
      <c r="H494">
        <v>1</v>
      </c>
      <c r="I494" s="2">
        <v>73</v>
      </c>
      <c r="J494" s="2">
        <f t="shared" si="22"/>
        <v>73</v>
      </c>
      <c r="K494" s="2" t="str">
        <f t="shared" si="23"/>
        <v>Sale</v>
      </c>
      <c r="L494" t="s">
        <v>8</v>
      </c>
    </row>
    <row r="495" spans="1:12" x14ac:dyDescent="0.25">
      <c r="A495">
        <v>5493</v>
      </c>
      <c r="B495">
        <v>109</v>
      </c>
      <c r="C495" s="5" t="str">
        <f>IFERROR(_xlfn.XLOOKUP(B495, Customers_raw!A:A, Customers_raw!B:B), "Unknown Customer")</f>
        <v>Richard Sanchez</v>
      </c>
      <c r="D495" s="1">
        <v>45942</v>
      </c>
      <c r="E495" s="1" t="str">
        <f t="shared" si="21"/>
        <v>2025-10</v>
      </c>
      <c r="F495" t="s">
        <v>16</v>
      </c>
      <c r="G495" t="s">
        <v>10</v>
      </c>
      <c r="H495">
        <v>2</v>
      </c>
      <c r="I495" s="2">
        <v>31</v>
      </c>
      <c r="J495" s="2">
        <f t="shared" si="22"/>
        <v>62</v>
      </c>
      <c r="K495" s="2" t="str">
        <f t="shared" si="23"/>
        <v>Sale</v>
      </c>
      <c r="L495" t="s">
        <v>5</v>
      </c>
    </row>
    <row r="496" spans="1:12" x14ac:dyDescent="0.25">
      <c r="A496">
        <v>5494</v>
      </c>
      <c r="B496">
        <v>7</v>
      </c>
      <c r="C496" s="5" t="str">
        <f>IFERROR(_xlfn.XLOOKUP(B496, Customers_raw!A:A, Customers_raw!B:B), "Unknown Customer")</f>
        <v>Emily Ramirez</v>
      </c>
      <c r="D496" s="1">
        <v>45848</v>
      </c>
      <c r="E496" s="1" t="str">
        <f t="shared" si="21"/>
        <v>2025-07</v>
      </c>
      <c r="F496" t="s">
        <v>22</v>
      </c>
      <c r="G496" t="s">
        <v>17</v>
      </c>
      <c r="H496">
        <v>2</v>
      </c>
      <c r="I496" s="2">
        <v>24</v>
      </c>
      <c r="J496" s="2">
        <f t="shared" si="22"/>
        <v>48</v>
      </c>
      <c r="K496" s="2" t="str">
        <f t="shared" si="23"/>
        <v>Sale</v>
      </c>
      <c r="L496" t="s">
        <v>27</v>
      </c>
    </row>
    <row r="497" spans="1:12" x14ac:dyDescent="0.25">
      <c r="A497">
        <v>5495</v>
      </c>
      <c r="B497">
        <v>96</v>
      </c>
      <c r="C497" s="5" t="str">
        <f>IFERROR(_xlfn.XLOOKUP(B497, Customers_raw!A:A, Customers_raw!B:B), "Unknown Customer")</f>
        <v>Michael White</v>
      </c>
      <c r="D497" s="1">
        <v>45670</v>
      </c>
      <c r="E497" s="1" t="str">
        <f t="shared" si="21"/>
        <v>2025-01</v>
      </c>
      <c r="F497" t="s">
        <v>9</v>
      </c>
      <c r="G497" t="s">
        <v>6</v>
      </c>
      <c r="H497">
        <v>-2</v>
      </c>
      <c r="I497" s="2">
        <v>45</v>
      </c>
      <c r="J497" s="2">
        <f t="shared" si="22"/>
        <v>-90</v>
      </c>
      <c r="K497" s="2" t="str">
        <f t="shared" si="23"/>
        <v>Return</v>
      </c>
      <c r="L497" t="s">
        <v>5</v>
      </c>
    </row>
    <row r="498" spans="1:12" x14ac:dyDescent="0.25">
      <c r="A498">
        <v>5496</v>
      </c>
      <c r="B498">
        <v>84</v>
      </c>
      <c r="C498" s="5" t="str">
        <f>IFERROR(_xlfn.XLOOKUP(B498, Customers_raw!A:A, Customers_raw!B:B), "Unknown Customer")</f>
        <v>Kimberly Lewis</v>
      </c>
      <c r="D498" s="1">
        <v>45764</v>
      </c>
      <c r="E498" s="1" t="str">
        <f t="shared" si="21"/>
        <v>2025-04</v>
      </c>
      <c r="F498" t="s">
        <v>19</v>
      </c>
      <c r="G498" t="s">
        <v>17</v>
      </c>
      <c r="H498">
        <v>1</v>
      </c>
      <c r="I498" s="2">
        <v>22</v>
      </c>
      <c r="J498" s="2">
        <f t="shared" si="22"/>
        <v>22</v>
      </c>
      <c r="K498" s="2" t="str">
        <f t="shared" si="23"/>
        <v>Sale</v>
      </c>
      <c r="L498" t="s">
        <v>5</v>
      </c>
    </row>
    <row r="499" spans="1:12" x14ac:dyDescent="0.25">
      <c r="A499">
        <v>5497</v>
      </c>
      <c r="B499">
        <v>13</v>
      </c>
      <c r="C499" s="5" t="str">
        <f>IFERROR(_xlfn.XLOOKUP(B499, Customers_raw!A:A, Customers_raw!B:B), "Unknown Customer")</f>
        <v>Anthony Johnson</v>
      </c>
      <c r="D499" s="1">
        <v>45780</v>
      </c>
      <c r="E499" s="1" t="str">
        <f t="shared" si="21"/>
        <v>2025-05</v>
      </c>
      <c r="F499" t="s">
        <v>12</v>
      </c>
      <c r="G499" t="s">
        <v>10</v>
      </c>
      <c r="H499">
        <v>1</v>
      </c>
      <c r="I499" s="2">
        <v>22</v>
      </c>
      <c r="J499" s="2">
        <f t="shared" si="22"/>
        <v>22</v>
      </c>
      <c r="K499" s="2" t="str">
        <f t="shared" si="23"/>
        <v>Sale</v>
      </c>
      <c r="L499" t="s">
        <v>5</v>
      </c>
    </row>
    <row r="500" spans="1:12" x14ac:dyDescent="0.25">
      <c r="A500">
        <v>5498</v>
      </c>
      <c r="B500">
        <v>98</v>
      </c>
      <c r="C500" s="5" t="str">
        <f>IFERROR(_xlfn.XLOOKUP(B500, Customers_raw!A:A, Customers_raw!B:B), "Unknown Customer")</f>
        <v>Karen Williams</v>
      </c>
      <c r="D500" s="1">
        <v>45733</v>
      </c>
      <c r="E500" s="1" t="str">
        <f t="shared" si="21"/>
        <v>2025-03</v>
      </c>
      <c r="F500" t="s">
        <v>18</v>
      </c>
      <c r="G500" t="s">
        <v>6</v>
      </c>
      <c r="H500">
        <v>2</v>
      </c>
      <c r="I500" s="2">
        <v>92</v>
      </c>
      <c r="J500" s="2">
        <f t="shared" si="22"/>
        <v>184</v>
      </c>
      <c r="K500" s="2" t="str">
        <f t="shared" si="23"/>
        <v>Sale</v>
      </c>
      <c r="L500" t="s">
        <v>8</v>
      </c>
    </row>
    <row r="501" spans="1:12" x14ac:dyDescent="0.25">
      <c r="A501">
        <v>5499</v>
      </c>
      <c r="B501">
        <v>11</v>
      </c>
      <c r="C501" s="5" t="str">
        <f>IFERROR(_xlfn.XLOOKUP(B501, Customers_raw!A:A, Customers_raw!B:B), "Unknown Customer")</f>
        <v>Ashley Robinson</v>
      </c>
      <c r="D501" s="1">
        <v>45680</v>
      </c>
      <c r="E501" s="1" t="str">
        <f t="shared" si="21"/>
        <v>2025-01</v>
      </c>
      <c r="F501" t="s">
        <v>12</v>
      </c>
      <c r="G501" t="s">
        <v>10</v>
      </c>
      <c r="H501">
        <v>3</v>
      </c>
      <c r="I501" s="2">
        <v>25</v>
      </c>
      <c r="J501" s="2">
        <f t="shared" si="22"/>
        <v>75</v>
      </c>
      <c r="K501" s="2" t="str">
        <f t="shared" si="23"/>
        <v>Sale</v>
      </c>
      <c r="L501" t="s">
        <v>8</v>
      </c>
    </row>
    <row r="502" spans="1:12" x14ac:dyDescent="0.25">
      <c r="A502">
        <v>5500</v>
      </c>
      <c r="B502">
        <v>53</v>
      </c>
      <c r="C502" s="5" t="str">
        <f>IFERROR(_xlfn.XLOOKUP(B502, Customers_raw!A:A, Customers_raw!B:B), "Unknown Customer")</f>
        <v>John Thomas</v>
      </c>
      <c r="D502" s="1">
        <v>45952</v>
      </c>
      <c r="E502" s="1" t="str">
        <f t="shared" si="21"/>
        <v>2025-10</v>
      </c>
      <c r="F502" t="s">
        <v>21</v>
      </c>
      <c r="G502" t="s">
        <v>17</v>
      </c>
      <c r="H502">
        <v>3</v>
      </c>
      <c r="I502" s="2">
        <v>57</v>
      </c>
      <c r="J502" s="2">
        <f t="shared" si="22"/>
        <v>171</v>
      </c>
      <c r="K502" s="2" t="str">
        <f t="shared" si="23"/>
        <v>Sale</v>
      </c>
      <c r="L502" t="s">
        <v>5</v>
      </c>
    </row>
    <row r="503" spans="1:12" x14ac:dyDescent="0.25">
      <c r="A503">
        <v>5501</v>
      </c>
      <c r="B503">
        <v>94</v>
      </c>
      <c r="C503" s="5" t="str">
        <f>IFERROR(_xlfn.XLOOKUP(B503, Customers_raw!A:A, Customers_raw!B:B), "Unknown Customer")</f>
        <v>Kenneth Jones</v>
      </c>
      <c r="D503" s="1">
        <v>46001</v>
      </c>
      <c r="E503" s="1" t="str">
        <f t="shared" si="21"/>
        <v>2025-12</v>
      </c>
      <c r="F503" t="s">
        <v>16</v>
      </c>
      <c r="G503" t="s">
        <v>10</v>
      </c>
      <c r="H503">
        <v>2</v>
      </c>
      <c r="I503" s="2">
        <v>25</v>
      </c>
      <c r="J503" s="2">
        <f t="shared" si="22"/>
        <v>50</v>
      </c>
      <c r="K503" s="2" t="str">
        <f t="shared" si="23"/>
        <v>Sale</v>
      </c>
      <c r="L503" t="s">
        <v>8</v>
      </c>
    </row>
    <row r="504" spans="1:12" x14ac:dyDescent="0.25">
      <c r="A504">
        <v>5502</v>
      </c>
      <c r="B504">
        <v>33</v>
      </c>
      <c r="C504" s="5" t="str">
        <f>IFERROR(_xlfn.XLOOKUP(B504, Customers_raw!A:A, Customers_raw!B:B), "Unknown Customer")</f>
        <v>Jennifer White</v>
      </c>
      <c r="D504" s="1">
        <v>45933</v>
      </c>
      <c r="E504" s="1" t="str">
        <f t="shared" si="21"/>
        <v>2025-10</v>
      </c>
      <c r="F504" t="s">
        <v>19</v>
      </c>
      <c r="G504" t="s">
        <v>17</v>
      </c>
      <c r="H504">
        <v>1</v>
      </c>
      <c r="I504" s="2">
        <v>19</v>
      </c>
      <c r="J504" s="2">
        <f t="shared" si="22"/>
        <v>19</v>
      </c>
      <c r="K504" s="2" t="str">
        <f t="shared" si="23"/>
        <v>Sale</v>
      </c>
      <c r="L504" t="s">
        <v>8</v>
      </c>
    </row>
    <row r="505" spans="1:12" x14ac:dyDescent="0.25">
      <c r="A505">
        <v>5503</v>
      </c>
      <c r="B505">
        <v>13</v>
      </c>
      <c r="C505" s="5" t="str">
        <f>IFERROR(_xlfn.XLOOKUP(B505, Customers_raw!A:A, Customers_raw!B:B), "Unknown Customer")</f>
        <v>Anthony Johnson</v>
      </c>
      <c r="D505" s="1">
        <v>45884</v>
      </c>
      <c r="E505" s="1" t="str">
        <f t="shared" si="21"/>
        <v>2025-08</v>
      </c>
      <c r="F505" t="s">
        <v>20</v>
      </c>
      <c r="G505" t="s">
        <v>10</v>
      </c>
      <c r="H505">
        <v>3</v>
      </c>
      <c r="I505" s="2">
        <v>65</v>
      </c>
      <c r="J505" s="2">
        <f t="shared" si="22"/>
        <v>195</v>
      </c>
      <c r="K505" s="2" t="str">
        <f t="shared" si="23"/>
        <v>Sale</v>
      </c>
      <c r="L505" t="s">
        <v>5</v>
      </c>
    </row>
    <row r="506" spans="1:12" x14ac:dyDescent="0.25">
      <c r="A506">
        <v>5504</v>
      </c>
      <c r="B506">
        <v>103</v>
      </c>
      <c r="C506" s="5" t="str">
        <f>IFERROR(_xlfn.XLOOKUP(B506, Customers_raw!A:A, Customers_raw!B:B), "Unknown Customer")</f>
        <v>Mark Wilson</v>
      </c>
      <c r="D506" s="1">
        <v>45839</v>
      </c>
      <c r="E506" s="1" t="str">
        <f t="shared" si="21"/>
        <v>2025-07</v>
      </c>
      <c r="F506" t="s">
        <v>9</v>
      </c>
      <c r="G506" t="s">
        <v>6</v>
      </c>
      <c r="H506">
        <v>-2</v>
      </c>
      <c r="I506" s="2">
        <v>42</v>
      </c>
      <c r="J506" s="2">
        <f t="shared" si="22"/>
        <v>-84</v>
      </c>
      <c r="K506" s="2" t="str">
        <f t="shared" si="23"/>
        <v>Return</v>
      </c>
      <c r="L506" t="s">
        <v>27</v>
      </c>
    </row>
    <row r="507" spans="1:12" x14ac:dyDescent="0.25">
      <c r="A507">
        <v>5505</v>
      </c>
      <c r="B507">
        <v>82</v>
      </c>
      <c r="C507" s="5" t="str">
        <f>IFERROR(_xlfn.XLOOKUP(B507, Customers_raw!A:A, Customers_raw!B:B), "Unknown Customer")</f>
        <v>Thomas Ramirez</v>
      </c>
      <c r="D507" s="1">
        <v>45826</v>
      </c>
      <c r="E507" s="1" t="str">
        <f t="shared" si="21"/>
        <v>2025-06</v>
      </c>
      <c r="F507" t="s">
        <v>11</v>
      </c>
      <c r="G507" t="s">
        <v>6</v>
      </c>
      <c r="H507">
        <v>1</v>
      </c>
      <c r="I507" s="2">
        <v>18</v>
      </c>
      <c r="J507" s="2">
        <f t="shared" si="22"/>
        <v>18</v>
      </c>
      <c r="K507" s="2" t="str">
        <f t="shared" si="23"/>
        <v>Sale</v>
      </c>
      <c r="L507" t="s">
        <v>8</v>
      </c>
    </row>
    <row r="508" spans="1:12" x14ac:dyDescent="0.25">
      <c r="A508">
        <v>5506</v>
      </c>
      <c r="B508">
        <v>5</v>
      </c>
      <c r="C508" s="5" t="str">
        <f>IFERROR(_xlfn.XLOOKUP(B508, Customers_raw!A:A, Customers_raw!B:B), "Unknown Customer")</f>
        <v>Joshua Martin</v>
      </c>
      <c r="D508" s="1">
        <v>45816</v>
      </c>
      <c r="E508" s="1" t="str">
        <f t="shared" si="21"/>
        <v>2025-06</v>
      </c>
      <c r="F508" t="s">
        <v>11</v>
      </c>
      <c r="G508" t="s">
        <v>6</v>
      </c>
      <c r="H508">
        <v>1</v>
      </c>
      <c r="I508" s="2">
        <v>15</v>
      </c>
      <c r="J508" s="2">
        <f t="shared" si="22"/>
        <v>15</v>
      </c>
      <c r="K508" s="2" t="str">
        <f t="shared" si="23"/>
        <v>Sale</v>
      </c>
      <c r="L508" t="s">
        <v>8</v>
      </c>
    </row>
    <row r="509" spans="1:12" x14ac:dyDescent="0.25">
      <c r="A509">
        <v>5507</v>
      </c>
      <c r="B509">
        <v>21</v>
      </c>
      <c r="C509" s="5" t="str">
        <f>IFERROR(_xlfn.XLOOKUP(B509, Customers_raw!A:A, Customers_raw!B:B), "Unknown Customer")</f>
        <v>Daniel Thompson</v>
      </c>
      <c r="D509" s="1">
        <v>45929</v>
      </c>
      <c r="E509" s="1" t="str">
        <f t="shared" si="21"/>
        <v>2025-09</v>
      </c>
      <c r="F509" t="s">
        <v>9</v>
      </c>
      <c r="G509" t="s">
        <v>6</v>
      </c>
      <c r="H509">
        <v>3</v>
      </c>
      <c r="I509" s="2">
        <v>48</v>
      </c>
      <c r="J509" s="2">
        <f t="shared" si="22"/>
        <v>144</v>
      </c>
      <c r="K509" s="2" t="str">
        <f t="shared" si="23"/>
        <v>Sale</v>
      </c>
      <c r="L509" t="s">
        <v>27</v>
      </c>
    </row>
    <row r="510" spans="1:12" x14ac:dyDescent="0.25">
      <c r="A510">
        <v>5508</v>
      </c>
      <c r="B510">
        <v>89</v>
      </c>
      <c r="C510" s="5" t="str">
        <f>IFERROR(_xlfn.XLOOKUP(B510, Customers_raw!A:A, Customers_raw!B:B), "Unknown Customer")</f>
        <v>Andrew Thompson</v>
      </c>
      <c r="D510" s="1">
        <v>45703</v>
      </c>
      <c r="E510" s="1" t="str">
        <f t="shared" si="21"/>
        <v>2025-02</v>
      </c>
      <c r="F510" t="s">
        <v>22</v>
      </c>
      <c r="G510" t="s">
        <v>17</v>
      </c>
      <c r="H510">
        <v>1</v>
      </c>
      <c r="I510" s="2">
        <v>24</v>
      </c>
      <c r="J510" s="2">
        <f t="shared" si="22"/>
        <v>24</v>
      </c>
      <c r="K510" s="2" t="str">
        <f t="shared" si="23"/>
        <v>Sale</v>
      </c>
      <c r="L510" t="s">
        <v>8</v>
      </c>
    </row>
    <row r="511" spans="1:12" x14ac:dyDescent="0.25">
      <c r="A511">
        <v>5509</v>
      </c>
      <c r="B511">
        <v>92</v>
      </c>
      <c r="C511" s="5" t="str">
        <f>IFERROR(_xlfn.XLOOKUP(B511, Customers_raw!A:A, Customers_raw!B:B), "Unknown Customer")</f>
        <v>Joseph Harris</v>
      </c>
      <c r="D511" s="1">
        <v>45661</v>
      </c>
      <c r="E511" s="1" t="str">
        <f t="shared" si="21"/>
        <v>2025-01</v>
      </c>
      <c r="F511" t="s">
        <v>12</v>
      </c>
      <c r="G511" t="s">
        <v>10</v>
      </c>
      <c r="H511">
        <v>2</v>
      </c>
      <c r="I511" s="2">
        <v>22</v>
      </c>
      <c r="J511" s="2">
        <f t="shared" si="22"/>
        <v>44</v>
      </c>
      <c r="K511" s="2" t="str">
        <f t="shared" si="23"/>
        <v>Sale</v>
      </c>
      <c r="L511" t="s">
        <v>8</v>
      </c>
    </row>
    <row r="512" spans="1:12" x14ac:dyDescent="0.25">
      <c r="A512">
        <v>5510</v>
      </c>
      <c r="B512">
        <v>32</v>
      </c>
      <c r="C512" s="5" t="str">
        <f>IFERROR(_xlfn.XLOOKUP(B512, Customers_raw!A:A, Customers_raw!B:B), "Unknown Customer")</f>
        <v>Kimberly Lopez</v>
      </c>
      <c r="D512" s="1">
        <v>45789</v>
      </c>
      <c r="E512" s="1" t="str">
        <f t="shared" si="21"/>
        <v>2025-05</v>
      </c>
      <c r="F512" t="s">
        <v>11</v>
      </c>
      <c r="G512" t="s">
        <v>6</v>
      </c>
      <c r="H512">
        <v>1</v>
      </c>
      <c r="I512" s="2">
        <v>18</v>
      </c>
      <c r="J512" s="2">
        <f t="shared" si="22"/>
        <v>18</v>
      </c>
      <c r="K512" s="2" t="str">
        <f t="shared" si="23"/>
        <v>Sale</v>
      </c>
      <c r="L512" t="s">
        <v>27</v>
      </c>
    </row>
    <row r="513" spans="1:12" x14ac:dyDescent="0.25">
      <c r="A513">
        <v>5511</v>
      </c>
      <c r="B513">
        <v>84</v>
      </c>
      <c r="C513" s="5" t="str">
        <f>IFERROR(_xlfn.XLOOKUP(B513, Customers_raw!A:A, Customers_raw!B:B), "Unknown Customer")</f>
        <v>Kimberly Lewis</v>
      </c>
      <c r="D513" s="1">
        <v>45960</v>
      </c>
      <c r="E513" s="1" t="str">
        <f t="shared" si="21"/>
        <v>2025-10</v>
      </c>
      <c r="F513" t="s">
        <v>22</v>
      </c>
      <c r="G513" t="s">
        <v>17</v>
      </c>
      <c r="H513">
        <v>3</v>
      </c>
      <c r="I513" s="2">
        <v>21</v>
      </c>
      <c r="J513" s="2">
        <f t="shared" si="22"/>
        <v>63</v>
      </c>
      <c r="K513" s="2" t="str">
        <f t="shared" si="23"/>
        <v>Sale</v>
      </c>
      <c r="L513" t="s">
        <v>5</v>
      </c>
    </row>
    <row r="514" spans="1:12" x14ac:dyDescent="0.25">
      <c r="A514">
        <v>5512</v>
      </c>
      <c r="B514">
        <v>51</v>
      </c>
      <c r="C514" s="5" t="str">
        <f>IFERROR(_xlfn.XLOOKUP(B514, Customers_raw!A:A, Customers_raw!B:B), "Unknown Customer")</f>
        <v>Patricia Hernandez</v>
      </c>
      <c r="D514" s="1">
        <v>45697</v>
      </c>
      <c r="E514" s="1" t="str">
        <f t="shared" si="21"/>
        <v>2025-02</v>
      </c>
      <c r="F514" t="s">
        <v>18</v>
      </c>
      <c r="G514" t="s">
        <v>6</v>
      </c>
      <c r="H514">
        <v>3</v>
      </c>
      <c r="I514" s="2">
        <v>86</v>
      </c>
      <c r="J514" s="2">
        <f t="shared" si="22"/>
        <v>258</v>
      </c>
      <c r="K514" s="2" t="str">
        <f t="shared" si="23"/>
        <v>Sale</v>
      </c>
      <c r="L514" t="s">
        <v>8</v>
      </c>
    </row>
    <row r="515" spans="1:12" x14ac:dyDescent="0.25">
      <c r="A515">
        <v>5513</v>
      </c>
      <c r="B515">
        <v>47</v>
      </c>
      <c r="C515" s="5" t="str">
        <f>IFERROR(_xlfn.XLOOKUP(B515, Customers_raw!A:A, Customers_raw!B:B), "Unknown Customer")</f>
        <v>Christopher Rodriguez</v>
      </c>
      <c r="D515" s="1">
        <v>45730</v>
      </c>
      <c r="E515" s="1" t="str">
        <f t="shared" ref="E515:E578" si="24">TEXT(D:D,"YYYY-MM")</f>
        <v>2025-03</v>
      </c>
      <c r="F515" t="s">
        <v>12</v>
      </c>
      <c r="G515" t="s">
        <v>10</v>
      </c>
      <c r="H515">
        <v>3</v>
      </c>
      <c r="I515" s="2">
        <v>22</v>
      </c>
      <c r="J515" s="2">
        <f t="shared" ref="J515:J578" si="25">H515*I515</f>
        <v>66</v>
      </c>
      <c r="K515" s="2" t="str">
        <f t="shared" ref="K515:K578" si="26">IF(H515&lt;0,"Return","Sale")</f>
        <v>Sale</v>
      </c>
      <c r="L515" t="s">
        <v>8</v>
      </c>
    </row>
    <row r="516" spans="1:12" x14ac:dyDescent="0.25">
      <c r="A516">
        <v>5514</v>
      </c>
      <c r="B516">
        <v>23</v>
      </c>
      <c r="C516" s="5" t="str">
        <f>IFERROR(_xlfn.XLOOKUP(B516, Customers_raw!A:A, Customers_raw!B:B), "Unknown Customer")</f>
        <v>Thomas Martinez</v>
      </c>
      <c r="D516" s="1">
        <v>45966</v>
      </c>
      <c r="E516" s="1" t="str">
        <f t="shared" si="24"/>
        <v>2025-11</v>
      </c>
      <c r="F516" t="s">
        <v>12</v>
      </c>
      <c r="G516" t="s">
        <v>10</v>
      </c>
      <c r="H516">
        <v>2</v>
      </c>
      <c r="I516" s="2">
        <v>22</v>
      </c>
      <c r="J516" s="2">
        <f t="shared" si="25"/>
        <v>44</v>
      </c>
      <c r="K516" s="2" t="str">
        <f t="shared" si="26"/>
        <v>Sale</v>
      </c>
      <c r="L516" t="s">
        <v>23</v>
      </c>
    </row>
    <row r="517" spans="1:12" x14ac:dyDescent="0.25">
      <c r="A517">
        <v>5515</v>
      </c>
      <c r="B517">
        <v>94</v>
      </c>
      <c r="C517" s="5" t="str">
        <f>IFERROR(_xlfn.XLOOKUP(B517, Customers_raw!A:A, Customers_raw!B:B), "Unknown Customer")</f>
        <v>Kenneth Jones</v>
      </c>
      <c r="D517" s="1">
        <v>45893</v>
      </c>
      <c r="E517" s="1" t="str">
        <f t="shared" si="24"/>
        <v>2025-08</v>
      </c>
      <c r="F517" t="s">
        <v>12</v>
      </c>
      <c r="G517" t="s">
        <v>10</v>
      </c>
      <c r="H517">
        <v>-1</v>
      </c>
      <c r="I517" s="2">
        <v>22</v>
      </c>
      <c r="J517" s="2">
        <f t="shared" si="25"/>
        <v>-22</v>
      </c>
      <c r="K517" s="2" t="str">
        <f t="shared" si="26"/>
        <v>Return</v>
      </c>
      <c r="L517" t="s">
        <v>27</v>
      </c>
    </row>
    <row r="518" spans="1:12" x14ac:dyDescent="0.25">
      <c r="A518">
        <v>5516</v>
      </c>
      <c r="B518">
        <v>14</v>
      </c>
      <c r="C518" s="5" t="str">
        <f>IFERROR(_xlfn.XLOOKUP(B518, Customers_raw!A:A, Customers_raw!B:B), "Unknown Customer")</f>
        <v>Christopher Hernandez</v>
      </c>
      <c r="D518" s="1">
        <v>45837</v>
      </c>
      <c r="E518" s="1" t="str">
        <f t="shared" si="24"/>
        <v>2025-06</v>
      </c>
      <c r="F518" t="s">
        <v>9</v>
      </c>
      <c r="G518" t="s">
        <v>6</v>
      </c>
      <c r="H518">
        <v>1</v>
      </c>
      <c r="I518" s="2">
        <v>48</v>
      </c>
      <c r="J518" s="2">
        <f t="shared" si="25"/>
        <v>48</v>
      </c>
      <c r="K518" s="2" t="str">
        <f t="shared" si="26"/>
        <v>Sale</v>
      </c>
      <c r="L518" t="s">
        <v>8</v>
      </c>
    </row>
    <row r="519" spans="1:12" x14ac:dyDescent="0.25">
      <c r="A519">
        <v>5517</v>
      </c>
      <c r="B519">
        <v>12</v>
      </c>
      <c r="C519" s="5" t="str">
        <f>IFERROR(_xlfn.XLOOKUP(B519, Customers_raw!A:A, Customers_raw!B:B), "Unknown Customer")</f>
        <v>Linda Moore</v>
      </c>
      <c r="D519" s="1">
        <v>45759</v>
      </c>
      <c r="E519" s="1" t="str">
        <f t="shared" si="24"/>
        <v>2025-04</v>
      </c>
      <c r="F519" t="s">
        <v>20</v>
      </c>
      <c r="G519" t="s">
        <v>10</v>
      </c>
      <c r="H519">
        <v>3</v>
      </c>
      <c r="I519" s="2">
        <v>65</v>
      </c>
      <c r="J519" s="2">
        <f t="shared" si="25"/>
        <v>195</v>
      </c>
      <c r="K519" s="2" t="str">
        <f t="shared" si="26"/>
        <v>Sale</v>
      </c>
      <c r="L519" t="s">
        <v>27</v>
      </c>
    </row>
    <row r="520" spans="1:12" x14ac:dyDescent="0.25">
      <c r="A520">
        <v>5518</v>
      </c>
      <c r="B520">
        <v>62</v>
      </c>
      <c r="C520" s="5" t="str">
        <f>IFERROR(_xlfn.XLOOKUP(B520, Customers_raw!A:A, Customers_raw!B:B), "Unknown Customer")</f>
        <v>Mary Wilson</v>
      </c>
      <c r="D520" s="1">
        <v>45687</v>
      </c>
      <c r="E520" s="1" t="str">
        <f t="shared" si="24"/>
        <v>2025-01</v>
      </c>
      <c r="F520" t="s">
        <v>12</v>
      </c>
      <c r="G520" t="s">
        <v>10</v>
      </c>
      <c r="H520">
        <v>1</v>
      </c>
      <c r="I520" s="2">
        <v>19</v>
      </c>
      <c r="J520" s="2">
        <f t="shared" si="25"/>
        <v>19</v>
      </c>
      <c r="K520" s="2" t="str">
        <f t="shared" si="26"/>
        <v>Sale</v>
      </c>
      <c r="L520" t="s">
        <v>8</v>
      </c>
    </row>
    <row r="521" spans="1:12" x14ac:dyDescent="0.25">
      <c r="A521">
        <v>5519</v>
      </c>
      <c r="B521">
        <v>9</v>
      </c>
      <c r="C521" s="5" t="str">
        <f>IFERROR(_xlfn.XLOOKUP(B521, Customers_raw!A:A, Customers_raw!B:B), "Unknown Customer")</f>
        <v>Andrew Anderson</v>
      </c>
      <c r="D521" s="1">
        <v>45870</v>
      </c>
      <c r="E521" s="1" t="str">
        <f t="shared" si="24"/>
        <v>2025-08</v>
      </c>
      <c r="F521" t="s">
        <v>18</v>
      </c>
      <c r="G521" t="s">
        <v>6</v>
      </c>
      <c r="H521">
        <v>1</v>
      </c>
      <c r="I521" s="2">
        <v>89</v>
      </c>
      <c r="J521" s="2">
        <f t="shared" si="25"/>
        <v>89</v>
      </c>
      <c r="K521" s="2" t="str">
        <f t="shared" si="26"/>
        <v>Sale</v>
      </c>
      <c r="L521" t="s">
        <v>27</v>
      </c>
    </row>
    <row r="522" spans="1:12" x14ac:dyDescent="0.25">
      <c r="A522">
        <v>5520</v>
      </c>
      <c r="B522">
        <v>48</v>
      </c>
      <c r="C522" s="5" t="str">
        <f>IFERROR(_xlfn.XLOOKUP(B522, Customers_raw!A:A, Customers_raw!B:B), "Unknown Customer")</f>
        <v>Sandra Thompson</v>
      </c>
      <c r="D522" s="1">
        <v>45905</v>
      </c>
      <c r="E522" s="1" t="str">
        <f t="shared" si="24"/>
        <v>2025-09</v>
      </c>
      <c r="F522" t="s">
        <v>19</v>
      </c>
      <c r="G522" t="s">
        <v>17</v>
      </c>
      <c r="H522">
        <v>1</v>
      </c>
      <c r="I522" s="2">
        <v>19</v>
      </c>
      <c r="J522" s="2">
        <f t="shared" si="25"/>
        <v>19</v>
      </c>
      <c r="K522" s="2" t="str">
        <f t="shared" si="26"/>
        <v>Sale</v>
      </c>
      <c r="L522" t="s">
        <v>27</v>
      </c>
    </row>
    <row r="523" spans="1:12" x14ac:dyDescent="0.25">
      <c r="A523">
        <v>5521</v>
      </c>
      <c r="B523">
        <v>102</v>
      </c>
      <c r="C523" s="5" t="str">
        <f>IFERROR(_xlfn.XLOOKUP(B523, Customers_raw!A:A, Customers_raw!B:B), "Unknown Customer")</f>
        <v>Ashley Wilson</v>
      </c>
      <c r="D523" s="1">
        <v>45804</v>
      </c>
      <c r="E523" s="1" t="str">
        <f t="shared" si="24"/>
        <v>2025-05</v>
      </c>
      <c r="F523" t="s">
        <v>20</v>
      </c>
      <c r="G523" t="s">
        <v>10</v>
      </c>
      <c r="H523">
        <v>1</v>
      </c>
      <c r="I523" s="2">
        <v>65</v>
      </c>
      <c r="J523" s="2">
        <f t="shared" si="25"/>
        <v>65</v>
      </c>
      <c r="K523" s="2" t="str">
        <f t="shared" si="26"/>
        <v>Sale</v>
      </c>
      <c r="L523" t="s">
        <v>27</v>
      </c>
    </row>
    <row r="524" spans="1:12" x14ac:dyDescent="0.25">
      <c r="A524">
        <v>5522</v>
      </c>
      <c r="B524">
        <v>98</v>
      </c>
      <c r="C524" s="5" t="str">
        <f>IFERROR(_xlfn.XLOOKUP(B524, Customers_raw!A:A, Customers_raw!B:B), "Unknown Customer")</f>
        <v>Karen Williams</v>
      </c>
      <c r="D524" s="1">
        <v>45845</v>
      </c>
      <c r="E524" s="1" t="str">
        <f t="shared" si="24"/>
        <v>2025-07</v>
      </c>
      <c r="F524" t="s">
        <v>14</v>
      </c>
      <c r="G524" t="s">
        <v>7</v>
      </c>
      <c r="H524">
        <v>3</v>
      </c>
      <c r="I524" s="2">
        <v>55</v>
      </c>
      <c r="J524" s="2">
        <f t="shared" si="25"/>
        <v>165</v>
      </c>
      <c r="K524" s="2" t="str">
        <f t="shared" si="26"/>
        <v>Sale</v>
      </c>
      <c r="L524" t="s">
        <v>8</v>
      </c>
    </row>
    <row r="525" spans="1:12" x14ac:dyDescent="0.25">
      <c r="A525">
        <v>5523</v>
      </c>
      <c r="B525">
        <v>13</v>
      </c>
      <c r="C525" s="5" t="str">
        <f>IFERROR(_xlfn.XLOOKUP(B525, Customers_raw!A:A, Customers_raw!B:B), "Unknown Customer")</f>
        <v>Anthony Johnson</v>
      </c>
      <c r="D525" s="1">
        <v>45851</v>
      </c>
      <c r="E525" s="1" t="str">
        <f t="shared" si="24"/>
        <v>2025-07</v>
      </c>
      <c r="F525" t="s">
        <v>22</v>
      </c>
      <c r="G525" t="s">
        <v>17</v>
      </c>
      <c r="H525">
        <v>1</v>
      </c>
      <c r="I525" s="2">
        <v>24</v>
      </c>
      <c r="J525" s="2">
        <f t="shared" si="25"/>
        <v>24</v>
      </c>
      <c r="K525" s="2" t="str">
        <f t="shared" si="26"/>
        <v>Sale</v>
      </c>
      <c r="L525" t="s">
        <v>8</v>
      </c>
    </row>
    <row r="526" spans="1:12" x14ac:dyDescent="0.25">
      <c r="A526">
        <v>5524</v>
      </c>
      <c r="B526">
        <v>63</v>
      </c>
      <c r="C526" s="5" t="str">
        <f>IFERROR(_xlfn.XLOOKUP(B526, Customers_raw!A:A, Customers_raw!B:B), "Unknown Customer")</f>
        <v>Joseph Robinson</v>
      </c>
      <c r="D526" s="1">
        <v>45714</v>
      </c>
      <c r="E526" s="1" t="str">
        <f t="shared" si="24"/>
        <v>2025-02</v>
      </c>
      <c r="F526" t="s">
        <v>12</v>
      </c>
      <c r="G526" t="s">
        <v>10</v>
      </c>
      <c r="H526">
        <v>2</v>
      </c>
      <c r="I526" s="2">
        <v>22</v>
      </c>
      <c r="J526" s="2">
        <f t="shared" si="25"/>
        <v>44</v>
      </c>
      <c r="K526" s="2" t="str">
        <f t="shared" si="26"/>
        <v>Sale</v>
      </c>
      <c r="L526" t="s">
        <v>8</v>
      </c>
    </row>
    <row r="527" spans="1:12" x14ac:dyDescent="0.25">
      <c r="A527">
        <v>5525</v>
      </c>
      <c r="B527">
        <v>63</v>
      </c>
      <c r="C527" s="5" t="str">
        <f>IFERROR(_xlfn.XLOOKUP(B527, Customers_raw!A:A, Customers_raw!B:B), "Unknown Customer")</f>
        <v>Joseph Robinson</v>
      </c>
      <c r="D527" s="1">
        <v>45746</v>
      </c>
      <c r="E527" s="1" t="str">
        <f t="shared" si="24"/>
        <v>2025-03</v>
      </c>
      <c r="F527" t="s">
        <v>13</v>
      </c>
      <c r="G527" t="s">
        <v>7</v>
      </c>
      <c r="H527">
        <v>2</v>
      </c>
      <c r="I527" s="2">
        <v>32</v>
      </c>
      <c r="J527" s="2">
        <f t="shared" si="25"/>
        <v>64</v>
      </c>
      <c r="K527" s="2" t="str">
        <f t="shared" si="26"/>
        <v>Sale</v>
      </c>
      <c r="L527" t="s">
        <v>27</v>
      </c>
    </row>
    <row r="528" spans="1:12" x14ac:dyDescent="0.25">
      <c r="A528">
        <v>5526</v>
      </c>
      <c r="B528">
        <v>9</v>
      </c>
      <c r="C528" s="5" t="str">
        <f>IFERROR(_xlfn.XLOOKUP(B528, Customers_raw!A:A, Customers_raw!B:B), "Unknown Customer")</f>
        <v>Andrew Anderson</v>
      </c>
      <c r="D528" s="1">
        <v>45754</v>
      </c>
      <c r="E528" s="1" t="str">
        <f t="shared" si="24"/>
        <v>2025-04</v>
      </c>
      <c r="F528" t="s">
        <v>18</v>
      </c>
      <c r="G528" t="s">
        <v>6</v>
      </c>
      <c r="H528">
        <v>2</v>
      </c>
      <c r="I528" s="2">
        <v>89.144230769230774</v>
      </c>
      <c r="J528" s="2">
        <f t="shared" si="25"/>
        <v>178.28846153846155</v>
      </c>
      <c r="K528" s="2" t="str">
        <f t="shared" si="26"/>
        <v>Sale</v>
      </c>
      <c r="L528" t="s">
        <v>8</v>
      </c>
    </row>
    <row r="529" spans="1:12" x14ac:dyDescent="0.25">
      <c r="A529">
        <v>5527</v>
      </c>
      <c r="B529">
        <v>66</v>
      </c>
      <c r="C529" s="5" t="str">
        <f>IFERROR(_xlfn.XLOOKUP(B529, Customers_raw!A:A, Customers_raw!B:B), "Unknown Customer")</f>
        <v>Barbara Anderson</v>
      </c>
      <c r="D529" s="1">
        <v>45905</v>
      </c>
      <c r="E529" s="1" t="str">
        <f t="shared" si="24"/>
        <v>2025-09</v>
      </c>
      <c r="F529" t="s">
        <v>9</v>
      </c>
      <c r="G529" t="s">
        <v>6</v>
      </c>
      <c r="H529">
        <v>2</v>
      </c>
      <c r="I529" s="2">
        <v>48</v>
      </c>
      <c r="J529" s="2">
        <f t="shared" si="25"/>
        <v>96</v>
      </c>
      <c r="K529" s="2" t="str">
        <f t="shared" si="26"/>
        <v>Sale</v>
      </c>
      <c r="L529" t="s">
        <v>8</v>
      </c>
    </row>
    <row r="530" spans="1:12" x14ac:dyDescent="0.25">
      <c r="A530">
        <v>5528</v>
      </c>
      <c r="B530">
        <v>56</v>
      </c>
      <c r="C530" s="5" t="str">
        <f>IFERROR(_xlfn.XLOOKUP(B530, Customers_raw!A:A, Customers_raw!B:B), "Unknown Customer")</f>
        <v>Mark Hernandez</v>
      </c>
      <c r="D530" s="1">
        <v>45686</v>
      </c>
      <c r="E530" s="1" t="str">
        <f t="shared" si="24"/>
        <v>2025-01</v>
      </c>
      <c r="F530" t="s">
        <v>15</v>
      </c>
      <c r="G530" t="s">
        <v>7</v>
      </c>
      <c r="H530">
        <v>2</v>
      </c>
      <c r="I530" s="2">
        <v>70</v>
      </c>
      <c r="J530" s="2">
        <f t="shared" si="25"/>
        <v>140</v>
      </c>
      <c r="K530" s="2" t="str">
        <f t="shared" si="26"/>
        <v>Sale</v>
      </c>
      <c r="L530" t="s">
        <v>27</v>
      </c>
    </row>
    <row r="531" spans="1:12" x14ac:dyDescent="0.25">
      <c r="A531">
        <v>5529</v>
      </c>
      <c r="B531">
        <v>13</v>
      </c>
      <c r="C531" s="5" t="str">
        <f>IFERROR(_xlfn.XLOOKUP(B531, Customers_raw!A:A, Customers_raw!B:B), "Unknown Customer")</f>
        <v>Anthony Johnson</v>
      </c>
      <c r="D531" s="1">
        <v>45697</v>
      </c>
      <c r="E531" s="1" t="str">
        <f t="shared" si="24"/>
        <v>2025-02</v>
      </c>
      <c r="F531" t="s">
        <v>12</v>
      </c>
      <c r="G531" t="s">
        <v>10</v>
      </c>
      <c r="H531">
        <v>2</v>
      </c>
      <c r="I531" s="2">
        <v>22</v>
      </c>
      <c r="J531" s="2">
        <f t="shared" si="25"/>
        <v>44</v>
      </c>
      <c r="K531" s="2" t="str">
        <f t="shared" si="26"/>
        <v>Sale</v>
      </c>
      <c r="L531" t="s">
        <v>8</v>
      </c>
    </row>
    <row r="532" spans="1:12" x14ac:dyDescent="0.25">
      <c r="A532">
        <v>5530</v>
      </c>
      <c r="B532">
        <v>104</v>
      </c>
      <c r="C532" s="5" t="str">
        <f>IFERROR(_xlfn.XLOOKUP(B532, Customers_raw!A:A, Customers_raw!B:B), "Unknown Customer")</f>
        <v>Christopher Brown</v>
      </c>
      <c r="D532" s="1">
        <v>45981</v>
      </c>
      <c r="E532" s="1" t="str">
        <f t="shared" si="24"/>
        <v>2025-11</v>
      </c>
      <c r="F532" t="s">
        <v>13</v>
      </c>
      <c r="G532" t="s">
        <v>7</v>
      </c>
      <c r="H532">
        <v>1</v>
      </c>
      <c r="I532" s="2">
        <v>32</v>
      </c>
      <c r="J532" s="2">
        <f t="shared" si="25"/>
        <v>32</v>
      </c>
      <c r="K532" s="2" t="str">
        <f t="shared" si="26"/>
        <v>Sale</v>
      </c>
      <c r="L532" t="s">
        <v>8</v>
      </c>
    </row>
    <row r="533" spans="1:12" x14ac:dyDescent="0.25">
      <c r="A533">
        <v>5531</v>
      </c>
      <c r="B533">
        <v>16</v>
      </c>
      <c r="C533" s="5" t="str">
        <f>IFERROR(_xlfn.XLOOKUP(B533, Customers_raw!A:A, Customers_raw!B:B), "Unknown Customer")</f>
        <v>Karen Perez</v>
      </c>
      <c r="D533" s="1">
        <v>45666</v>
      </c>
      <c r="E533" s="1" t="str">
        <f t="shared" si="24"/>
        <v>2025-01</v>
      </c>
      <c r="F533" t="s">
        <v>19</v>
      </c>
      <c r="G533" t="s">
        <v>17</v>
      </c>
      <c r="H533">
        <v>1</v>
      </c>
      <c r="I533" s="2">
        <v>19</v>
      </c>
      <c r="J533" s="2">
        <f t="shared" si="25"/>
        <v>19</v>
      </c>
      <c r="K533" s="2" t="str">
        <f t="shared" si="26"/>
        <v>Sale</v>
      </c>
      <c r="L533" t="s">
        <v>5</v>
      </c>
    </row>
    <row r="534" spans="1:12" x14ac:dyDescent="0.25">
      <c r="A534">
        <v>5532</v>
      </c>
      <c r="B534">
        <v>84</v>
      </c>
      <c r="C534" s="5" t="str">
        <f>IFERROR(_xlfn.XLOOKUP(B534, Customers_raw!A:A, Customers_raw!B:B), "Unknown Customer")</f>
        <v>Kimberly Lewis</v>
      </c>
      <c r="D534" s="1">
        <v>45670</v>
      </c>
      <c r="E534" s="1" t="str">
        <f t="shared" si="24"/>
        <v>2025-01</v>
      </c>
      <c r="F534" t="s">
        <v>15</v>
      </c>
      <c r="G534" t="s">
        <v>7</v>
      </c>
      <c r="H534">
        <v>3</v>
      </c>
      <c r="I534" s="2">
        <v>67</v>
      </c>
      <c r="J534" s="2">
        <f t="shared" si="25"/>
        <v>201</v>
      </c>
      <c r="K534" s="2" t="str">
        <f t="shared" si="26"/>
        <v>Sale</v>
      </c>
      <c r="L534" t="s">
        <v>23</v>
      </c>
    </row>
    <row r="535" spans="1:12" x14ac:dyDescent="0.25">
      <c r="A535">
        <v>5533</v>
      </c>
      <c r="B535">
        <v>86</v>
      </c>
      <c r="C535" s="5" t="str">
        <f>IFERROR(_xlfn.XLOOKUP(B535, Customers_raw!A:A, Customers_raw!B:B), "Unknown Customer")</f>
        <v>Steven Jones</v>
      </c>
      <c r="D535" s="1">
        <v>45729</v>
      </c>
      <c r="E535" s="1" t="str">
        <f t="shared" si="24"/>
        <v>2025-03</v>
      </c>
      <c r="F535" t="s">
        <v>21</v>
      </c>
      <c r="G535" t="s">
        <v>17</v>
      </c>
      <c r="H535">
        <v>1</v>
      </c>
      <c r="I535" s="2">
        <v>60</v>
      </c>
      <c r="J535" s="2">
        <f t="shared" si="25"/>
        <v>60</v>
      </c>
      <c r="K535" s="2" t="str">
        <f t="shared" si="26"/>
        <v>Sale</v>
      </c>
      <c r="L535" t="s">
        <v>5</v>
      </c>
    </row>
    <row r="536" spans="1:12" x14ac:dyDescent="0.25">
      <c r="A536">
        <v>5534</v>
      </c>
      <c r="B536">
        <v>85</v>
      </c>
      <c r="C536" s="5" t="str">
        <f>IFERROR(_xlfn.XLOOKUP(B536, Customers_raw!A:A, Customers_raw!B:B), "Unknown Customer")</f>
        <v>Elizabeth Martinez</v>
      </c>
      <c r="D536" s="1">
        <v>45751</v>
      </c>
      <c r="E536" s="1" t="str">
        <f t="shared" si="24"/>
        <v>2025-04</v>
      </c>
      <c r="F536" t="s">
        <v>22</v>
      </c>
      <c r="G536" t="s">
        <v>17</v>
      </c>
      <c r="H536">
        <v>1</v>
      </c>
      <c r="I536" s="2">
        <v>27</v>
      </c>
      <c r="J536" s="2">
        <f t="shared" si="25"/>
        <v>27</v>
      </c>
      <c r="K536" s="2" t="str">
        <f t="shared" si="26"/>
        <v>Sale</v>
      </c>
      <c r="L536" t="s">
        <v>8</v>
      </c>
    </row>
    <row r="537" spans="1:12" x14ac:dyDescent="0.25">
      <c r="A537">
        <v>5535</v>
      </c>
      <c r="B537">
        <v>28</v>
      </c>
      <c r="C537" s="5" t="str">
        <f>IFERROR(_xlfn.XLOOKUP(B537, Customers_raw!A:A, Customers_raw!B:B), "Unknown Customer")</f>
        <v>Michael Lopez</v>
      </c>
      <c r="D537" s="1">
        <v>45804</v>
      </c>
      <c r="E537" s="1" t="str">
        <f t="shared" si="24"/>
        <v>2025-05</v>
      </c>
      <c r="F537" t="s">
        <v>16</v>
      </c>
      <c r="G537" t="s">
        <v>10</v>
      </c>
      <c r="H537">
        <v>1</v>
      </c>
      <c r="I537" s="2">
        <v>28</v>
      </c>
      <c r="J537" s="2">
        <f t="shared" si="25"/>
        <v>28</v>
      </c>
      <c r="K537" s="2" t="str">
        <f t="shared" si="26"/>
        <v>Sale</v>
      </c>
      <c r="L537" t="s">
        <v>27</v>
      </c>
    </row>
    <row r="538" spans="1:12" x14ac:dyDescent="0.25">
      <c r="A538">
        <v>5536</v>
      </c>
      <c r="B538">
        <v>26</v>
      </c>
      <c r="C538" s="5" t="str">
        <f>IFERROR(_xlfn.XLOOKUP(B538, Customers_raw!A:A, Customers_raw!B:B), "Unknown Customer")</f>
        <v>Betty Johnson</v>
      </c>
      <c r="D538" s="1">
        <v>45863</v>
      </c>
      <c r="E538" s="1" t="str">
        <f t="shared" si="24"/>
        <v>2025-07</v>
      </c>
      <c r="F538" t="s">
        <v>12</v>
      </c>
      <c r="G538" t="s">
        <v>10</v>
      </c>
      <c r="H538">
        <v>3</v>
      </c>
      <c r="I538" s="2">
        <v>22</v>
      </c>
      <c r="J538" s="2">
        <f t="shared" si="25"/>
        <v>66</v>
      </c>
      <c r="K538" s="2" t="str">
        <f t="shared" si="26"/>
        <v>Sale</v>
      </c>
      <c r="L538" t="s">
        <v>8</v>
      </c>
    </row>
    <row r="539" spans="1:12" x14ac:dyDescent="0.25">
      <c r="A539">
        <v>5537</v>
      </c>
      <c r="B539">
        <v>30</v>
      </c>
      <c r="C539" s="5" t="str">
        <f>IFERROR(_xlfn.XLOOKUP(B539, Customers_raw!A:A, Customers_raw!B:B), "Unknown Customer")</f>
        <v>Sandra Taylor</v>
      </c>
      <c r="D539" s="1">
        <v>45697</v>
      </c>
      <c r="E539" s="1" t="str">
        <f t="shared" si="24"/>
        <v>2025-02</v>
      </c>
      <c r="F539" t="s">
        <v>12</v>
      </c>
      <c r="G539" t="s">
        <v>10</v>
      </c>
      <c r="H539">
        <v>2</v>
      </c>
      <c r="I539" s="2">
        <v>22</v>
      </c>
      <c r="J539" s="2">
        <f t="shared" si="25"/>
        <v>44</v>
      </c>
      <c r="K539" s="2" t="str">
        <f t="shared" si="26"/>
        <v>Sale</v>
      </c>
      <c r="L539" t="s">
        <v>27</v>
      </c>
    </row>
    <row r="540" spans="1:12" x14ac:dyDescent="0.25">
      <c r="A540">
        <v>5538</v>
      </c>
      <c r="B540">
        <v>28</v>
      </c>
      <c r="C540" s="5" t="str">
        <f>IFERROR(_xlfn.XLOOKUP(B540, Customers_raw!A:A, Customers_raw!B:B), "Unknown Customer")</f>
        <v>Michael Lopez</v>
      </c>
      <c r="D540" s="1">
        <v>45898</v>
      </c>
      <c r="E540" s="1" t="str">
        <f t="shared" si="24"/>
        <v>2025-08</v>
      </c>
      <c r="F540" t="s">
        <v>9</v>
      </c>
      <c r="G540" t="s">
        <v>6</v>
      </c>
      <c r="H540">
        <v>1</v>
      </c>
      <c r="I540" s="2">
        <v>45</v>
      </c>
      <c r="J540" s="2">
        <f t="shared" si="25"/>
        <v>45</v>
      </c>
      <c r="K540" s="2" t="str">
        <f t="shared" si="26"/>
        <v>Sale</v>
      </c>
      <c r="L540" t="s">
        <v>5</v>
      </c>
    </row>
    <row r="541" spans="1:12" x14ac:dyDescent="0.25">
      <c r="A541">
        <v>5539</v>
      </c>
      <c r="B541">
        <v>5</v>
      </c>
      <c r="C541" s="5" t="str">
        <f>IFERROR(_xlfn.XLOOKUP(B541, Customers_raw!A:A, Customers_raw!B:B), "Unknown Customer")</f>
        <v>Joshua Martin</v>
      </c>
      <c r="D541" s="1">
        <v>45661</v>
      </c>
      <c r="E541" s="1" t="str">
        <f t="shared" si="24"/>
        <v>2025-01</v>
      </c>
      <c r="F541" t="s">
        <v>14</v>
      </c>
      <c r="G541" t="s">
        <v>7</v>
      </c>
      <c r="H541">
        <v>2</v>
      </c>
      <c r="I541" s="2">
        <v>52</v>
      </c>
      <c r="J541" s="2">
        <f t="shared" si="25"/>
        <v>104</v>
      </c>
      <c r="K541" s="2" t="str">
        <f t="shared" si="26"/>
        <v>Sale</v>
      </c>
      <c r="L541" t="s">
        <v>27</v>
      </c>
    </row>
    <row r="542" spans="1:12" x14ac:dyDescent="0.25">
      <c r="A542">
        <v>5540</v>
      </c>
      <c r="B542">
        <v>31</v>
      </c>
      <c r="C542" s="5" t="str">
        <f>IFERROR(_xlfn.XLOOKUP(B542, Customers_raw!A:A, Customers_raw!B:B), "Unknown Customer")</f>
        <v>Nancy Harris</v>
      </c>
      <c r="D542" s="1">
        <v>45737</v>
      </c>
      <c r="E542" s="1" t="str">
        <f t="shared" si="24"/>
        <v>2025-03</v>
      </c>
      <c r="F542" t="s">
        <v>16</v>
      </c>
      <c r="G542" t="s">
        <v>10</v>
      </c>
      <c r="H542">
        <v>2</v>
      </c>
      <c r="I542" s="2">
        <v>28</v>
      </c>
      <c r="J542" s="2">
        <f t="shared" si="25"/>
        <v>56</v>
      </c>
      <c r="K542" s="2" t="str">
        <f t="shared" si="26"/>
        <v>Sale</v>
      </c>
      <c r="L542" t="s">
        <v>27</v>
      </c>
    </row>
    <row r="543" spans="1:12" x14ac:dyDescent="0.25">
      <c r="A543">
        <v>5541</v>
      </c>
      <c r="B543">
        <v>34</v>
      </c>
      <c r="C543" s="5" t="str">
        <f>IFERROR(_xlfn.XLOOKUP(B543, Customers_raw!A:A, Customers_raw!B:B), "Unknown Customer")</f>
        <v>Joseph Jackson</v>
      </c>
      <c r="D543" s="1">
        <v>45945</v>
      </c>
      <c r="E543" s="1" t="str">
        <f t="shared" si="24"/>
        <v>2025-10</v>
      </c>
      <c r="F543" t="s">
        <v>9</v>
      </c>
      <c r="G543" t="s">
        <v>6</v>
      </c>
      <c r="H543">
        <v>1</v>
      </c>
      <c r="I543" s="2">
        <v>45</v>
      </c>
      <c r="J543" s="2">
        <f t="shared" si="25"/>
        <v>45</v>
      </c>
      <c r="K543" s="2" t="str">
        <f t="shared" si="26"/>
        <v>Sale</v>
      </c>
      <c r="L543" t="s">
        <v>27</v>
      </c>
    </row>
    <row r="544" spans="1:12" x14ac:dyDescent="0.25">
      <c r="A544">
        <v>5542</v>
      </c>
      <c r="B544">
        <v>18</v>
      </c>
      <c r="C544" s="5" t="str">
        <f>IFERROR(_xlfn.XLOOKUP(B544, Customers_raw!A:A, Customers_raw!B:B), "Unknown Customer")</f>
        <v>Susan Sanchez</v>
      </c>
      <c r="D544" s="1">
        <v>45822</v>
      </c>
      <c r="E544" s="1" t="str">
        <f t="shared" si="24"/>
        <v>2025-06</v>
      </c>
      <c r="F544" t="s">
        <v>21</v>
      </c>
      <c r="G544" t="s">
        <v>17</v>
      </c>
      <c r="H544">
        <v>1</v>
      </c>
      <c r="I544" s="2">
        <v>60</v>
      </c>
      <c r="J544" s="2">
        <f t="shared" si="25"/>
        <v>60</v>
      </c>
      <c r="K544" s="2" t="str">
        <f t="shared" si="26"/>
        <v>Sale</v>
      </c>
      <c r="L544" t="s">
        <v>8</v>
      </c>
    </row>
    <row r="545" spans="1:12" x14ac:dyDescent="0.25">
      <c r="A545">
        <v>5543</v>
      </c>
      <c r="B545">
        <v>75</v>
      </c>
      <c r="C545" s="5" t="str">
        <f>IFERROR(_xlfn.XLOOKUP(B545, Customers_raw!A:A, Customers_raw!B:B), "Unknown Customer")</f>
        <v>David Wilson</v>
      </c>
      <c r="D545" s="1">
        <v>45867</v>
      </c>
      <c r="E545" s="1" t="str">
        <f t="shared" si="24"/>
        <v>2025-07</v>
      </c>
      <c r="F545" t="s">
        <v>13</v>
      </c>
      <c r="G545" t="s">
        <v>7</v>
      </c>
      <c r="H545">
        <v>2</v>
      </c>
      <c r="I545" s="2">
        <v>32</v>
      </c>
      <c r="J545" s="2">
        <f t="shared" si="25"/>
        <v>64</v>
      </c>
      <c r="K545" s="2" t="str">
        <f t="shared" si="26"/>
        <v>Sale</v>
      </c>
      <c r="L545" t="s">
        <v>5</v>
      </c>
    </row>
    <row r="546" spans="1:12" x14ac:dyDescent="0.25">
      <c r="A546">
        <v>5544</v>
      </c>
      <c r="B546">
        <v>53</v>
      </c>
      <c r="C546" s="5" t="str">
        <f>IFERROR(_xlfn.XLOOKUP(B546, Customers_raw!A:A, Customers_raw!B:B), "Unknown Customer")</f>
        <v>John Thomas</v>
      </c>
      <c r="D546" s="1">
        <v>45684</v>
      </c>
      <c r="E546" s="1" t="str">
        <f t="shared" si="24"/>
        <v>2025-01</v>
      </c>
      <c r="F546" t="s">
        <v>12</v>
      </c>
      <c r="G546" t="s">
        <v>10</v>
      </c>
      <c r="H546">
        <v>-1</v>
      </c>
      <c r="I546" s="2">
        <v>19</v>
      </c>
      <c r="J546" s="2">
        <f t="shared" si="25"/>
        <v>-19</v>
      </c>
      <c r="K546" s="2" t="str">
        <f t="shared" si="26"/>
        <v>Return</v>
      </c>
      <c r="L546" t="s">
        <v>5</v>
      </c>
    </row>
    <row r="547" spans="1:12" x14ac:dyDescent="0.25">
      <c r="A547">
        <v>5545</v>
      </c>
      <c r="B547">
        <v>97</v>
      </c>
      <c r="C547" s="5" t="str">
        <f>IFERROR(_xlfn.XLOOKUP(B547, Customers_raw!A:A, Customers_raw!B:B), "Unknown Customer")</f>
        <v>Charles Thomas</v>
      </c>
      <c r="D547" s="1">
        <v>45994</v>
      </c>
      <c r="E547" s="1" t="str">
        <f t="shared" si="24"/>
        <v>2025-12</v>
      </c>
      <c r="F547" t="s">
        <v>20</v>
      </c>
      <c r="G547" t="s">
        <v>10</v>
      </c>
      <c r="H547">
        <v>1</v>
      </c>
      <c r="I547" s="2">
        <v>68</v>
      </c>
      <c r="J547" s="2">
        <f t="shared" si="25"/>
        <v>68</v>
      </c>
      <c r="K547" s="2" t="str">
        <f t="shared" si="26"/>
        <v>Sale</v>
      </c>
      <c r="L547" t="s">
        <v>5</v>
      </c>
    </row>
    <row r="548" spans="1:12" x14ac:dyDescent="0.25">
      <c r="A548">
        <v>5546</v>
      </c>
      <c r="B548">
        <v>84</v>
      </c>
      <c r="C548" s="5" t="str">
        <f>IFERROR(_xlfn.XLOOKUP(B548, Customers_raw!A:A, Customers_raw!B:B), "Unknown Customer")</f>
        <v>Kimberly Lewis</v>
      </c>
      <c r="D548" s="1">
        <v>45920</v>
      </c>
      <c r="E548" s="1" t="str">
        <f t="shared" si="24"/>
        <v>2025-09</v>
      </c>
      <c r="F548" t="s">
        <v>19</v>
      </c>
      <c r="G548" t="s">
        <v>17</v>
      </c>
      <c r="H548">
        <v>2</v>
      </c>
      <c r="I548" s="2">
        <v>19</v>
      </c>
      <c r="J548" s="2">
        <f t="shared" si="25"/>
        <v>38</v>
      </c>
      <c r="K548" s="2" t="str">
        <f t="shared" si="26"/>
        <v>Sale</v>
      </c>
      <c r="L548" t="s">
        <v>27</v>
      </c>
    </row>
    <row r="549" spans="1:12" x14ac:dyDescent="0.25">
      <c r="A549">
        <v>5547</v>
      </c>
      <c r="B549">
        <v>72</v>
      </c>
      <c r="C549" s="5" t="str">
        <f>IFERROR(_xlfn.XLOOKUP(B549, Customers_raw!A:A, Customers_raw!B:B), "Unknown Customer")</f>
        <v>Steven Jackson</v>
      </c>
      <c r="D549" s="1">
        <v>45881</v>
      </c>
      <c r="E549" s="1" t="str">
        <f t="shared" si="24"/>
        <v>2025-08</v>
      </c>
      <c r="F549" t="s">
        <v>9</v>
      </c>
      <c r="G549" t="s">
        <v>6</v>
      </c>
      <c r="H549">
        <v>2</v>
      </c>
      <c r="I549" s="2">
        <v>45</v>
      </c>
      <c r="J549" s="2">
        <f t="shared" si="25"/>
        <v>90</v>
      </c>
      <c r="K549" s="2" t="str">
        <f t="shared" si="26"/>
        <v>Sale</v>
      </c>
      <c r="L549" t="s">
        <v>27</v>
      </c>
    </row>
    <row r="550" spans="1:12" x14ac:dyDescent="0.25">
      <c r="A550">
        <v>5548</v>
      </c>
      <c r="B550">
        <v>90</v>
      </c>
      <c r="C550" s="5" t="str">
        <f>IFERROR(_xlfn.XLOOKUP(B550, Customers_raw!A:A, Customers_raw!B:B), "Unknown Customer")</f>
        <v>John Harris</v>
      </c>
      <c r="D550" s="1">
        <v>45788</v>
      </c>
      <c r="E550" s="1" t="str">
        <f t="shared" si="24"/>
        <v>2025-05</v>
      </c>
      <c r="F550" t="s">
        <v>19</v>
      </c>
      <c r="G550" t="s">
        <v>17</v>
      </c>
      <c r="H550">
        <v>1</v>
      </c>
      <c r="I550" s="2">
        <v>19</v>
      </c>
      <c r="J550" s="2">
        <f t="shared" si="25"/>
        <v>19</v>
      </c>
      <c r="K550" s="2" t="str">
        <f t="shared" si="26"/>
        <v>Sale</v>
      </c>
      <c r="L550" t="s">
        <v>5</v>
      </c>
    </row>
    <row r="551" spans="1:12" x14ac:dyDescent="0.25">
      <c r="A551">
        <v>5549</v>
      </c>
      <c r="B551">
        <v>106</v>
      </c>
      <c r="C551" s="5" t="str">
        <f>IFERROR(_xlfn.XLOOKUP(B551, Customers_raw!A:A, Customers_raw!B:B), "Unknown Customer")</f>
        <v>Thomas Lopez</v>
      </c>
      <c r="D551" s="1">
        <v>46016</v>
      </c>
      <c r="E551" s="1" t="str">
        <f t="shared" si="24"/>
        <v>2025-12</v>
      </c>
      <c r="F551" t="s">
        <v>12</v>
      </c>
      <c r="G551" t="s">
        <v>10</v>
      </c>
      <c r="H551">
        <v>2</v>
      </c>
      <c r="I551" s="2">
        <v>22</v>
      </c>
      <c r="J551" s="2">
        <f t="shared" si="25"/>
        <v>44</v>
      </c>
      <c r="K551" s="2" t="str">
        <f t="shared" si="26"/>
        <v>Sale</v>
      </c>
      <c r="L551" t="s">
        <v>8</v>
      </c>
    </row>
    <row r="552" spans="1:12" x14ac:dyDescent="0.25">
      <c r="A552">
        <v>5550</v>
      </c>
      <c r="B552">
        <v>57</v>
      </c>
      <c r="C552" s="5" t="str">
        <f>IFERROR(_xlfn.XLOOKUP(B552, Customers_raw!A:A, Customers_raw!B:B), "Unknown Customer")</f>
        <v>Karen Clark</v>
      </c>
      <c r="D552" s="1">
        <v>45832</v>
      </c>
      <c r="E552" s="1" t="str">
        <f t="shared" si="24"/>
        <v>2025-06</v>
      </c>
      <c r="F552" t="s">
        <v>13</v>
      </c>
      <c r="G552" t="s">
        <v>7</v>
      </c>
      <c r="H552">
        <v>1</v>
      </c>
      <c r="I552" s="2">
        <v>32</v>
      </c>
      <c r="J552" s="2">
        <f t="shared" si="25"/>
        <v>32</v>
      </c>
      <c r="K552" s="2" t="str">
        <f t="shared" si="26"/>
        <v>Sale</v>
      </c>
      <c r="L552" t="s">
        <v>23</v>
      </c>
    </row>
    <row r="553" spans="1:12" x14ac:dyDescent="0.25">
      <c r="A553">
        <v>5551</v>
      </c>
      <c r="B553">
        <v>27</v>
      </c>
      <c r="C553" s="5" t="str">
        <f>IFERROR(_xlfn.XLOOKUP(B553, Customers_raw!A:A, Customers_raw!B:B), "Unknown Customer")</f>
        <v>Nancy Lee</v>
      </c>
      <c r="D553" s="1">
        <v>45867</v>
      </c>
      <c r="E553" s="1" t="str">
        <f t="shared" si="24"/>
        <v>2025-07</v>
      </c>
      <c r="F553" t="s">
        <v>15</v>
      </c>
      <c r="G553" t="s">
        <v>7</v>
      </c>
      <c r="H553">
        <v>1</v>
      </c>
      <c r="I553" s="2">
        <v>70</v>
      </c>
      <c r="J553" s="2">
        <f t="shared" si="25"/>
        <v>70</v>
      </c>
      <c r="K553" s="2" t="str">
        <f t="shared" si="26"/>
        <v>Sale</v>
      </c>
      <c r="L553" t="s">
        <v>8</v>
      </c>
    </row>
    <row r="554" spans="1:12" x14ac:dyDescent="0.25">
      <c r="A554">
        <v>5552</v>
      </c>
      <c r="B554">
        <v>85</v>
      </c>
      <c r="C554" s="5" t="str">
        <f>IFERROR(_xlfn.XLOOKUP(B554, Customers_raw!A:A, Customers_raw!B:B), "Unknown Customer")</f>
        <v>Elizabeth Martinez</v>
      </c>
      <c r="D554" s="1">
        <v>45844</v>
      </c>
      <c r="E554" s="1" t="str">
        <f t="shared" si="24"/>
        <v>2025-07</v>
      </c>
      <c r="F554" t="s">
        <v>13</v>
      </c>
      <c r="G554" t="s">
        <v>7</v>
      </c>
      <c r="H554">
        <v>1</v>
      </c>
      <c r="I554" s="2">
        <v>32</v>
      </c>
      <c r="J554" s="2">
        <f t="shared" si="25"/>
        <v>32</v>
      </c>
      <c r="K554" s="2" t="str">
        <f t="shared" si="26"/>
        <v>Sale</v>
      </c>
      <c r="L554" t="s">
        <v>8</v>
      </c>
    </row>
    <row r="555" spans="1:12" x14ac:dyDescent="0.25">
      <c r="A555">
        <v>5553</v>
      </c>
      <c r="B555">
        <v>66</v>
      </c>
      <c r="C555" s="5" t="str">
        <f>IFERROR(_xlfn.XLOOKUP(B555, Customers_raw!A:A, Customers_raw!B:B), "Unknown Customer")</f>
        <v>Barbara Anderson</v>
      </c>
      <c r="D555" s="1">
        <v>45865</v>
      </c>
      <c r="E555" s="1" t="str">
        <f t="shared" si="24"/>
        <v>2025-07</v>
      </c>
      <c r="F555" t="s">
        <v>20</v>
      </c>
      <c r="G555" t="s">
        <v>10</v>
      </c>
      <c r="H555">
        <v>3</v>
      </c>
      <c r="I555" s="2">
        <v>62</v>
      </c>
      <c r="J555" s="2">
        <f t="shared" si="25"/>
        <v>186</v>
      </c>
      <c r="K555" s="2" t="str">
        <f t="shared" si="26"/>
        <v>Sale</v>
      </c>
      <c r="L555" t="s">
        <v>5</v>
      </c>
    </row>
    <row r="556" spans="1:12" x14ac:dyDescent="0.25">
      <c r="A556">
        <v>5554</v>
      </c>
      <c r="B556">
        <v>74</v>
      </c>
      <c r="C556" s="5" t="str">
        <f>IFERROR(_xlfn.XLOOKUP(B556, Customers_raw!A:A, Customers_raw!B:B), "Unknown Customer")</f>
        <v>Betty Moore</v>
      </c>
      <c r="D556" s="1">
        <v>45695</v>
      </c>
      <c r="E556" s="1" t="str">
        <f t="shared" si="24"/>
        <v>2025-02</v>
      </c>
      <c r="F556" t="s">
        <v>15</v>
      </c>
      <c r="G556" t="s">
        <v>7</v>
      </c>
      <c r="H556">
        <v>3</v>
      </c>
      <c r="I556" s="2">
        <v>70</v>
      </c>
      <c r="J556" s="2">
        <f t="shared" si="25"/>
        <v>210</v>
      </c>
      <c r="K556" s="2" t="str">
        <f t="shared" si="26"/>
        <v>Sale</v>
      </c>
      <c r="L556" t="s">
        <v>8</v>
      </c>
    </row>
    <row r="557" spans="1:12" x14ac:dyDescent="0.25">
      <c r="A557">
        <v>5555</v>
      </c>
      <c r="B557">
        <v>89</v>
      </c>
      <c r="C557" s="5" t="str">
        <f>IFERROR(_xlfn.XLOOKUP(B557, Customers_raw!A:A, Customers_raw!B:B), "Unknown Customer")</f>
        <v>Andrew Thompson</v>
      </c>
      <c r="D557" s="1">
        <v>46004</v>
      </c>
      <c r="E557" s="1" t="str">
        <f t="shared" si="24"/>
        <v>2025-12</v>
      </c>
      <c r="F557" t="s">
        <v>16</v>
      </c>
      <c r="G557" t="s">
        <v>10</v>
      </c>
      <c r="H557">
        <v>2</v>
      </c>
      <c r="I557" s="2">
        <v>28</v>
      </c>
      <c r="J557" s="2">
        <f t="shared" si="25"/>
        <v>56</v>
      </c>
      <c r="K557" s="2" t="str">
        <f t="shared" si="26"/>
        <v>Sale</v>
      </c>
      <c r="L557" t="s">
        <v>27</v>
      </c>
    </row>
    <row r="558" spans="1:12" x14ac:dyDescent="0.25">
      <c r="A558">
        <v>5556</v>
      </c>
      <c r="B558">
        <v>83</v>
      </c>
      <c r="C558" s="5" t="str">
        <f>IFERROR(_xlfn.XLOOKUP(B558, Customers_raw!A:A, Customers_raw!B:B), "Unknown Customer")</f>
        <v>Mary Martinez</v>
      </c>
      <c r="D558" s="1">
        <v>45982</v>
      </c>
      <c r="E558" s="1" t="str">
        <f t="shared" si="24"/>
        <v>2025-11</v>
      </c>
      <c r="F558" t="s">
        <v>9</v>
      </c>
      <c r="G558" t="s">
        <v>6</v>
      </c>
      <c r="H558">
        <v>3</v>
      </c>
      <c r="I558" s="2">
        <v>48</v>
      </c>
      <c r="J558" s="2">
        <f t="shared" si="25"/>
        <v>144</v>
      </c>
      <c r="K558" s="2" t="str">
        <f t="shared" si="26"/>
        <v>Sale</v>
      </c>
      <c r="L558" t="s">
        <v>5</v>
      </c>
    </row>
    <row r="559" spans="1:12" x14ac:dyDescent="0.25">
      <c r="A559">
        <v>5557</v>
      </c>
      <c r="B559">
        <v>84</v>
      </c>
      <c r="C559" s="5" t="str">
        <f>IFERROR(_xlfn.XLOOKUP(B559, Customers_raw!A:A, Customers_raw!B:B), "Unknown Customer")</f>
        <v>Kimberly Lewis</v>
      </c>
      <c r="D559" s="1">
        <v>45741</v>
      </c>
      <c r="E559" s="1" t="str">
        <f t="shared" si="24"/>
        <v>2025-03</v>
      </c>
      <c r="F559" t="s">
        <v>18</v>
      </c>
      <c r="G559" t="s">
        <v>6</v>
      </c>
      <c r="H559">
        <v>1</v>
      </c>
      <c r="I559" s="2">
        <v>89</v>
      </c>
      <c r="J559" s="2">
        <f t="shared" si="25"/>
        <v>89</v>
      </c>
      <c r="K559" s="2" t="str">
        <f t="shared" si="26"/>
        <v>Sale</v>
      </c>
      <c r="L559" t="s">
        <v>27</v>
      </c>
    </row>
    <row r="560" spans="1:12" x14ac:dyDescent="0.25">
      <c r="A560">
        <v>5558</v>
      </c>
      <c r="B560">
        <v>2</v>
      </c>
      <c r="C560" s="5" t="str">
        <f>IFERROR(_xlfn.XLOOKUP(B560, Customers_raw!A:A, Customers_raw!B:B), "Unknown Customer")</f>
        <v>Michael Lopez</v>
      </c>
      <c r="D560" s="1">
        <v>45667</v>
      </c>
      <c r="E560" s="1" t="str">
        <f t="shared" si="24"/>
        <v>2025-01</v>
      </c>
      <c r="F560" t="s">
        <v>21</v>
      </c>
      <c r="G560" t="s">
        <v>17</v>
      </c>
      <c r="H560">
        <v>3</v>
      </c>
      <c r="I560" s="2">
        <v>63</v>
      </c>
      <c r="J560" s="2">
        <f t="shared" si="25"/>
        <v>189</v>
      </c>
      <c r="K560" s="2" t="str">
        <f t="shared" si="26"/>
        <v>Sale</v>
      </c>
      <c r="L560" t="s">
        <v>8</v>
      </c>
    </row>
    <row r="561" spans="1:12" x14ac:dyDescent="0.25">
      <c r="A561">
        <v>5559</v>
      </c>
      <c r="B561">
        <v>103</v>
      </c>
      <c r="C561" s="5" t="str">
        <f>IFERROR(_xlfn.XLOOKUP(B561, Customers_raw!A:A, Customers_raw!B:B), "Unknown Customer")</f>
        <v>Mark Wilson</v>
      </c>
      <c r="D561" s="1">
        <v>45746</v>
      </c>
      <c r="E561" s="1" t="str">
        <f t="shared" si="24"/>
        <v>2025-03</v>
      </c>
      <c r="F561" t="s">
        <v>16</v>
      </c>
      <c r="G561" t="s">
        <v>10</v>
      </c>
      <c r="H561">
        <v>3</v>
      </c>
      <c r="I561" s="2">
        <v>28</v>
      </c>
      <c r="J561" s="2">
        <f t="shared" si="25"/>
        <v>84</v>
      </c>
      <c r="K561" s="2" t="str">
        <f t="shared" si="26"/>
        <v>Sale</v>
      </c>
      <c r="L561" t="s">
        <v>27</v>
      </c>
    </row>
    <row r="562" spans="1:12" x14ac:dyDescent="0.25">
      <c r="A562">
        <v>5560</v>
      </c>
      <c r="B562">
        <v>23</v>
      </c>
      <c r="C562" s="5" t="str">
        <f>IFERROR(_xlfn.XLOOKUP(B562, Customers_raw!A:A, Customers_raw!B:B), "Unknown Customer")</f>
        <v>Thomas Martinez</v>
      </c>
      <c r="D562" s="1">
        <v>46022</v>
      </c>
      <c r="E562" s="1" t="str">
        <f t="shared" si="24"/>
        <v>2025-12</v>
      </c>
      <c r="F562" t="s">
        <v>18</v>
      </c>
      <c r="G562" t="s">
        <v>6</v>
      </c>
      <c r="H562">
        <v>1</v>
      </c>
      <c r="I562" s="2">
        <v>86</v>
      </c>
      <c r="J562" s="2">
        <f t="shared" si="25"/>
        <v>86</v>
      </c>
      <c r="K562" s="2" t="str">
        <f t="shared" si="26"/>
        <v>Sale</v>
      </c>
      <c r="L562" t="s">
        <v>8</v>
      </c>
    </row>
    <row r="563" spans="1:12" x14ac:dyDescent="0.25">
      <c r="A563">
        <v>5561</v>
      </c>
      <c r="B563">
        <v>26</v>
      </c>
      <c r="C563" s="5" t="str">
        <f>IFERROR(_xlfn.XLOOKUP(B563, Customers_raw!A:A, Customers_raw!B:B), "Unknown Customer")</f>
        <v>Betty Johnson</v>
      </c>
      <c r="D563" s="1">
        <v>45898</v>
      </c>
      <c r="E563" s="1" t="str">
        <f t="shared" si="24"/>
        <v>2025-08</v>
      </c>
      <c r="F563" t="s">
        <v>20</v>
      </c>
      <c r="G563" t="s">
        <v>10</v>
      </c>
      <c r="H563">
        <v>1</v>
      </c>
      <c r="I563" s="2">
        <v>68</v>
      </c>
      <c r="J563" s="2">
        <f t="shared" si="25"/>
        <v>68</v>
      </c>
      <c r="K563" s="2" t="str">
        <f t="shared" si="26"/>
        <v>Sale</v>
      </c>
      <c r="L563" t="s">
        <v>5</v>
      </c>
    </row>
    <row r="564" spans="1:12" x14ac:dyDescent="0.25">
      <c r="A564">
        <v>5562</v>
      </c>
      <c r="B564">
        <v>54</v>
      </c>
      <c r="C564" s="5" t="str">
        <f>IFERROR(_xlfn.XLOOKUP(B564, Customers_raw!A:A, Customers_raw!B:B), "Unknown Customer")</f>
        <v>Donald Moore</v>
      </c>
      <c r="D564" s="1">
        <v>45725</v>
      </c>
      <c r="E564" s="1" t="str">
        <f t="shared" si="24"/>
        <v>2025-03</v>
      </c>
      <c r="F564" t="s">
        <v>19</v>
      </c>
      <c r="G564" t="s">
        <v>17</v>
      </c>
      <c r="H564">
        <v>1</v>
      </c>
      <c r="I564" s="2">
        <v>19.095238095238095</v>
      </c>
      <c r="J564" s="2">
        <f t="shared" si="25"/>
        <v>19.095238095238095</v>
      </c>
      <c r="K564" s="2" t="str">
        <f t="shared" si="26"/>
        <v>Sale</v>
      </c>
      <c r="L564" t="s">
        <v>27</v>
      </c>
    </row>
    <row r="565" spans="1:12" x14ac:dyDescent="0.25">
      <c r="A565">
        <v>5563</v>
      </c>
      <c r="B565">
        <v>34</v>
      </c>
      <c r="C565" s="5" t="str">
        <f>IFERROR(_xlfn.XLOOKUP(B565, Customers_raw!A:A, Customers_raw!B:B), "Unknown Customer")</f>
        <v>Joseph Jackson</v>
      </c>
      <c r="D565" s="1">
        <v>45690</v>
      </c>
      <c r="E565" s="1" t="str">
        <f t="shared" si="24"/>
        <v>2025-02</v>
      </c>
      <c r="F565" t="s">
        <v>12</v>
      </c>
      <c r="G565" t="s">
        <v>10</v>
      </c>
      <c r="H565">
        <v>3</v>
      </c>
      <c r="I565" s="2">
        <v>22</v>
      </c>
      <c r="J565" s="2">
        <f t="shared" si="25"/>
        <v>66</v>
      </c>
      <c r="K565" s="2" t="str">
        <f t="shared" si="26"/>
        <v>Sale</v>
      </c>
      <c r="L565" t="s">
        <v>5</v>
      </c>
    </row>
    <row r="566" spans="1:12" x14ac:dyDescent="0.25">
      <c r="A566">
        <v>5564</v>
      </c>
      <c r="B566">
        <v>65</v>
      </c>
      <c r="C566" s="5" t="str">
        <f>IFERROR(_xlfn.XLOOKUP(B566, Customers_raw!A:A, Customers_raw!B:B), "Unknown Customer")</f>
        <v>Betty Jones</v>
      </c>
      <c r="D566" s="1">
        <v>45730</v>
      </c>
      <c r="E566" s="1" t="str">
        <f t="shared" si="24"/>
        <v>2025-03</v>
      </c>
      <c r="F566" t="s">
        <v>13</v>
      </c>
      <c r="G566" t="s">
        <v>7</v>
      </c>
      <c r="H566">
        <v>2</v>
      </c>
      <c r="I566" s="2">
        <v>35</v>
      </c>
      <c r="J566" s="2">
        <f t="shared" si="25"/>
        <v>70</v>
      </c>
      <c r="K566" s="2" t="str">
        <f t="shared" si="26"/>
        <v>Sale</v>
      </c>
      <c r="L566" t="s">
        <v>5</v>
      </c>
    </row>
    <row r="567" spans="1:12" x14ac:dyDescent="0.25">
      <c r="A567">
        <v>5565</v>
      </c>
      <c r="B567">
        <v>55</v>
      </c>
      <c r="C567" s="5" t="str">
        <f>IFERROR(_xlfn.XLOOKUP(B567, Customers_raw!A:A, Customers_raw!B:B), "Unknown Customer")</f>
        <v>Thomas Walker</v>
      </c>
      <c r="D567" s="1">
        <v>45809</v>
      </c>
      <c r="E567" s="1" t="str">
        <f t="shared" si="24"/>
        <v>2025-06</v>
      </c>
      <c r="F567" t="s">
        <v>14</v>
      </c>
      <c r="G567" t="s">
        <v>7</v>
      </c>
      <c r="H567">
        <v>1</v>
      </c>
      <c r="I567" s="2">
        <v>55</v>
      </c>
      <c r="J567" s="2">
        <f t="shared" si="25"/>
        <v>55</v>
      </c>
      <c r="K567" s="2" t="str">
        <f t="shared" si="26"/>
        <v>Sale</v>
      </c>
      <c r="L567" t="s">
        <v>8</v>
      </c>
    </row>
    <row r="568" spans="1:12" x14ac:dyDescent="0.25">
      <c r="A568">
        <v>5566</v>
      </c>
      <c r="B568">
        <v>9</v>
      </c>
      <c r="C568" s="5" t="str">
        <f>IFERROR(_xlfn.XLOOKUP(B568, Customers_raw!A:A, Customers_raw!B:B), "Unknown Customer")</f>
        <v>Andrew Anderson</v>
      </c>
      <c r="D568" s="1">
        <v>45735</v>
      </c>
      <c r="E568" s="1" t="str">
        <f t="shared" si="24"/>
        <v>2025-03</v>
      </c>
      <c r="F568" t="s">
        <v>21</v>
      </c>
      <c r="G568" t="s">
        <v>17</v>
      </c>
      <c r="H568">
        <v>3</v>
      </c>
      <c r="I568" s="2">
        <v>60</v>
      </c>
      <c r="J568" s="2">
        <f t="shared" si="25"/>
        <v>180</v>
      </c>
      <c r="K568" s="2" t="str">
        <f t="shared" si="26"/>
        <v>Sale</v>
      </c>
      <c r="L568" t="s">
        <v>27</v>
      </c>
    </row>
    <row r="569" spans="1:12" x14ac:dyDescent="0.25">
      <c r="A569">
        <v>5567</v>
      </c>
      <c r="B569">
        <v>12</v>
      </c>
      <c r="C569" s="5" t="str">
        <f>IFERROR(_xlfn.XLOOKUP(B569, Customers_raw!A:A, Customers_raw!B:B), "Unknown Customer")</f>
        <v>Linda Moore</v>
      </c>
      <c r="D569" s="1">
        <v>45899</v>
      </c>
      <c r="E569" s="1" t="str">
        <f t="shared" si="24"/>
        <v>2025-08</v>
      </c>
      <c r="F569" t="s">
        <v>22</v>
      </c>
      <c r="G569" t="s">
        <v>17</v>
      </c>
      <c r="H569">
        <v>1</v>
      </c>
      <c r="I569" s="2">
        <v>21</v>
      </c>
      <c r="J569" s="2">
        <f t="shared" si="25"/>
        <v>21</v>
      </c>
      <c r="K569" s="2" t="str">
        <f t="shared" si="26"/>
        <v>Sale</v>
      </c>
      <c r="L569" t="s">
        <v>8</v>
      </c>
    </row>
    <row r="570" spans="1:12" x14ac:dyDescent="0.25">
      <c r="A570">
        <v>5568</v>
      </c>
      <c r="B570">
        <v>108</v>
      </c>
      <c r="C570" s="5" t="str">
        <f>IFERROR(_xlfn.XLOOKUP(B570, Customers_raw!A:A, Customers_raw!B:B), "Unknown Customer")</f>
        <v>Charles Perez</v>
      </c>
      <c r="D570" s="1">
        <v>45892</v>
      </c>
      <c r="E570" s="1" t="str">
        <f t="shared" si="24"/>
        <v>2025-08</v>
      </c>
      <c r="F570" t="s">
        <v>22</v>
      </c>
      <c r="G570" t="s">
        <v>17</v>
      </c>
      <c r="H570">
        <v>1</v>
      </c>
      <c r="I570" s="2">
        <v>27</v>
      </c>
      <c r="J570" s="2">
        <f t="shared" si="25"/>
        <v>27</v>
      </c>
      <c r="K570" s="2" t="str">
        <f t="shared" si="26"/>
        <v>Sale</v>
      </c>
      <c r="L570" t="s">
        <v>5</v>
      </c>
    </row>
    <row r="571" spans="1:12" x14ac:dyDescent="0.25">
      <c r="A571">
        <v>5569</v>
      </c>
      <c r="B571">
        <v>8</v>
      </c>
      <c r="C571" s="5" t="str">
        <f>IFERROR(_xlfn.XLOOKUP(B571, Customers_raw!A:A, Customers_raw!B:B), "Unknown Customer")</f>
        <v>Lisa Brown</v>
      </c>
      <c r="D571" s="1">
        <v>45775</v>
      </c>
      <c r="E571" s="1" t="str">
        <f t="shared" si="24"/>
        <v>2025-04</v>
      </c>
      <c r="F571" t="s">
        <v>16</v>
      </c>
      <c r="G571" t="s">
        <v>10</v>
      </c>
      <c r="H571">
        <v>1</v>
      </c>
      <c r="I571" s="2">
        <v>31</v>
      </c>
      <c r="J571" s="2">
        <f t="shared" si="25"/>
        <v>31</v>
      </c>
      <c r="K571" s="2" t="str">
        <f t="shared" si="26"/>
        <v>Sale</v>
      </c>
      <c r="L571" t="s">
        <v>5</v>
      </c>
    </row>
    <row r="572" spans="1:12" x14ac:dyDescent="0.25">
      <c r="A572">
        <v>5570</v>
      </c>
      <c r="B572">
        <v>92</v>
      </c>
      <c r="C572" s="5" t="str">
        <f>IFERROR(_xlfn.XLOOKUP(B572, Customers_raw!A:A, Customers_raw!B:B), "Unknown Customer")</f>
        <v>Joseph Harris</v>
      </c>
      <c r="D572" s="1">
        <v>45890</v>
      </c>
      <c r="E572" s="1" t="str">
        <f t="shared" si="24"/>
        <v>2025-08</v>
      </c>
      <c r="F572" t="s">
        <v>19</v>
      </c>
      <c r="G572" t="s">
        <v>17</v>
      </c>
      <c r="H572">
        <v>1</v>
      </c>
      <c r="I572" s="2">
        <v>19</v>
      </c>
      <c r="J572" s="2">
        <f t="shared" si="25"/>
        <v>19</v>
      </c>
      <c r="K572" s="2" t="str">
        <f t="shared" si="26"/>
        <v>Sale</v>
      </c>
      <c r="L572" t="s">
        <v>27</v>
      </c>
    </row>
    <row r="573" spans="1:12" x14ac:dyDescent="0.25">
      <c r="A573">
        <v>5571</v>
      </c>
      <c r="B573">
        <v>21</v>
      </c>
      <c r="C573" s="5" t="str">
        <f>IFERROR(_xlfn.XLOOKUP(B573, Customers_raw!A:A, Customers_raw!B:B), "Unknown Customer")</f>
        <v>Daniel Thompson</v>
      </c>
      <c r="D573" s="1">
        <v>45773</v>
      </c>
      <c r="E573" s="1" t="str">
        <f t="shared" si="24"/>
        <v>2025-04</v>
      </c>
      <c r="F573" t="s">
        <v>16</v>
      </c>
      <c r="G573" t="s">
        <v>10</v>
      </c>
      <c r="H573">
        <v>1</v>
      </c>
      <c r="I573" s="2">
        <v>28</v>
      </c>
      <c r="J573" s="2">
        <f t="shared" si="25"/>
        <v>28</v>
      </c>
      <c r="K573" s="2" t="str">
        <f t="shared" si="26"/>
        <v>Sale</v>
      </c>
      <c r="L573" t="s">
        <v>27</v>
      </c>
    </row>
    <row r="574" spans="1:12" x14ac:dyDescent="0.25">
      <c r="A574">
        <v>5572</v>
      </c>
      <c r="B574">
        <v>93</v>
      </c>
      <c r="C574" s="5" t="str">
        <f>IFERROR(_xlfn.XLOOKUP(B574, Customers_raw!A:A, Customers_raw!B:B), "Unknown Customer")</f>
        <v>Charles Sanchez</v>
      </c>
      <c r="D574" s="1">
        <v>45686</v>
      </c>
      <c r="E574" s="1" t="str">
        <f t="shared" si="24"/>
        <v>2025-01</v>
      </c>
      <c r="F574" t="s">
        <v>18</v>
      </c>
      <c r="G574" t="s">
        <v>6</v>
      </c>
      <c r="H574">
        <v>1</v>
      </c>
      <c r="I574" s="2">
        <v>89</v>
      </c>
      <c r="J574" s="2">
        <f t="shared" si="25"/>
        <v>89</v>
      </c>
      <c r="K574" s="2" t="str">
        <f t="shared" si="26"/>
        <v>Sale</v>
      </c>
      <c r="L574" t="s">
        <v>27</v>
      </c>
    </row>
    <row r="575" spans="1:12" x14ac:dyDescent="0.25">
      <c r="A575">
        <v>5573</v>
      </c>
      <c r="B575">
        <v>31</v>
      </c>
      <c r="C575" s="5" t="str">
        <f>IFERROR(_xlfn.XLOOKUP(B575, Customers_raw!A:A, Customers_raw!B:B), "Unknown Customer")</f>
        <v>Nancy Harris</v>
      </c>
      <c r="D575" s="1">
        <v>45747</v>
      </c>
      <c r="E575" s="1" t="str">
        <f t="shared" si="24"/>
        <v>2025-03</v>
      </c>
      <c r="F575" t="s">
        <v>20</v>
      </c>
      <c r="G575" t="s">
        <v>10</v>
      </c>
      <c r="H575">
        <v>2</v>
      </c>
      <c r="I575" s="2">
        <v>62</v>
      </c>
      <c r="J575" s="2">
        <f t="shared" si="25"/>
        <v>124</v>
      </c>
      <c r="K575" s="2" t="str">
        <f t="shared" si="26"/>
        <v>Sale</v>
      </c>
      <c r="L575" t="s">
        <v>8</v>
      </c>
    </row>
    <row r="576" spans="1:12" x14ac:dyDescent="0.25">
      <c r="A576">
        <v>5574</v>
      </c>
      <c r="B576">
        <v>101</v>
      </c>
      <c r="C576" s="5" t="str">
        <f>IFERROR(_xlfn.XLOOKUP(B576, Customers_raw!A:A, Customers_raw!B:B), "Unknown Customer")</f>
        <v>David Lee</v>
      </c>
      <c r="D576" s="1">
        <v>45924</v>
      </c>
      <c r="E576" s="1" t="str">
        <f t="shared" si="24"/>
        <v>2025-09</v>
      </c>
      <c r="F576" t="s">
        <v>15</v>
      </c>
      <c r="G576" t="s">
        <v>7</v>
      </c>
      <c r="H576">
        <v>3</v>
      </c>
      <c r="I576" s="2">
        <v>70</v>
      </c>
      <c r="J576" s="2">
        <f t="shared" si="25"/>
        <v>210</v>
      </c>
      <c r="K576" s="2" t="str">
        <f t="shared" si="26"/>
        <v>Sale</v>
      </c>
      <c r="L576" t="s">
        <v>8</v>
      </c>
    </row>
    <row r="577" spans="1:12" x14ac:dyDescent="0.25">
      <c r="A577">
        <v>5575</v>
      </c>
      <c r="B577">
        <v>14</v>
      </c>
      <c r="C577" s="5" t="str">
        <f>IFERROR(_xlfn.XLOOKUP(B577, Customers_raw!A:A, Customers_raw!B:B), "Unknown Customer")</f>
        <v>Christopher Hernandez</v>
      </c>
      <c r="D577" s="1">
        <v>45779</v>
      </c>
      <c r="E577" s="1" t="str">
        <f t="shared" si="24"/>
        <v>2025-05</v>
      </c>
      <c r="F577" t="s">
        <v>22</v>
      </c>
      <c r="G577" t="s">
        <v>17</v>
      </c>
      <c r="H577">
        <v>2</v>
      </c>
      <c r="I577" s="2">
        <v>24</v>
      </c>
      <c r="J577" s="2">
        <f t="shared" si="25"/>
        <v>48</v>
      </c>
      <c r="K577" s="2" t="str">
        <f t="shared" si="26"/>
        <v>Sale</v>
      </c>
      <c r="L577" t="s">
        <v>5</v>
      </c>
    </row>
    <row r="578" spans="1:12" x14ac:dyDescent="0.25">
      <c r="A578">
        <v>5576</v>
      </c>
      <c r="B578">
        <v>66</v>
      </c>
      <c r="C578" s="5" t="str">
        <f>IFERROR(_xlfn.XLOOKUP(B578, Customers_raw!A:A, Customers_raw!B:B), "Unknown Customer")</f>
        <v>Barbara Anderson</v>
      </c>
      <c r="D578" s="1">
        <v>45888</v>
      </c>
      <c r="E578" s="1" t="str">
        <f t="shared" si="24"/>
        <v>2025-08</v>
      </c>
      <c r="F578" t="s">
        <v>9</v>
      </c>
      <c r="G578" t="s">
        <v>6</v>
      </c>
      <c r="H578">
        <v>1</v>
      </c>
      <c r="I578" s="2">
        <v>45</v>
      </c>
      <c r="J578" s="2">
        <f t="shared" si="25"/>
        <v>45</v>
      </c>
      <c r="K578" s="2" t="str">
        <f t="shared" si="26"/>
        <v>Sale</v>
      </c>
      <c r="L578" t="s">
        <v>27</v>
      </c>
    </row>
    <row r="579" spans="1:12" x14ac:dyDescent="0.25">
      <c r="A579">
        <v>5577</v>
      </c>
      <c r="B579">
        <v>58</v>
      </c>
      <c r="C579" s="5" t="str">
        <f>IFERROR(_xlfn.XLOOKUP(B579, Customers_raw!A:A, Customers_raw!B:B), "Unknown Customer")</f>
        <v>Thomas Robinson</v>
      </c>
      <c r="D579" s="1">
        <v>45819</v>
      </c>
      <c r="E579" s="1" t="str">
        <f t="shared" ref="E579:E642" si="27">TEXT(D:D,"YYYY-MM")</f>
        <v>2025-06</v>
      </c>
      <c r="F579" t="s">
        <v>19</v>
      </c>
      <c r="G579" t="s">
        <v>17</v>
      </c>
      <c r="H579">
        <v>1</v>
      </c>
      <c r="I579" s="2">
        <v>19</v>
      </c>
      <c r="J579" s="2">
        <f t="shared" ref="J579:J642" si="28">H579*I579</f>
        <v>19</v>
      </c>
      <c r="K579" s="2" t="str">
        <f t="shared" ref="K579:K642" si="29">IF(H579&lt;0,"Return","Sale")</f>
        <v>Sale</v>
      </c>
      <c r="L579" t="s">
        <v>27</v>
      </c>
    </row>
    <row r="580" spans="1:12" x14ac:dyDescent="0.25">
      <c r="A580">
        <v>5578</v>
      </c>
      <c r="B580">
        <v>5</v>
      </c>
      <c r="C580" s="5" t="str">
        <f>IFERROR(_xlfn.XLOOKUP(B580, Customers_raw!A:A, Customers_raw!B:B), "Unknown Customer")</f>
        <v>Joshua Martin</v>
      </c>
      <c r="D580" s="1">
        <v>45724</v>
      </c>
      <c r="E580" s="1" t="str">
        <f t="shared" si="27"/>
        <v>2025-03</v>
      </c>
      <c r="F580" t="s">
        <v>15</v>
      </c>
      <c r="G580" t="s">
        <v>7</v>
      </c>
      <c r="H580">
        <v>2</v>
      </c>
      <c r="I580" s="2">
        <v>73</v>
      </c>
      <c r="J580" s="2">
        <f t="shared" si="28"/>
        <v>146</v>
      </c>
      <c r="K580" s="2" t="str">
        <f t="shared" si="29"/>
        <v>Sale</v>
      </c>
      <c r="L580" t="s">
        <v>5</v>
      </c>
    </row>
    <row r="581" spans="1:12" x14ac:dyDescent="0.25">
      <c r="A581">
        <v>5579</v>
      </c>
      <c r="B581">
        <v>9</v>
      </c>
      <c r="C581" s="5" t="str">
        <f>IFERROR(_xlfn.XLOOKUP(B581, Customers_raw!A:A, Customers_raw!B:B), "Unknown Customer")</f>
        <v>Andrew Anderson</v>
      </c>
      <c r="D581" s="1">
        <v>45832</v>
      </c>
      <c r="E581" s="1" t="str">
        <f t="shared" si="27"/>
        <v>2025-06</v>
      </c>
      <c r="F581" t="s">
        <v>22</v>
      </c>
      <c r="G581" t="s">
        <v>17</v>
      </c>
      <c r="H581">
        <v>2</v>
      </c>
      <c r="I581" s="2">
        <v>23.742857142857144</v>
      </c>
      <c r="J581" s="2">
        <f t="shared" si="28"/>
        <v>47.485714285714288</v>
      </c>
      <c r="K581" s="2" t="str">
        <f t="shared" si="29"/>
        <v>Sale</v>
      </c>
      <c r="L581" t="s">
        <v>5</v>
      </c>
    </row>
    <row r="582" spans="1:12" x14ac:dyDescent="0.25">
      <c r="A582">
        <v>5580</v>
      </c>
      <c r="B582">
        <v>13</v>
      </c>
      <c r="C582" s="5" t="str">
        <f>IFERROR(_xlfn.XLOOKUP(B582, Customers_raw!A:A, Customers_raw!B:B), "Unknown Customer")</f>
        <v>Anthony Johnson</v>
      </c>
      <c r="D582" s="1">
        <v>45684</v>
      </c>
      <c r="E582" s="1" t="str">
        <f t="shared" si="27"/>
        <v>2025-01</v>
      </c>
      <c r="F582" t="s">
        <v>19</v>
      </c>
      <c r="G582" t="s">
        <v>17</v>
      </c>
      <c r="H582">
        <v>1</v>
      </c>
      <c r="I582" s="2">
        <v>19</v>
      </c>
      <c r="J582" s="2">
        <f t="shared" si="28"/>
        <v>19</v>
      </c>
      <c r="K582" s="2" t="str">
        <f t="shared" si="29"/>
        <v>Sale</v>
      </c>
      <c r="L582" t="s">
        <v>5</v>
      </c>
    </row>
    <row r="583" spans="1:12" x14ac:dyDescent="0.25">
      <c r="A583">
        <v>5581</v>
      </c>
      <c r="B583">
        <v>10</v>
      </c>
      <c r="C583" s="5" t="str">
        <f>IFERROR(_xlfn.XLOOKUP(B583, Customers_raw!A:A, Customers_raw!B:B), "Unknown Customer")</f>
        <v>Karen Davis</v>
      </c>
      <c r="D583" s="1">
        <v>45741</v>
      </c>
      <c r="E583" s="1" t="str">
        <f t="shared" si="27"/>
        <v>2025-03</v>
      </c>
      <c r="F583" t="s">
        <v>11</v>
      </c>
      <c r="G583" t="s">
        <v>6</v>
      </c>
      <c r="H583">
        <v>1</v>
      </c>
      <c r="I583" s="2">
        <v>18</v>
      </c>
      <c r="J583" s="2">
        <f t="shared" si="28"/>
        <v>18</v>
      </c>
      <c r="K583" s="2" t="str">
        <f t="shared" si="29"/>
        <v>Sale</v>
      </c>
      <c r="L583" t="s">
        <v>8</v>
      </c>
    </row>
    <row r="584" spans="1:12" x14ac:dyDescent="0.25">
      <c r="A584">
        <v>5582</v>
      </c>
      <c r="B584">
        <v>91</v>
      </c>
      <c r="C584" s="5" t="str">
        <f>IFERROR(_xlfn.XLOOKUP(B584, Customers_raw!A:A, Customers_raw!B:B), "Unknown Customer")</f>
        <v>Donald Rodriguez</v>
      </c>
      <c r="D584" s="1">
        <v>45843</v>
      </c>
      <c r="E584" s="1" t="str">
        <f t="shared" si="27"/>
        <v>2025-07</v>
      </c>
      <c r="F584" t="s">
        <v>11</v>
      </c>
      <c r="G584" t="s">
        <v>6</v>
      </c>
      <c r="H584">
        <v>1</v>
      </c>
      <c r="I584" s="2">
        <v>17.804347826086957</v>
      </c>
      <c r="J584" s="2">
        <f t="shared" si="28"/>
        <v>17.804347826086957</v>
      </c>
      <c r="K584" s="2" t="str">
        <f t="shared" si="29"/>
        <v>Sale</v>
      </c>
      <c r="L584" t="s">
        <v>8</v>
      </c>
    </row>
    <row r="585" spans="1:12" x14ac:dyDescent="0.25">
      <c r="A585">
        <v>5583</v>
      </c>
      <c r="B585">
        <v>34</v>
      </c>
      <c r="C585" s="5" t="str">
        <f>IFERROR(_xlfn.XLOOKUP(B585, Customers_raw!A:A, Customers_raw!B:B), "Unknown Customer")</f>
        <v>Joseph Jackson</v>
      </c>
      <c r="D585" s="1">
        <v>45855</v>
      </c>
      <c r="E585" s="1" t="str">
        <f t="shared" si="27"/>
        <v>2025-07</v>
      </c>
      <c r="F585" t="s">
        <v>19</v>
      </c>
      <c r="G585" t="s">
        <v>17</v>
      </c>
      <c r="H585">
        <v>1</v>
      </c>
      <c r="I585" s="2">
        <v>19.095238095238095</v>
      </c>
      <c r="J585" s="2">
        <f t="shared" si="28"/>
        <v>19.095238095238095</v>
      </c>
      <c r="K585" s="2" t="str">
        <f t="shared" si="29"/>
        <v>Sale</v>
      </c>
      <c r="L585" t="s">
        <v>8</v>
      </c>
    </row>
    <row r="586" spans="1:12" x14ac:dyDescent="0.25">
      <c r="A586">
        <v>5584</v>
      </c>
      <c r="B586">
        <v>51</v>
      </c>
      <c r="C586" s="5" t="str">
        <f>IFERROR(_xlfn.XLOOKUP(B586, Customers_raw!A:A, Customers_raw!B:B), "Unknown Customer")</f>
        <v>Patricia Hernandez</v>
      </c>
      <c r="D586" s="1">
        <v>45761</v>
      </c>
      <c r="E586" s="1" t="str">
        <f t="shared" si="27"/>
        <v>2025-04</v>
      </c>
      <c r="F586" t="s">
        <v>19</v>
      </c>
      <c r="G586" t="s">
        <v>17</v>
      </c>
      <c r="H586">
        <v>3</v>
      </c>
      <c r="I586" s="2">
        <v>19</v>
      </c>
      <c r="J586" s="2">
        <f t="shared" si="28"/>
        <v>57</v>
      </c>
      <c r="K586" s="2" t="str">
        <f t="shared" si="29"/>
        <v>Sale</v>
      </c>
      <c r="L586" t="s">
        <v>27</v>
      </c>
    </row>
    <row r="587" spans="1:12" x14ac:dyDescent="0.25">
      <c r="A587">
        <v>5585</v>
      </c>
      <c r="B587">
        <v>44</v>
      </c>
      <c r="C587" s="5" t="str">
        <f>IFERROR(_xlfn.XLOOKUP(B587, Customers_raw!A:A, Customers_raw!B:B), "Unknown Customer")</f>
        <v>Emily Jackson</v>
      </c>
      <c r="D587" s="1">
        <v>45672</v>
      </c>
      <c r="E587" s="1" t="str">
        <f t="shared" si="27"/>
        <v>2025-01</v>
      </c>
      <c r="F587" t="s">
        <v>9</v>
      </c>
      <c r="G587" t="s">
        <v>6</v>
      </c>
      <c r="H587">
        <v>2</v>
      </c>
      <c r="I587" s="2">
        <v>45</v>
      </c>
      <c r="J587" s="2">
        <f t="shared" si="28"/>
        <v>90</v>
      </c>
      <c r="K587" s="2" t="str">
        <f t="shared" si="29"/>
        <v>Sale</v>
      </c>
      <c r="L587" t="s">
        <v>27</v>
      </c>
    </row>
    <row r="588" spans="1:12" x14ac:dyDescent="0.25">
      <c r="A588">
        <v>5586</v>
      </c>
      <c r="B588">
        <v>42</v>
      </c>
      <c r="C588" s="5" t="str">
        <f>IFERROR(_xlfn.XLOOKUP(B588, Customers_raw!A:A, Customers_raw!B:B), "Unknown Customer")</f>
        <v>Jennifer Harris</v>
      </c>
      <c r="D588" s="1">
        <v>45746</v>
      </c>
      <c r="E588" s="1" t="str">
        <f t="shared" si="27"/>
        <v>2025-03</v>
      </c>
      <c r="F588" t="s">
        <v>11</v>
      </c>
      <c r="G588" t="s">
        <v>6</v>
      </c>
      <c r="H588">
        <v>3</v>
      </c>
      <c r="I588" s="2">
        <v>18</v>
      </c>
      <c r="J588" s="2">
        <f t="shared" si="28"/>
        <v>54</v>
      </c>
      <c r="K588" s="2" t="str">
        <f t="shared" si="29"/>
        <v>Sale</v>
      </c>
      <c r="L588" t="s">
        <v>8</v>
      </c>
    </row>
    <row r="589" spans="1:12" x14ac:dyDescent="0.25">
      <c r="A589">
        <v>5587</v>
      </c>
      <c r="B589">
        <v>106</v>
      </c>
      <c r="C589" s="5" t="str">
        <f>IFERROR(_xlfn.XLOOKUP(B589, Customers_raw!A:A, Customers_raw!B:B), "Unknown Customer")</f>
        <v>Thomas Lopez</v>
      </c>
      <c r="D589" s="1">
        <v>45776</v>
      </c>
      <c r="E589" s="1" t="str">
        <f t="shared" si="27"/>
        <v>2025-04</v>
      </c>
      <c r="F589" t="s">
        <v>16</v>
      </c>
      <c r="G589" t="s">
        <v>10</v>
      </c>
      <c r="H589">
        <v>1</v>
      </c>
      <c r="I589" s="2">
        <v>28</v>
      </c>
      <c r="J589" s="2">
        <f t="shared" si="28"/>
        <v>28</v>
      </c>
      <c r="K589" s="2" t="str">
        <f t="shared" si="29"/>
        <v>Sale</v>
      </c>
      <c r="L589" t="s">
        <v>8</v>
      </c>
    </row>
    <row r="590" spans="1:12" x14ac:dyDescent="0.25">
      <c r="A590">
        <v>5588</v>
      </c>
      <c r="B590">
        <v>42</v>
      </c>
      <c r="C590" s="5" t="str">
        <f>IFERROR(_xlfn.XLOOKUP(B590, Customers_raw!A:A, Customers_raw!B:B), "Unknown Customer")</f>
        <v>Jennifer Harris</v>
      </c>
      <c r="D590" s="1">
        <v>45997</v>
      </c>
      <c r="E590" s="1" t="str">
        <f t="shared" si="27"/>
        <v>2025-12</v>
      </c>
      <c r="F590" t="s">
        <v>9</v>
      </c>
      <c r="G590" t="s">
        <v>6</v>
      </c>
      <c r="H590">
        <v>1</v>
      </c>
      <c r="I590" s="2">
        <v>45</v>
      </c>
      <c r="J590" s="2">
        <f t="shared" si="28"/>
        <v>45</v>
      </c>
      <c r="K590" s="2" t="str">
        <f t="shared" si="29"/>
        <v>Sale</v>
      </c>
      <c r="L590" t="s">
        <v>8</v>
      </c>
    </row>
    <row r="591" spans="1:12" x14ac:dyDescent="0.25">
      <c r="A591">
        <v>5589</v>
      </c>
      <c r="B591">
        <v>49</v>
      </c>
      <c r="C591" s="5" t="str">
        <f>IFERROR(_xlfn.XLOOKUP(B591, Customers_raw!A:A, Customers_raw!B:B), "Unknown Customer")</f>
        <v>Steven Smith</v>
      </c>
      <c r="D591" s="1">
        <v>45714</v>
      </c>
      <c r="E591" s="1" t="str">
        <f t="shared" si="27"/>
        <v>2025-02</v>
      </c>
      <c r="F591" t="s">
        <v>18</v>
      </c>
      <c r="G591" t="s">
        <v>6</v>
      </c>
      <c r="H591">
        <v>1</v>
      </c>
      <c r="I591" s="2">
        <v>89</v>
      </c>
      <c r="J591" s="2">
        <f t="shared" si="28"/>
        <v>89</v>
      </c>
      <c r="K591" s="2" t="str">
        <f t="shared" si="29"/>
        <v>Sale</v>
      </c>
      <c r="L591" t="s">
        <v>5</v>
      </c>
    </row>
    <row r="592" spans="1:12" x14ac:dyDescent="0.25">
      <c r="A592">
        <v>5590</v>
      </c>
      <c r="B592">
        <v>103</v>
      </c>
      <c r="C592" s="5" t="str">
        <f>IFERROR(_xlfn.XLOOKUP(B592, Customers_raw!A:A, Customers_raw!B:B), "Unknown Customer")</f>
        <v>Mark Wilson</v>
      </c>
      <c r="D592" s="1">
        <v>45745</v>
      </c>
      <c r="E592" s="1" t="str">
        <f t="shared" si="27"/>
        <v>2025-03</v>
      </c>
      <c r="F592" t="s">
        <v>16</v>
      </c>
      <c r="G592" t="s">
        <v>10</v>
      </c>
      <c r="H592">
        <v>-1</v>
      </c>
      <c r="I592" s="2">
        <v>28</v>
      </c>
      <c r="J592" s="2">
        <f t="shared" si="28"/>
        <v>-28</v>
      </c>
      <c r="K592" s="2" t="str">
        <f t="shared" si="29"/>
        <v>Return</v>
      </c>
      <c r="L592" t="s">
        <v>8</v>
      </c>
    </row>
    <row r="593" spans="1:12" x14ac:dyDescent="0.25">
      <c r="A593">
        <v>5591</v>
      </c>
      <c r="B593">
        <v>56</v>
      </c>
      <c r="C593" s="5" t="str">
        <f>IFERROR(_xlfn.XLOOKUP(B593, Customers_raw!A:A, Customers_raw!B:B), "Unknown Customer")</f>
        <v>Mark Hernandez</v>
      </c>
      <c r="D593" s="1">
        <v>45726</v>
      </c>
      <c r="E593" s="1" t="str">
        <f t="shared" si="27"/>
        <v>2025-03</v>
      </c>
      <c r="F593" t="s">
        <v>18</v>
      </c>
      <c r="G593" t="s">
        <v>6</v>
      </c>
      <c r="H593">
        <v>-2</v>
      </c>
      <c r="I593" s="2">
        <v>89</v>
      </c>
      <c r="J593" s="2">
        <f t="shared" si="28"/>
        <v>-178</v>
      </c>
      <c r="K593" s="2" t="str">
        <f t="shared" si="29"/>
        <v>Return</v>
      </c>
      <c r="L593" t="s">
        <v>5</v>
      </c>
    </row>
    <row r="594" spans="1:12" x14ac:dyDescent="0.25">
      <c r="A594">
        <v>5592</v>
      </c>
      <c r="B594">
        <v>109</v>
      </c>
      <c r="C594" s="5" t="str">
        <f>IFERROR(_xlfn.XLOOKUP(B594, Customers_raw!A:A, Customers_raw!B:B), "Unknown Customer")</f>
        <v>Richard Sanchez</v>
      </c>
      <c r="D594" s="1">
        <v>45821</v>
      </c>
      <c r="E594" s="1" t="str">
        <f t="shared" si="27"/>
        <v>2025-06</v>
      </c>
      <c r="F594" t="s">
        <v>20</v>
      </c>
      <c r="G594" t="s">
        <v>10</v>
      </c>
      <c r="H594">
        <v>3</v>
      </c>
      <c r="I594" s="2">
        <v>68</v>
      </c>
      <c r="J594" s="2">
        <f t="shared" si="28"/>
        <v>204</v>
      </c>
      <c r="K594" s="2" t="str">
        <f t="shared" si="29"/>
        <v>Sale</v>
      </c>
      <c r="L594" t="s">
        <v>27</v>
      </c>
    </row>
    <row r="595" spans="1:12" x14ac:dyDescent="0.25">
      <c r="A595">
        <v>5593</v>
      </c>
      <c r="B595">
        <v>59</v>
      </c>
      <c r="C595" s="5" t="str">
        <f>IFERROR(_xlfn.XLOOKUP(B595, Customers_raw!A:A, Customers_raw!B:B), "Unknown Customer")</f>
        <v>Betty Robinson</v>
      </c>
      <c r="D595" s="1">
        <v>45898</v>
      </c>
      <c r="E595" s="1" t="str">
        <f t="shared" si="27"/>
        <v>2025-08</v>
      </c>
      <c r="F595" t="s">
        <v>11</v>
      </c>
      <c r="G595" t="s">
        <v>6</v>
      </c>
      <c r="H595">
        <v>3</v>
      </c>
      <c r="I595" s="2">
        <v>18</v>
      </c>
      <c r="J595" s="2">
        <f t="shared" si="28"/>
        <v>54</v>
      </c>
      <c r="K595" s="2" t="str">
        <f t="shared" si="29"/>
        <v>Sale</v>
      </c>
      <c r="L595" t="s">
        <v>5</v>
      </c>
    </row>
    <row r="596" spans="1:12" x14ac:dyDescent="0.25">
      <c r="A596">
        <v>5594</v>
      </c>
      <c r="B596">
        <v>32</v>
      </c>
      <c r="C596" s="5" t="str">
        <f>IFERROR(_xlfn.XLOOKUP(B596, Customers_raw!A:A, Customers_raw!B:B), "Unknown Customer")</f>
        <v>Kimberly Lopez</v>
      </c>
      <c r="D596" s="1">
        <v>45709</v>
      </c>
      <c r="E596" s="1" t="str">
        <f t="shared" si="27"/>
        <v>2025-02</v>
      </c>
      <c r="F596" t="s">
        <v>12</v>
      </c>
      <c r="G596" t="s">
        <v>10</v>
      </c>
      <c r="H596">
        <v>1</v>
      </c>
      <c r="I596" s="2">
        <v>19</v>
      </c>
      <c r="J596" s="2">
        <f t="shared" si="28"/>
        <v>19</v>
      </c>
      <c r="K596" s="2" t="str">
        <f t="shared" si="29"/>
        <v>Sale</v>
      </c>
      <c r="L596" t="s">
        <v>5</v>
      </c>
    </row>
    <row r="597" spans="1:12" x14ac:dyDescent="0.25">
      <c r="A597">
        <v>5595</v>
      </c>
      <c r="B597">
        <v>10</v>
      </c>
      <c r="C597" s="5" t="str">
        <f>IFERROR(_xlfn.XLOOKUP(B597, Customers_raw!A:A, Customers_raw!B:B), "Unknown Customer")</f>
        <v>Karen Davis</v>
      </c>
      <c r="D597" s="1">
        <v>45749</v>
      </c>
      <c r="E597" s="1" t="str">
        <f t="shared" si="27"/>
        <v>2025-04</v>
      </c>
      <c r="F597" t="s">
        <v>21</v>
      </c>
      <c r="G597" t="s">
        <v>17</v>
      </c>
      <c r="H597">
        <v>3</v>
      </c>
      <c r="I597" s="2">
        <v>57</v>
      </c>
      <c r="J597" s="2">
        <f t="shared" si="28"/>
        <v>171</v>
      </c>
      <c r="K597" s="2" t="str">
        <f t="shared" si="29"/>
        <v>Sale</v>
      </c>
      <c r="L597" t="s">
        <v>5</v>
      </c>
    </row>
    <row r="598" spans="1:12" x14ac:dyDescent="0.25">
      <c r="A598">
        <v>5596</v>
      </c>
      <c r="B598">
        <v>52</v>
      </c>
      <c r="C598" s="5" t="str">
        <f>IFERROR(_xlfn.XLOOKUP(B598, Customers_raw!A:A, Customers_raw!B:B), "Unknown Customer")</f>
        <v>Sarah Johnson</v>
      </c>
      <c r="D598" s="1">
        <v>45697</v>
      </c>
      <c r="E598" s="1" t="str">
        <f t="shared" si="27"/>
        <v>2025-02</v>
      </c>
      <c r="F598" t="s">
        <v>18</v>
      </c>
      <c r="G598" t="s">
        <v>6</v>
      </c>
      <c r="H598">
        <v>1</v>
      </c>
      <c r="I598" s="2">
        <v>92</v>
      </c>
      <c r="J598" s="2">
        <f t="shared" si="28"/>
        <v>92</v>
      </c>
      <c r="K598" s="2" t="str">
        <f t="shared" si="29"/>
        <v>Sale</v>
      </c>
      <c r="L598" t="s">
        <v>5</v>
      </c>
    </row>
    <row r="599" spans="1:12" x14ac:dyDescent="0.25">
      <c r="A599">
        <v>5597</v>
      </c>
      <c r="B599">
        <v>94</v>
      </c>
      <c r="C599" s="5" t="str">
        <f>IFERROR(_xlfn.XLOOKUP(B599, Customers_raw!A:A, Customers_raw!B:B), "Unknown Customer")</f>
        <v>Kenneth Jones</v>
      </c>
      <c r="D599" s="1">
        <v>45838</v>
      </c>
      <c r="E599" s="1" t="str">
        <f t="shared" si="27"/>
        <v>2025-06</v>
      </c>
      <c r="F599" t="s">
        <v>18</v>
      </c>
      <c r="G599" t="s">
        <v>6</v>
      </c>
      <c r="H599">
        <v>2</v>
      </c>
      <c r="I599" s="2">
        <v>89.144230769230774</v>
      </c>
      <c r="J599" s="2">
        <f t="shared" si="28"/>
        <v>178.28846153846155</v>
      </c>
      <c r="K599" s="2" t="str">
        <f t="shared" si="29"/>
        <v>Sale</v>
      </c>
      <c r="L599" t="s">
        <v>8</v>
      </c>
    </row>
    <row r="600" spans="1:12" x14ac:dyDescent="0.25">
      <c r="A600">
        <v>5598</v>
      </c>
      <c r="B600">
        <v>58</v>
      </c>
      <c r="C600" s="5" t="str">
        <f>IFERROR(_xlfn.XLOOKUP(B600, Customers_raw!A:A, Customers_raw!B:B), "Unknown Customer")</f>
        <v>Thomas Robinson</v>
      </c>
      <c r="D600" s="1">
        <v>45664</v>
      </c>
      <c r="E600" s="1" t="str">
        <f t="shared" si="27"/>
        <v>2025-01</v>
      </c>
      <c r="F600" t="s">
        <v>14</v>
      </c>
      <c r="G600" t="s">
        <v>7</v>
      </c>
      <c r="H600">
        <v>1</v>
      </c>
      <c r="I600" s="2">
        <v>55</v>
      </c>
      <c r="J600" s="2">
        <f t="shared" si="28"/>
        <v>55</v>
      </c>
      <c r="K600" s="2" t="str">
        <f t="shared" si="29"/>
        <v>Sale</v>
      </c>
      <c r="L600" t="s">
        <v>5</v>
      </c>
    </row>
    <row r="601" spans="1:12" x14ac:dyDescent="0.25">
      <c r="A601">
        <v>5599</v>
      </c>
      <c r="B601">
        <v>90</v>
      </c>
      <c r="C601" s="5" t="str">
        <f>IFERROR(_xlfn.XLOOKUP(B601, Customers_raw!A:A, Customers_raw!B:B), "Unknown Customer")</f>
        <v>John Harris</v>
      </c>
      <c r="D601" s="1">
        <v>45993</v>
      </c>
      <c r="E601" s="1" t="str">
        <f t="shared" si="27"/>
        <v>2025-12</v>
      </c>
      <c r="F601" t="s">
        <v>12</v>
      </c>
      <c r="G601" t="s">
        <v>10</v>
      </c>
      <c r="H601">
        <v>1</v>
      </c>
      <c r="I601" s="2">
        <v>25</v>
      </c>
      <c r="J601" s="2">
        <f t="shared" si="28"/>
        <v>25</v>
      </c>
      <c r="K601" s="2" t="str">
        <f t="shared" si="29"/>
        <v>Sale</v>
      </c>
      <c r="L601" t="s">
        <v>8</v>
      </c>
    </row>
    <row r="602" spans="1:12" x14ac:dyDescent="0.25">
      <c r="A602">
        <v>5600</v>
      </c>
      <c r="B602">
        <v>92</v>
      </c>
      <c r="C602" s="5" t="str">
        <f>IFERROR(_xlfn.XLOOKUP(B602, Customers_raw!A:A, Customers_raw!B:B), "Unknown Customer")</f>
        <v>Joseph Harris</v>
      </c>
      <c r="D602" s="1">
        <v>45877</v>
      </c>
      <c r="E602" s="1" t="str">
        <f t="shared" si="27"/>
        <v>2025-08</v>
      </c>
      <c r="F602" t="s">
        <v>20</v>
      </c>
      <c r="G602" t="s">
        <v>10</v>
      </c>
      <c r="H602">
        <v>1</v>
      </c>
      <c r="I602" s="2">
        <v>68</v>
      </c>
      <c r="J602" s="2">
        <f t="shared" si="28"/>
        <v>68</v>
      </c>
      <c r="K602" s="2" t="str">
        <f t="shared" si="29"/>
        <v>Sale</v>
      </c>
      <c r="L602" t="s">
        <v>8</v>
      </c>
    </row>
    <row r="603" spans="1:12" x14ac:dyDescent="0.25">
      <c r="A603">
        <v>5601</v>
      </c>
      <c r="B603">
        <v>29</v>
      </c>
      <c r="C603" s="5" t="str">
        <f>IFERROR(_xlfn.XLOOKUP(B603, Customers_raw!A:A, Customers_raw!B:B), "Unknown Customer")</f>
        <v>Thomas Lopez</v>
      </c>
      <c r="D603" s="1">
        <v>45967</v>
      </c>
      <c r="E603" s="1" t="str">
        <f t="shared" si="27"/>
        <v>2025-11</v>
      </c>
      <c r="F603" t="s">
        <v>19</v>
      </c>
      <c r="G603" t="s">
        <v>17</v>
      </c>
      <c r="H603">
        <v>1</v>
      </c>
      <c r="I603" s="2">
        <v>19</v>
      </c>
      <c r="J603" s="2">
        <f t="shared" si="28"/>
        <v>19</v>
      </c>
      <c r="K603" s="2" t="str">
        <f t="shared" si="29"/>
        <v>Sale</v>
      </c>
      <c r="L603" t="s">
        <v>27</v>
      </c>
    </row>
    <row r="604" spans="1:12" x14ac:dyDescent="0.25">
      <c r="A604">
        <v>5602</v>
      </c>
      <c r="B604">
        <v>49</v>
      </c>
      <c r="C604" s="5" t="str">
        <f>IFERROR(_xlfn.XLOOKUP(B604, Customers_raw!A:A, Customers_raw!B:B), "Unknown Customer")</f>
        <v>Steven Smith</v>
      </c>
      <c r="D604" s="1">
        <v>46021</v>
      </c>
      <c r="E604" s="1" t="str">
        <f t="shared" si="27"/>
        <v>2025-12</v>
      </c>
      <c r="F604" t="s">
        <v>22</v>
      </c>
      <c r="G604" t="s">
        <v>17</v>
      </c>
      <c r="H604">
        <v>2</v>
      </c>
      <c r="I604" s="2">
        <v>24</v>
      </c>
      <c r="J604" s="2">
        <f t="shared" si="28"/>
        <v>48</v>
      </c>
      <c r="K604" s="2" t="str">
        <f t="shared" si="29"/>
        <v>Sale</v>
      </c>
      <c r="L604" t="s">
        <v>5</v>
      </c>
    </row>
    <row r="605" spans="1:12" x14ac:dyDescent="0.25">
      <c r="A605">
        <v>5603</v>
      </c>
      <c r="B605">
        <v>66</v>
      </c>
      <c r="C605" s="5" t="str">
        <f>IFERROR(_xlfn.XLOOKUP(B605, Customers_raw!A:A, Customers_raw!B:B), "Unknown Customer")</f>
        <v>Barbara Anderson</v>
      </c>
      <c r="D605" s="1">
        <v>45812</v>
      </c>
      <c r="E605" s="1" t="str">
        <f t="shared" si="27"/>
        <v>2025-06</v>
      </c>
      <c r="F605" t="s">
        <v>19</v>
      </c>
      <c r="G605" t="s">
        <v>17</v>
      </c>
      <c r="H605">
        <v>2</v>
      </c>
      <c r="I605" s="2">
        <v>22</v>
      </c>
      <c r="J605" s="2">
        <f t="shared" si="28"/>
        <v>44</v>
      </c>
      <c r="K605" s="2" t="str">
        <f t="shared" si="29"/>
        <v>Sale</v>
      </c>
      <c r="L605" t="s">
        <v>27</v>
      </c>
    </row>
    <row r="606" spans="1:12" x14ac:dyDescent="0.25">
      <c r="A606">
        <v>5604</v>
      </c>
      <c r="B606">
        <v>49</v>
      </c>
      <c r="C606" s="5" t="str">
        <f>IFERROR(_xlfn.XLOOKUP(B606, Customers_raw!A:A, Customers_raw!B:B), "Unknown Customer")</f>
        <v>Steven Smith</v>
      </c>
      <c r="D606" s="1">
        <v>45742</v>
      </c>
      <c r="E606" s="1" t="str">
        <f t="shared" si="27"/>
        <v>2025-03</v>
      </c>
      <c r="F606" t="s">
        <v>15</v>
      </c>
      <c r="G606" t="s">
        <v>7</v>
      </c>
      <c r="H606">
        <v>1</v>
      </c>
      <c r="I606" s="2">
        <v>73</v>
      </c>
      <c r="J606" s="2">
        <f t="shared" si="28"/>
        <v>73</v>
      </c>
      <c r="K606" s="2" t="str">
        <f t="shared" si="29"/>
        <v>Sale</v>
      </c>
      <c r="L606" t="s">
        <v>8</v>
      </c>
    </row>
    <row r="607" spans="1:12" x14ac:dyDescent="0.25">
      <c r="A607">
        <v>5605</v>
      </c>
      <c r="B607">
        <v>8</v>
      </c>
      <c r="C607" s="5" t="str">
        <f>IFERROR(_xlfn.XLOOKUP(B607, Customers_raw!A:A, Customers_raw!B:B), "Unknown Customer")</f>
        <v>Lisa Brown</v>
      </c>
      <c r="D607" s="1">
        <v>45916</v>
      </c>
      <c r="E607" s="1" t="str">
        <f t="shared" si="27"/>
        <v>2025-09</v>
      </c>
      <c r="F607" t="s">
        <v>9</v>
      </c>
      <c r="G607" t="s">
        <v>6</v>
      </c>
      <c r="H607">
        <v>2</v>
      </c>
      <c r="I607" s="2">
        <v>45</v>
      </c>
      <c r="J607" s="2">
        <f t="shared" si="28"/>
        <v>90</v>
      </c>
      <c r="K607" s="2" t="str">
        <f t="shared" si="29"/>
        <v>Sale</v>
      </c>
      <c r="L607" t="s">
        <v>27</v>
      </c>
    </row>
    <row r="608" spans="1:12" x14ac:dyDescent="0.25">
      <c r="A608">
        <v>5606</v>
      </c>
      <c r="B608">
        <v>72</v>
      </c>
      <c r="C608" s="5" t="str">
        <f>IFERROR(_xlfn.XLOOKUP(B608, Customers_raw!A:A, Customers_raw!B:B), "Unknown Customer")</f>
        <v>Steven Jackson</v>
      </c>
      <c r="D608" s="1">
        <v>45731</v>
      </c>
      <c r="E608" s="1" t="str">
        <f t="shared" si="27"/>
        <v>2025-03</v>
      </c>
      <c r="F608" t="s">
        <v>9</v>
      </c>
      <c r="G608" t="s">
        <v>6</v>
      </c>
      <c r="H608">
        <v>3</v>
      </c>
      <c r="I608" s="2">
        <v>45</v>
      </c>
      <c r="J608" s="2">
        <f t="shared" si="28"/>
        <v>135</v>
      </c>
      <c r="K608" s="2" t="str">
        <f t="shared" si="29"/>
        <v>Sale</v>
      </c>
      <c r="L608" t="s">
        <v>27</v>
      </c>
    </row>
    <row r="609" spans="1:12" x14ac:dyDescent="0.25">
      <c r="A609">
        <v>5607</v>
      </c>
      <c r="B609">
        <v>78</v>
      </c>
      <c r="C609" s="5" t="str">
        <f>IFERROR(_xlfn.XLOOKUP(B609, Customers_raw!A:A, Customers_raw!B:B), "Unknown Customer")</f>
        <v>Sandra Garcia</v>
      </c>
      <c r="D609" s="1">
        <v>45790</v>
      </c>
      <c r="E609" s="1" t="str">
        <f t="shared" si="27"/>
        <v>2025-05</v>
      </c>
      <c r="F609" t="s">
        <v>19</v>
      </c>
      <c r="G609" t="s">
        <v>17</v>
      </c>
      <c r="H609">
        <v>1</v>
      </c>
      <c r="I609" s="2">
        <v>19</v>
      </c>
      <c r="J609" s="2">
        <f t="shared" si="28"/>
        <v>19</v>
      </c>
      <c r="K609" s="2" t="str">
        <f t="shared" si="29"/>
        <v>Sale</v>
      </c>
      <c r="L609" t="s">
        <v>23</v>
      </c>
    </row>
    <row r="610" spans="1:12" x14ac:dyDescent="0.25">
      <c r="A610">
        <v>5608</v>
      </c>
      <c r="B610">
        <v>12</v>
      </c>
      <c r="C610" s="5" t="str">
        <f>IFERROR(_xlfn.XLOOKUP(B610, Customers_raw!A:A, Customers_raw!B:B), "Unknown Customer")</f>
        <v>Linda Moore</v>
      </c>
      <c r="D610" s="1">
        <v>45832</v>
      </c>
      <c r="E610" s="1" t="str">
        <f t="shared" si="27"/>
        <v>2025-06</v>
      </c>
      <c r="F610" t="s">
        <v>16</v>
      </c>
      <c r="G610" t="s">
        <v>10</v>
      </c>
      <c r="H610">
        <v>3</v>
      </c>
      <c r="I610" s="2">
        <v>28</v>
      </c>
      <c r="J610" s="2">
        <f t="shared" si="28"/>
        <v>84</v>
      </c>
      <c r="K610" s="2" t="str">
        <f t="shared" si="29"/>
        <v>Sale</v>
      </c>
      <c r="L610" t="s">
        <v>27</v>
      </c>
    </row>
    <row r="611" spans="1:12" x14ac:dyDescent="0.25">
      <c r="A611">
        <v>5609</v>
      </c>
      <c r="B611">
        <v>67</v>
      </c>
      <c r="C611" s="5" t="str">
        <f>IFERROR(_xlfn.XLOOKUP(B611, Customers_raw!A:A, Customers_raw!B:B), "Unknown Customer")</f>
        <v>Thomas Williams</v>
      </c>
      <c r="D611" s="1">
        <v>45776</v>
      </c>
      <c r="E611" s="1" t="str">
        <f t="shared" si="27"/>
        <v>2025-04</v>
      </c>
      <c r="F611" t="s">
        <v>20</v>
      </c>
      <c r="G611" t="s">
        <v>10</v>
      </c>
      <c r="H611">
        <v>1</v>
      </c>
      <c r="I611" s="2">
        <v>68</v>
      </c>
      <c r="J611" s="2">
        <f t="shared" si="28"/>
        <v>68</v>
      </c>
      <c r="K611" s="2" t="str">
        <f t="shared" si="29"/>
        <v>Sale</v>
      </c>
      <c r="L611" t="s">
        <v>5</v>
      </c>
    </row>
    <row r="612" spans="1:12" x14ac:dyDescent="0.25">
      <c r="A612">
        <v>5610</v>
      </c>
      <c r="B612">
        <v>60</v>
      </c>
      <c r="C612" s="5" t="str">
        <f>IFERROR(_xlfn.XLOOKUP(B612, Customers_raw!A:A, Customers_raw!B:B), "Unknown Customer")</f>
        <v>Margaret Moore</v>
      </c>
      <c r="D612" s="1">
        <v>45962</v>
      </c>
      <c r="E612" s="1" t="str">
        <f t="shared" si="27"/>
        <v>2025-11</v>
      </c>
      <c r="F612" t="s">
        <v>19</v>
      </c>
      <c r="G612" t="s">
        <v>17</v>
      </c>
      <c r="H612">
        <v>1</v>
      </c>
      <c r="I612" s="2">
        <v>19</v>
      </c>
      <c r="J612" s="2">
        <f t="shared" si="28"/>
        <v>19</v>
      </c>
      <c r="K612" s="2" t="str">
        <f t="shared" si="29"/>
        <v>Sale</v>
      </c>
      <c r="L612" t="s">
        <v>8</v>
      </c>
    </row>
    <row r="613" spans="1:12" x14ac:dyDescent="0.25">
      <c r="A613">
        <v>5611</v>
      </c>
      <c r="B613">
        <v>1</v>
      </c>
      <c r="C613" s="5" t="str">
        <f>IFERROR(_xlfn.XLOOKUP(B613, Customers_raw!A:A, Customers_raw!B:B), "Unknown Customer")</f>
        <v>Christopher Jones</v>
      </c>
      <c r="D613" s="1">
        <v>45702</v>
      </c>
      <c r="E613" s="1" t="str">
        <f t="shared" si="27"/>
        <v>2025-02</v>
      </c>
      <c r="F613" t="s">
        <v>13</v>
      </c>
      <c r="G613" t="s">
        <v>7</v>
      </c>
      <c r="H613">
        <v>2</v>
      </c>
      <c r="I613" s="2">
        <v>32</v>
      </c>
      <c r="J613" s="2">
        <f t="shared" si="28"/>
        <v>64</v>
      </c>
      <c r="K613" s="2" t="str">
        <f t="shared" si="29"/>
        <v>Sale</v>
      </c>
      <c r="L613" t="s">
        <v>8</v>
      </c>
    </row>
    <row r="614" spans="1:12" x14ac:dyDescent="0.25">
      <c r="A614">
        <v>5612</v>
      </c>
      <c r="B614">
        <v>22</v>
      </c>
      <c r="C614" s="5" t="str">
        <f>IFERROR(_xlfn.XLOOKUP(B614, Customers_raw!A:A, Customers_raw!B:B), "Unknown Customer")</f>
        <v>Joseph Thompson</v>
      </c>
      <c r="D614" s="1">
        <v>45768</v>
      </c>
      <c r="E614" s="1" t="str">
        <f t="shared" si="27"/>
        <v>2025-04</v>
      </c>
      <c r="F614" t="s">
        <v>22</v>
      </c>
      <c r="G614" t="s">
        <v>17</v>
      </c>
      <c r="H614">
        <v>2</v>
      </c>
      <c r="I614" s="2">
        <v>23.742857142857144</v>
      </c>
      <c r="J614" s="2">
        <f t="shared" si="28"/>
        <v>47.485714285714288</v>
      </c>
      <c r="K614" s="2" t="str">
        <f t="shared" si="29"/>
        <v>Sale</v>
      </c>
      <c r="L614" t="s">
        <v>27</v>
      </c>
    </row>
    <row r="615" spans="1:12" x14ac:dyDescent="0.25">
      <c r="A615">
        <v>5613</v>
      </c>
      <c r="B615">
        <v>45</v>
      </c>
      <c r="C615" s="5" t="str">
        <f>IFERROR(_xlfn.XLOOKUP(B615, Customers_raw!A:A, Customers_raw!B:B), "Unknown Customer")</f>
        <v>Michael Moore</v>
      </c>
      <c r="D615" s="1">
        <v>45695</v>
      </c>
      <c r="E615" s="1" t="str">
        <f t="shared" si="27"/>
        <v>2025-02</v>
      </c>
      <c r="F615" t="s">
        <v>14</v>
      </c>
      <c r="G615" t="s">
        <v>7</v>
      </c>
      <c r="H615">
        <v>1</v>
      </c>
      <c r="I615" s="2">
        <v>55</v>
      </c>
      <c r="J615" s="2">
        <f t="shared" si="28"/>
        <v>55</v>
      </c>
      <c r="K615" s="2" t="str">
        <f t="shared" si="29"/>
        <v>Sale</v>
      </c>
      <c r="L615" t="s">
        <v>8</v>
      </c>
    </row>
    <row r="616" spans="1:12" x14ac:dyDescent="0.25">
      <c r="A616">
        <v>5614</v>
      </c>
      <c r="B616">
        <v>11</v>
      </c>
      <c r="C616" s="5" t="str">
        <f>IFERROR(_xlfn.XLOOKUP(B616, Customers_raw!A:A, Customers_raw!B:B), "Unknown Customer")</f>
        <v>Ashley Robinson</v>
      </c>
      <c r="D616" s="1">
        <v>45904</v>
      </c>
      <c r="E616" s="1" t="str">
        <f t="shared" si="27"/>
        <v>2025-09</v>
      </c>
      <c r="F616" t="s">
        <v>20</v>
      </c>
      <c r="G616" t="s">
        <v>10</v>
      </c>
      <c r="H616">
        <v>1</v>
      </c>
      <c r="I616" s="2">
        <v>68</v>
      </c>
      <c r="J616" s="2">
        <f t="shared" si="28"/>
        <v>68</v>
      </c>
      <c r="K616" s="2" t="str">
        <f t="shared" si="29"/>
        <v>Sale</v>
      </c>
      <c r="L616" t="s">
        <v>8</v>
      </c>
    </row>
    <row r="617" spans="1:12" x14ac:dyDescent="0.25">
      <c r="A617">
        <v>5615</v>
      </c>
      <c r="B617">
        <v>62</v>
      </c>
      <c r="C617" s="5" t="str">
        <f>IFERROR(_xlfn.XLOOKUP(B617, Customers_raw!A:A, Customers_raw!B:B), "Unknown Customer")</f>
        <v>Mary Wilson</v>
      </c>
      <c r="D617" s="1">
        <v>45961</v>
      </c>
      <c r="E617" s="1" t="str">
        <f t="shared" si="27"/>
        <v>2025-10</v>
      </c>
      <c r="F617" t="s">
        <v>13</v>
      </c>
      <c r="G617" t="s">
        <v>7</v>
      </c>
      <c r="H617">
        <v>2</v>
      </c>
      <c r="I617" s="2">
        <v>32</v>
      </c>
      <c r="J617" s="2">
        <f t="shared" si="28"/>
        <v>64</v>
      </c>
      <c r="K617" s="2" t="str">
        <f t="shared" si="29"/>
        <v>Sale</v>
      </c>
      <c r="L617" t="s">
        <v>8</v>
      </c>
    </row>
    <row r="618" spans="1:12" x14ac:dyDescent="0.25">
      <c r="A618">
        <v>5616</v>
      </c>
      <c r="B618">
        <v>76</v>
      </c>
      <c r="C618" s="5" t="str">
        <f>IFERROR(_xlfn.XLOOKUP(B618, Customers_raw!A:A, Customers_raw!B:B), "Unknown Customer")</f>
        <v>Thomas Anderson</v>
      </c>
      <c r="D618" s="1">
        <v>45732</v>
      </c>
      <c r="E618" s="1" t="str">
        <f t="shared" si="27"/>
        <v>2025-03</v>
      </c>
      <c r="F618" t="s">
        <v>15</v>
      </c>
      <c r="G618" t="s">
        <v>7</v>
      </c>
      <c r="H618">
        <v>1</v>
      </c>
      <c r="I618" s="2">
        <v>69.878787878787875</v>
      </c>
      <c r="J618" s="2">
        <f t="shared" si="28"/>
        <v>69.878787878787875</v>
      </c>
      <c r="K618" s="2" t="str">
        <f t="shared" si="29"/>
        <v>Sale</v>
      </c>
      <c r="L618" t="s">
        <v>8</v>
      </c>
    </row>
    <row r="619" spans="1:12" x14ac:dyDescent="0.25">
      <c r="A619">
        <v>5617</v>
      </c>
      <c r="B619">
        <v>52</v>
      </c>
      <c r="C619" s="5" t="str">
        <f>IFERROR(_xlfn.XLOOKUP(B619, Customers_raw!A:A, Customers_raw!B:B), "Unknown Customer")</f>
        <v>Sarah Johnson</v>
      </c>
      <c r="D619" s="1">
        <v>45664</v>
      </c>
      <c r="E619" s="1" t="str">
        <f t="shared" si="27"/>
        <v>2025-01</v>
      </c>
      <c r="F619" t="s">
        <v>12</v>
      </c>
      <c r="G619" t="s">
        <v>10</v>
      </c>
      <c r="H619">
        <v>1</v>
      </c>
      <c r="I619" s="2">
        <v>22</v>
      </c>
      <c r="J619" s="2">
        <f t="shared" si="28"/>
        <v>22</v>
      </c>
      <c r="K619" s="2" t="str">
        <f t="shared" si="29"/>
        <v>Sale</v>
      </c>
      <c r="L619" t="s">
        <v>5</v>
      </c>
    </row>
    <row r="620" spans="1:12" x14ac:dyDescent="0.25">
      <c r="A620">
        <v>5618</v>
      </c>
      <c r="B620">
        <v>20</v>
      </c>
      <c r="C620" s="5" t="str">
        <f>IFERROR(_xlfn.XLOOKUP(B620, Customers_raw!A:A, Customers_raw!B:B), "Unknown Customer")</f>
        <v>David Ramirez</v>
      </c>
      <c r="D620" s="1">
        <v>45951</v>
      </c>
      <c r="E620" s="1" t="str">
        <f t="shared" si="27"/>
        <v>2025-10</v>
      </c>
      <c r="F620" t="s">
        <v>13</v>
      </c>
      <c r="G620" t="s">
        <v>7</v>
      </c>
      <c r="H620">
        <v>1</v>
      </c>
      <c r="I620" s="2">
        <v>32</v>
      </c>
      <c r="J620" s="2">
        <f t="shared" si="28"/>
        <v>32</v>
      </c>
      <c r="K620" s="2" t="str">
        <f t="shared" si="29"/>
        <v>Sale</v>
      </c>
      <c r="L620" t="s">
        <v>8</v>
      </c>
    </row>
    <row r="621" spans="1:12" x14ac:dyDescent="0.25">
      <c r="A621">
        <v>5619</v>
      </c>
      <c r="B621">
        <v>80</v>
      </c>
      <c r="C621" s="5" t="str">
        <f>IFERROR(_xlfn.XLOOKUP(B621, Customers_raw!A:A, Customers_raw!B:B), "Unknown Customer")</f>
        <v>Susan Lopez</v>
      </c>
      <c r="D621" s="1">
        <v>45738</v>
      </c>
      <c r="E621" s="1" t="str">
        <f t="shared" si="27"/>
        <v>2025-03</v>
      </c>
      <c r="F621" t="s">
        <v>18</v>
      </c>
      <c r="G621" t="s">
        <v>6</v>
      </c>
      <c r="H621">
        <v>3</v>
      </c>
      <c r="I621" s="2">
        <v>89</v>
      </c>
      <c r="J621" s="2">
        <f t="shared" si="28"/>
        <v>267</v>
      </c>
      <c r="K621" s="2" t="str">
        <f t="shared" si="29"/>
        <v>Sale</v>
      </c>
      <c r="L621" t="s">
        <v>5</v>
      </c>
    </row>
    <row r="622" spans="1:12" x14ac:dyDescent="0.25">
      <c r="A622">
        <v>5620</v>
      </c>
      <c r="B622">
        <v>110</v>
      </c>
      <c r="C622" s="5" t="str">
        <f>IFERROR(_xlfn.XLOOKUP(B622, Customers_raw!A:A, Customers_raw!B:B), "Unknown Customer")</f>
        <v>Betty Walker</v>
      </c>
      <c r="D622" s="1">
        <v>45825</v>
      </c>
      <c r="E622" s="1" t="str">
        <f t="shared" si="27"/>
        <v>2025-06</v>
      </c>
      <c r="F622" t="s">
        <v>14</v>
      </c>
      <c r="G622" t="s">
        <v>7</v>
      </c>
      <c r="H622">
        <v>1</v>
      </c>
      <c r="I622" s="2">
        <v>55</v>
      </c>
      <c r="J622" s="2">
        <f t="shared" si="28"/>
        <v>55</v>
      </c>
      <c r="K622" s="2" t="str">
        <f t="shared" si="29"/>
        <v>Sale</v>
      </c>
      <c r="L622" t="s">
        <v>5</v>
      </c>
    </row>
    <row r="623" spans="1:12" x14ac:dyDescent="0.25">
      <c r="A623">
        <v>5621</v>
      </c>
      <c r="B623">
        <v>24</v>
      </c>
      <c r="C623" s="5" t="str">
        <f>IFERROR(_xlfn.XLOOKUP(B623, Customers_raw!A:A, Customers_raw!B:B), "Unknown Customer")</f>
        <v>Joshua Hernandez</v>
      </c>
      <c r="D623" s="1">
        <v>45717</v>
      </c>
      <c r="E623" s="1" t="str">
        <f t="shared" si="27"/>
        <v>2025-03</v>
      </c>
      <c r="F623" t="s">
        <v>18</v>
      </c>
      <c r="G623" t="s">
        <v>6</v>
      </c>
      <c r="H623">
        <v>1</v>
      </c>
      <c r="I623" s="2">
        <v>92</v>
      </c>
      <c r="J623" s="2">
        <f t="shared" si="28"/>
        <v>92</v>
      </c>
      <c r="K623" s="2" t="str">
        <f t="shared" si="29"/>
        <v>Sale</v>
      </c>
      <c r="L623" t="s">
        <v>8</v>
      </c>
    </row>
    <row r="624" spans="1:12" x14ac:dyDescent="0.25">
      <c r="A624">
        <v>5622</v>
      </c>
      <c r="B624">
        <v>64</v>
      </c>
      <c r="C624" s="5" t="str">
        <f>IFERROR(_xlfn.XLOOKUP(B624, Customers_raw!A:A, Customers_raw!B:B), "Unknown Customer")</f>
        <v>Barbara Rodriguez</v>
      </c>
      <c r="D624" s="1">
        <v>45844</v>
      </c>
      <c r="E624" s="1" t="str">
        <f t="shared" si="27"/>
        <v>2025-07</v>
      </c>
      <c r="F624" t="s">
        <v>18</v>
      </c>
      <c r="G624" t="s">
        <v>6</v>
      </c>
      <c r="H624">
        <v>1</v>
      </c>
      <c r="I624" s="2">
        <v>92</v>
      </c>
      <c r="J624" s="2">
        <f t="shared" si="28"/>
        <v>92</v>
      </c>
      <c r="K624" s="2" t="str">
        <f t="shared" si="29"/>
        <v>Sale</v>
      </c>
      <c r="L624" t="s">
        <v>5</v>
      </c>
    </row>
    <row r="625" spans="1:12" x14ac:dyDescent="0.25">
      <c r="A625">
        <v>5623</v>
      </c>
      <c r="B625">
        <v>62</v>
      </c>
      <c r="C625" s="5" t="str">
        <f>IFERROR(_xlfn.XLOOKUP(B625, Customers_raw!A:A, Customers_raw!B:B), "Unknown Customer")</f>
        <v>Mary Wilson</v>
      </c>
      <c r="D625" s="1">
        <v>45828</v>
      </c>
      <c r="E625" s="1" t="str">
        <f t="shared" si="27"/>
        <v>2025-06</v>
      </c>
      <c r="F625" t="s">
        <v>12</v>
      </c>
      <c r="G625" t="s">
        <v>10</v>
      </c>
      <c r="H625">
        <v>2</v>
      </c>
      <c r="I625" s="2">
        <v>25</v>
      </c>
      <c r="J625" s="2">
        <f t="shared" si="28"/>
        <v>50</v>
      </c>
      <c r="K625" s="2" t="str">
        <f t="shared" si="29"/>
        <v>Sale</v>
      </c>
      <c r="L625" t="s">
        <v>8</v>
      </c>
    </row>
    <row r="626" spans="1:12" x14ac:dyDescent="0.25">
      <c r="A626">
        <v>5624</v>
      </c>
      <c r="B626">
        <v>48</v>
      </c>
      <c r="C626" s="5" t="str">
        <f>IFERROR(_xlfn.XLOOKUP(B626, Customers_raw!A:A, Customers_raw!B:B), "Unknown Customer")</f>
        <v>Sandra Thompson</v>
      </c>
      <c r="D626" s="1">
        <v>45749</v>
      </c>
      <c r="E626" s="1" t="str">
        <f t="shared" si="27"/>
        <v>2025-04</v>
      </c>
      <c r="F626" t="s">
        <v>14</v>
      </c>
      <c r="G626" t="s">
        <v>7</v>
      </c>
      <c r="H626">
        <v>3</v>
      </c>
      <c r="I626" s="2">
        <v>58</v>
      </c>
      <c r="J626" s="2">
        <f t="shared" si="28"/>
        <v>174</v>
      </c>
      <c r="K626" s="2" t="str">
        <f t="shared" si="29"/>
        <v>Sale</v>
      </c>
      <c r="L626" t="s">
        <v>5</v>
      </c>
    </row>
    <row r="627" spans="1:12" x14ac:dyDescent="0.25">
      <c r="A627">
        <v>5625</v>
      </c>
      <c r="B627">
        <v>37</v>
      </c>
      <c r="C627" s="5" t="str">
        <f>IFERROR(_xlfn.XLOOKUP(B627, Customers_raw!A:A, Customers_raw!B:B), "Unknown Customer")</f>
        <v>Kenneth Lopez</v>
      </c>
      <c r="D627" s="1">
        <v>45740</v>
      </c>
      <c r="E627" s="1" t="str">
        <f t="shared" si="27"/>
        <v>2025-03</v>
      </c>
      <c r="F627" t="s">
        <v>13</v>
      </c>
      <c r="G627" t="s">
        <v>7</v>
      </c>
      <c r="H627">
        <v>1</v>
      </c>
      <c r="I627" s="2">
        <v>29</v>
      </c>
      <c r="J627" s="2">
        <f t="shared" si="28"/>
        <v>29</v>
      </c>
      <c r="K627" s="2" t="str">
        <f t="shared" si="29"/>
        <v>Sale</v>
      </c>
      <c r="L627" t="s">
        <v>23</v>
      </c>
    </row>
    <row r="628" spans="1:12" x14ac:dyDescent="0.25">
      <c r="A628">
        <v>5626</v>
      </c>
      <c r="B628">
        <v>95</v>
      </c>
      <c r="C628" s="5" t="str">
        <f>IFERROR(_xlfn.XLOOKUP(B628, Customers_raw!A:A, Customers_raw!B:B), "Unknown Customer")</f>
        <v>Michelle Martin</v>
      </c>
      <c r="D628" s="1">
        <v>45733</v>
      </c>
      <c r="E628" s="1" t="str">
        <f t="shared" si="27"/>
        <v>2025-03</v>
      </c>
      <c r="F628" t="s">
        <v>20</v>
      </c>
      <c r="G628" t="s">
        <v>10</v>
      </c>
      <c r="H628">
        <v>1</v>
      </c>
      <c r="I628" s="2">
        <v>65</v>
      </c>
      <c r="J628" s="2">
        <f t="shared" si="28"/>
        <v>65</v>
      </c>
      <c r="K628" s="2" t="str">
        <f t="shared" si="29"/>
        <v>Sale</v>
      </c>
      <c r="L628" t="s">
        <v>5</v>
      </c>
    </row>
    <row r="629" spans="1:12" x14ac:dyDescent="0.25">
      <c r="A629">
        <v>5627</v>
      </c>
      <c r="B629">
        <v>16</v>
      </c>
      <c r="C629" s="5" t="str">
        <f>IFERROR(_xlfn.XLOOKUP(B629, Customers_raw!A:A, Customers_raw!B:B), "Unknown Customer")</f>
        <v>Karen Perez</v>
      </c>
      <c r="D629" s="1">
        <v>45712</v>
      </c>
      <c r="E629" s="1" t="str">
        <f t="shared" si="27"/>
        <v>2025-02</v>
      </c>
      <c r="F629" t="s">
        <v>19</v>
      </c>
      <c r="G629" t="s">
        <v>17</v>
      </c>
      <c r="H629">
        <v>2</v>
      </c>
      <c r="I629" s="2">
        <v>22</v>
      </c>
      <c r="J629" s="2">
        <f t="shared" si="28"/>
        <v>44</v>
      </c>
      <c r="K629" s="2" t="str">
        <f t="shared" si="29"/>
        <v>Sale</v>
      </c>
      <c r="L629" t="s">
        <v>8</v>
      </c>
    </row>
    <row r="630" spans="1:12" x14ac:dyDescent="0.25">
      <c r="A630">
        <v>5628</v>
      </c>
      <c r="B630">
        <v>108</v>
      </c>
      <c r="C630" s="5" t="str">
        <f>IFERROR(_xlfn.XLOOKUP(B630, Customers_raw!A:A, Customers_raw!B:B), "Unknown Customer")</f>
        <v>Charles Perez</v>
      </c>
      <c r="D630" s="1">
        <v>45678</v>
      </c>
      <c r="E630" s="1" t="str">
        <f t="shared" si="27"/>
        <v>2025-01</v>
      </c>
      <c r="F630" t="s">
        <v>9</v>
      </c>
      <c r="G630" t="s">
        <v>6</v>
      </c>
      <c r="H630">
        <v>3</v>
      </c>
      <c r="I630" s="2">
        <v>45</v>
      </c>
      <c r="J630" s="2">
        <f t="shared" si="28"/>
        <v>135</v>
      </c>
      <c r="K630" s="2" t="str">
        <f t="shared" si="29"/>
        <v>Sale</v>
      </c>
      <c r="L630" t="s">
        <v>5</v>
      </c>
    </row>
    <row r="631" spans="1:12" x14ac:dyDescent="0.25">
      <c r="A631">
        <v>5629</v>
      </c>
      <c r="B631">
        <v>45</v>
      </c>
      <c r="C631" s="5" t="str">
        <f>IFERROR(_xlfn.XLOOKUP(B631, Customers_raw!A:A, Customers_raw!B:B), "Unknown Customer")</f>
        <v>Michael Moore</v>
      </c>
      <c r="D631" s="1">
        <v>45749</v>
      </c>
      <c r="E631" s="1" t="str">
        <f t="shared" si="27"/>
        <v>2025-04</v>
      </c>
      <c r="F631" t="s">
        <v>19</v>
      </c>
      <c r="G631" t="s">
        <v>17</v>
      </c>
      <c r="H631">
        <v>1</v>
      </c>
      <c r="I631" s="2">
        <v>16</v>
      </c>
      <c r="J631" s="2">
        <f t="shared" si="28"/>
        <v>16</v>
      </c>
      <c r="K631" s="2" t="str">
        <f t="shared" si="29"/>
        <v>Sale</v>
      </c>
      <c r="L631" t="s">
        <v>27</v>
      </c>
    </row>
    <row r="632" spans="1:12" x14ac:dyDescent="0.25">
      <c r="A632">
        <v>5630</v>
      </c>
      <c r="B632">
        <v>16</v>
      </c>
      <c r="C632" s="5" t="str">
        <f>IFERROR(_xlfn.XLOOKUP(B632, Customers_raw!A:A, Customers_raw!B:B), "Unknown Customer")</f>
        <v>Karen Perez</v>
      </c>
      <c r="D632" s="1">
        <v>45992</v>
      </c>
      <c r="E632" s="1" t="str">
        <f t="shared" si="27"/>
        <v>2025-12</v>
      </c>
      <c r="F632" t="s">
        <v>16</v>
      </c>
      <c r="G632" t="s">
        <v>10</v>
      </c>
      <c r="H632">
        <v>3</v>
      </c>
      <c r="I632" s="2">
        <v>28</v>
      </c>
      <c r="J632" s="2">
        <f t="shared" si="28"/>
        <v>84</v>
      </c>
      <c r="K632" s="2" t="str">
        <f t="shared" si="29"/>
        <v>Sale</v>
      </c>
      <c r="L632" t="s">
        <v>27</v>
      </c>
    </row>
    <row r="633" spans="1:12" x14ac:dyDescent="0.25">
      <c r="A633">
        <v>5631</v>
      </c>
      <c r="B633">
        <v>14</v>
      </c>
      <c r="C633" s="5" t="str">
        <f>IFERROR(_xlfn.XLOOKUP(B633, Customers_raw!A:A, Customers_raw!B:B), "Unknown Customer")</f>
        <v>Christopher Hernandez</v>
      </c>
      <c r="D633" s="1">
        <v>45995</v>
      </c>
      <c r="E633" s="1" t="str">
        <f t="shared" si="27"/>
        <v>2025-12</v>
      </c>
      <c r="F633" t="s">
        <v>20</v>
      </c>
      <c r="G633" t="s">
        <v>10</v>
      </c>
      <c r="H633">
        <v>-3</v>
      </c>
      <c r="I633" s="2">
        <v>65</v>
      </c>
      <c r="J633" s="2">
        <f t="shared" si="28"/>
        <v>-195</v>
      </c>
      <c r="K633" s="2" t="str">
        <f t="shared" si="29"/>
        <v>Return</v>
      </c>
      <c r="L633" t="s">
        <v>8</v>
      </c>
    </row>
    <row r="634" spans="1:12" x14ac:dyDescent="0.25">
      <c r="A634">
        <v>5632</v>
      </c>
      <c r="B634">
        <v>42</v>
      </c>
      <c r="C634" s="5" t="str">
        <f>IFERROR(_xlfn.XLOOKUP(B634, Customers_raw!A:A, Customers_raw!B:B), "Unknown Customer")</f>
        <v>Jennifer Harris</v>
      </c>
      <c r="D634" s="1">
        <v>45867</v>
      </c>
      <c r="E634" s="1" t="str">
        <f t="shared" si="27"/>
        <v>2025-07</v>
      </c>
      <c r="F634" t="s">
        <v>14</v>
      </c>
      <c r="G634" t="s">
        <v>7</v>
      </c>
      <c r="H634">
        <v>2</v>
      </c>
      <c r="I634" s="2">
        <v>55</v>
      </c>
      <c r="J634" s="2">
        <f t="shared" si="28"/>
        <v>110</v>
      </c>
      <c r="K634" s="2" t="str">
        <f t="shared" si="29"/>
        <v>Sale</v>
      </c>
      <c r="L634" t="s">
        <v>5</v>
      </c>
    </row>
    <row r="635" spans="1:12" x14ac:dyDescent="0.25">
      <c r="A635">
        <v>5633</v>
      </c>
      <c r="B635">
        <v>91</v>
      </c>
      <c r="C635" s="5" t="str">
        <f>IFERROR(_xlfn.XLOOKUP(B635, Customers_raw!A:A, Customers_raw!B:B), "Unknown Customer")</f>
        <v>Donald Rodriguez</v>
      </c>
      <c r="D635" s="1">
        <v>45742</v>
      </c>
      <c r="E635" s="1" t="str">
        <f t="shared" si="27"/>
        <v>2025-03</v>
      </c>
      <c r="F635" t="s">
        <v>20</v>
      </c>
      <c r="G635" t="s">
        <v>10</v>
      </c>
      <c r="H635">
        <v>-1</v>
      </c>
      <c r="I635" s="2">
        <v>65</v>
      </c>
      <c r="J635" s="2">
        <f t="shared" si="28"/>
        <v>-65</v>
      </c>
      <c r="K635" s="2" t="str">
        <f t="shared" si="29"/>
        <v>Return</v>
      </c>
      <c r="L635" t="s">
        <v>8</v>
      </c>
    </row>
    <row r="636" spans="1:12" x14ac:dyDescent="0.25">
      <c r="A636">
        <v>5634</v>
      </c>
      <c r="B636">
        <v>68</v>
      </c>
      <c r="C636" s="5" t="str">
        <f>IFERROR(_xlfn.XLOOKUP(B636, Customers_raw!A:A, Customers_raw!B:B), "Unknown Customer")</f>
        <v>James Hernandez</v>
      </c>
      <c r="D636" s="1">
        <v>46006</v>
      </c>
      <c r="E636" s="1" t="str">
        <f t="shared" si="27"/>
        <v>2025-12</v>
      </c>
      <c r="F636" t="s">
        <v>21</v>
      </c>
      <c r="G636" t="s">
        <v>17</v>
      </c>
      <c r="H636">
        <v>2</v>
      </c>
      <c r="I636" s="2">
        <v>63</v>
      </c>
      <c r="J636" s="2">
        <f t="shared" si="28"/>
        <v>126</v>
      </c>
      <c r="K636" s="2" t="str">
        <f t="shared" si="29"/>
        <v>Sale</v>
      </c>
      <c r="L636" t="s">
        <v>8</v>
      </c>
    </row>
    <row r="637" spans="1:12" x14ac:dyDescent="0.25">
      <c r="A637">
        <v>5635</v>
      </c>
      <c r="B637">
        <v>57</v>
      </c>
      <c r="C637" s="5" t="str">
        <f>IFERROR(_xlfn.XLOOKUP(B637, Customers_raw!A:A, Customers_raw!B:B), "Unknown Customer")</f>
        <v>Karen Clark</v>
      </c>
      <c r="D637" s="1">
        <v>45758</v>
      </c>
      <c r="E637" s="1" t="str">
        <f t="shared" si="27"/>
        <v>2025-04</v>
      </c>
      <c r="F637" t="s">
        <v>16</v>
      </c>
      <c r="G637" t="s">
        <v>10</v>
      </c>
      <c r="H637">
        <v>3</v>
      </c>
      <c r="I637" s="2">
        <v>28</v>
      </c>
      <c r="J637" s="2">
        <f t="shared" si="28"/>
        <v>84</v>
      </c>
      <c r="K637" s="2" t="str">
        <f t="shared" si="29"/>
        <v>Sale</v>
      </c>
      <c r="L637" t="s">
        <v>8</v>
      </c>
    </row>
    <row r="638" spans="1:12" x14ac:dyDescent="0.25">
      <c r="A638">
        <v>5636</v>
      </c>
      <c r="B638">
        <v>101</v>
      </c>
      <c r="C638" s="5" t="str">
        <f>IFERROR(_xlfn.XLOOKUP(B638, Customers_raw!A:A, Customers_raw!B:B), "Unknown Customer")</f>
        <v>David Lee</v>
      </c>
      <c r="D638" s="1">
        <v>45922</v>
      </c>
      <c r="E638" s="1" t="str">
        <f t="shared" si="27"/>
        <v>2025-09</v>
      </c>
      <c r="F638" t="s">
        <v>15</v>
      </c>
      <c r="G638" t="s">
        <v>7</v>
      </c>
      <c r="H638">
        <v>2</v>
      </c>
      <c r="I638" s="2">
        <v>70</v>
      </c>
      <c r="J638" s="2">
        <f t="shared" si="28"/>
        <v>140</v>
      </c>
      <c r="K638" s="2" t="str">
        <f t="shared" si="29"/>
        <v>Sale</v>
      </c>
      <c r="L638" t="s">
        <v>27</v>
      </c>
    </row>
    <row r="639" spans="1:12" x14ac:dyDescent="0.25">
      <c r="A639">
        <v>5637</v>
      </c>
      <c r="B639">
        <v>89</v>
      </c>
      <c r="C639" s="5" t="str">
        <f>IFERROR(_xlfn.XLOOKUP(B639, Customers_raw!A:A, Customers_raw!B:B), "Unknown Customer")</f>
        <v>Andrew Thompson</v>
      </c>
      <c r="D639" s="1">
        <v>45660</v>
      </c>
      <c r="E639" s="1" t="str">
        <f t="shared" si="27"/>
        <v>2025-01</v>
      </c>
      <c r="F639" t="s">
        <v>22</v>
      </c>
      <c r="G639" t="s">
        <v>17</v>
      </c>
      <c r="H639">
        <v>1</v>
      </c>
      <c r="I639" s="2">
        <v>24</v>
      </c>
      <c r="J639" s="2">
        <f t="shared" si="28"/>
        <v>24</v>
      </c>
      <c r="K639" s="2" t="str">
        <f t="shared" si="29"/>
        <v>Sale</v>
      </c>
      <c r="L639" t="s">
        <v>27</v>
      </c>
    </row>
    <row r="640" spans="1:12" x14ac:dyDescent="0.25">
      <c r="A640">
        <v>5638</v>
      </c>
      <c r="B640">
        <v>49</v>
      </c>
      <c r="C640" s="5" t="str">
        <f>IFERROR(_xlfn.XLOOKUP(B640, Customers_raw!A:A, Customers_raw!B:B), "Unknown Customer")</f>
        <v>Steven Smith</v>
      </c>
      <c r="D640" s="1">
        <v>45820</v>
      </c>
      <c r="E640" s="1" t="str">
        <f t="shared" si="27"/>
        <v>2025-06</v>
      </c>
      <c r="F640" t="s">
        <v>19</v>
      </c>
      <c r="G640" t="s">
        <v>17</v>
      </c>
      <c r="H640">
        <v>1</v>
      </c>
      <c r="I640" s="2">
        <v>19</v>
      </c>
      <c r="J640" s="2">
        <f t="shared" si="28"/>
        <v>19</v>
      </c>
      <c r="K640" s="2" t="str">
        <f t="shared" si="29"/>
        <v>Sale</v>
      </c>
      <c r="L640" t="s">
        <v>5</v>
      </c>
    </row>
    <row r="641" spans="1:12" x14ac:dyDescent="0.25">
      <c r="A641">
        <v>5639</v>
      </c>
      <c r="B641">
        <v>49</v>
      </c>
      <c r="C641" s="5" t="str">
        <f>IFERROR(_xlfn.XLOOKUP(B641, Customers_raw!A:A, Customers_raw!B:B), "Unknown Customer")</f>
        <v>Steven Smith</v>
      </c>
      <c r="D641" s="1">
        <v>45795</v>
      </c>
      <c r="E641" s="1" t="str">
        <f t="shared" si="27"/>
        <v>2025-05</v>
      </c>
      <c r="F641" t="s">
        <v>9</v>
      </c>
      <c r="G641" t="s">
        <v>6</v>
      </c>
      <c r="H641">
        <v>3</v>
      </c>
      <c r="I641" s="2">
        <v>48</v>
      </c>
      <c r="J641" s="2">
        <f t="shared" si="28"/>
        <v>144</v>
      </c>
      <c r="K641" s="2" t="str">
        <f t="shared" si="29"/>
        <v>Sale</v>
      </c>
      <c r="L641" t="s">
        <v>5</v>
      </c>
    </row>
    <row r="642" spans="1:12" x14ac:dyDescent="0.25">
      <c r="A642">
        <v>5640</v>
      </c>
      <c r="B642">
        <v>83</v>
      </c>
      <c r="C642" s="5" t="str">
        <f>IFERROR(_xlfn.XLOOKUP(B642, Customers_raw!A:A, Customers_raw!B:B), "Unknown Customer")</f>
        <v>Mary Martinez</v>
      </c>
      <c r="D642" s="1">
        <v>45792</v>
      </c>
      <c r="E642" s="1" t="str">
        <f t="shared" si="27"/>
        <v>2025-05</v>
      </c>
      <c r="F642" t="s">
        <v>15</v>
      </c>
      <c r="G642" t="s">
        <v>7</v>
      </c>
      <c r="H642">
        <v>1</v>
      </c>
      <c r="I642" s="2">
        <v>69.878787878787875</v>
      </c>
      <c r="J642" s="2">
        <f t="shared" si="28"/>
        <v>69.878787878787875</v>
      </c>
      <c r="K642" s="2" t="str">
        <f t="shared" si="29"/>
        <v>Sale</v>
      </c>
      <c r="L642" t="s">
        <v>5</v>
      </c>
    </row>
    <row r="643" spans="1:12" x14ac:dyDescent="0.25">
      <c r="A643">
        <v>5641</v>
      </c>
      <c r="B643">
        <v>110</v>
      </c>
      <c r="C643" s="5" t="str">
        <f>IFERROR(_xlfn.XLOOKUP(B643, Customers_raw!A:A, Customers_raw!B:B), "Unknown Customer")</f>
        <v>Betty Walker</v>
      </c>
      <c r="D643" s="1">
        <v>45909</v>
      </c>
      <c r="E643" s="1" t="str">
        <f t="shared" ref="E643:E706" si="30">TEXT(D:D,"YYYY-MM")</f>
        <v>2025-09</v>
      </c>
      <c r="F643" t="s">
        <v>12</v>
      </c>
      <c r="G643" t="s">
        <v>10</v>
      </c>
      <c r="H643">
        <v>1</v>
      </c>
      <c r="I643" s="2">
        <v>22</v>
      </c>
      <c r="J643" s="2">
        <f t="shared" ref="J643:J706" si="31">H643*I643</f>
        <v>22</v>
      </c>
      <c r="K643" s="2" t="str">
        <f t="shared" ref="K643:K706" si="32">IF(H643&lt;0,"Return","Sale")</f>
        <v>Sale</v>
      </c>
      <c r="L643" t="s">
        <v>5</v>
      </c>
    </row>
    <row r="644" spans="1:12" x14ac:dyDescent="0.25">
      <c r="A644">
        <v>5642</v>
      </c>
      <c r="B644">
        <v>76</v>
      </c>
      <c r="C644" s="5" t="str">
        <f>IFERROR(_xlfn.XLOOKUP(B644, Customers_raw!A:A, Customers_raw!B:B), "Unknown Customer")</f>
        <v>Thomas Anderson</v>
      </c>
      <c r="D644" s="1">
        <v>45876</v>
      </c>
      <c r="E644" s="1" t="str">
        <f t="shared" si="30"/>
        <v>2025-08</v>
      </c>
      <c r="F644" t="s">
        <v>15</v>
      </c>
      <c r="G644" t="s">
        <v>7</v>
      </c>
      <c r="H644">
        <v>1</v>
      </c>
      <c r="I644" s="2">
        <v>73</v>
      </c>
      <c r="J644" s="2">
        <f t="shared" si="31"/>
        <v>73</v>
      </c>
      <c r="K644" s="2" t="str">
        <f t="shared" si="32"/>
        <v>Sale</v>
      </c>
      <c r="L644" t="s">
        <v>8</v>
      </c>
    </row>
    <row r="645" spans="1:12" x14ac:dyDescent="0.25">
      <c r="A645">
        <v>5643</v>
      </c>
      <c r="B645">
        <v>36</v>
      </c>
      <c r="C645" s="5" t="str">
        <f>IFERROR(_xlfn.XLOOKUP(B645, Customers_raw!A:A, Customers_raw!B:B), "Unknown Customer")</f>
        <v>Daniel Harris</v>
      </c>
      <c r="D645" s="1">
        <v>45849</v>
      </c>
      <c r="E645" s="1" t="str">
        <f t="shared" si="30"/>
        <v>2025-07</v>
      </c>
      <c r="F645" t="s">
        <v>12</v>
      </c>
      <c r="G645" t="s">
        <v>10</v>
      </c>
      <c r="H645">
        <v>2</v>
      </c>
      <c r="I645" s="2">
        <v>22</v>
      </c>
      <c r="J645" s="2">
        <f t="shared" si="31"/>
        <v>44</v>
      </c>
      <c r="K645" s="2" t="str">
        <f t="shared" si="32"/>
        <v>Sale</v>
      </c>
      <c r="L645" t="s">
        <v>5</v>
      </c>
    </row>
    <row r="646" spans="1:12" x14ac:dyDescent="0.25">
      <c r="A646">
        <v>5644</v>
      </c>
      <c r="B646">
        <v>48</v>
      </c>
      <c r="C646" s="5" t="str">
        <f>IFERROR(_xlfn.XLOOKUP(B646, Customers_raw!A:A, Customers_raw!B:B), "Unknown Customer")</f>
        <v>Sandra Thompson</v>
      </c>
      <c r="D646" s="1">
        <v>45676</v>
      </c>
      <c r="E646" s="1" t="str">
        <f t="shared" si="30"/>
        <v>2025-01</v>
      </c>
      <c r="F646" t="s">
        <v>12</v>
      </c>
      <c r="G646" t="s">
        <v>10</v>
      </c>
      <c r="H646">
        <v>3</v>
      </c>
      <c r="I646" s="2">
        <v>22</v>
      </c>
      <c r="J646" s="2">
        <f t="shared" si="31"/>
        <v>66</v>
      </c>
      <c r="K646" s="2" t="str">
        <f t="shared" si="32"/>
        <v>Sale</v>
      </c>
      <c r="L646" t="s">
        <v>5</v>
      </c>
    </row>
    <row r="647" spans="1:12" x14ac:dyDescent="0.25">
      <c r="A647">
        <v>5645</v>
      </c>
      <c r="B647">
        <v>34</v>
      </c>
      <c r="C647" s="5" t="str">
        <f>IFERROR(_xlfn.XLOOKUP(B647, Customers_raw!A:A, Customers_raw!B:B), "Unknown Customer")</f>
        <v>Joseph Jackson</v>
      </c>
      <c r="D647" s="1">
        <v>45847</v>
      </c>
      <c r="E647" s="1" t="str">
        <f t="shared" si="30"/>
        <v>2025-07</v>
      </c>
      <c r="F647" t="s">
        <v>18</v>
      </c>
      <c r="G647" t="s">
        <v>6</v>
      </c>
      <c r="H647">
        <v>2</v>
      </c>
      <c r="I647" s="2">
        <v>92</v>
      </c>
      <c r="J647" s="2">
        <f t="shared" si="31"/>
        <v>184</v>
      </c>
      <c r="K647" s="2" t="str">
        <f t="shared" si="32"/>
        <v>Sale</v>
      </c>
      <c r="L647" t="s">
        <v>27</v>
      </c>
    </row>
    <row r="648" spans="1:12" x14ac:dyDescent="0.25">
      <c r="A648">
        <v>5646</v>
      </c>
      <c r="B648">
        <v>89</v>
      </c>
      <c r="C648" s="5" t="str">
        <f>IFERROR(_xlfn.XLOOKUP(B648, Customers_raw!A:A, Customers_raw!B:B), "Unknown Customer")</f>
        <v>Andrew Thompson</v>
      </c>
      <c r="D648" s="1">
        <v>45800</v>
      </c>
      <c r="E648" s="1" t="str">
        <f t="shared" si="30"/>
        <v>2025-05</v>
      </c>
      <c r="F648" t="s">
        <v>22</v>
      </c>
      <c r="G648" t="s">
        <v>17</v>
      </c>
      <c r="H648">
        <v>3</v>
      </c>
      <c r="I648" s="2">
        <v>24</v>
      </c>
      <c r="J648" s="2">
        <f t="shared" si="31"/>
        <v>72</v>
      </c>
      <c r="K648" s="2" t="str">
        <f t="shared" si="32"/>
        <v>Sale</v>
      </c>
      <c r="L648" t="s">
        <v>8</v>
      </c>
    </row>
    <row r="649" spans="1:12" x14ac:dyDescent="0.25">
      <c r="A649">
        <v>5647</v>
      </c>
      <c r="B649">
        <v>6</v>
      </c>
      <c r="C649" s="5" t="str">
        <f>IFERROR(_xlfn.XLOOKUP(B649, Customers_raw!A:A, Customers_raw!B:B), "Unknown Customer")</f>
        <v>David Martinez</v>
      </c>
      <c r="D649" s="1">
        <v>45732</v>
      </c>
      <c r="E649" s="1" t="str">
        <f t="shared" si="30"/>
        <v>2025-03</v>
      </c>
      <c r="F649" t="s">
        <v>19</v>
      </c>
      <c r="G649" t="s">
        <v>17</v>
      </c>
      <c r="H649">
        <v>1</v>
      </c>
      <c r="I649" s="2">
        <v>22</v>
      </c>
      <c r="J649" s="2">
        <f t="shared" si="31"/>
        <v>22</v>
      </c>
      <c r="K649" s="2" t="str">
        <f t="shared" si="32"/>
        <v>Sale</v>
      </c>
      <c r="L649" t="s">
        <v>5</v>
      </c>
    </row>
    <row r="650" spans="1:12" x14ac:dyDescent="0.25">
      <c r="A650">
        <v>5648</v>
      </c>
      <c r="B650">
        <v>82</v>
      </c>
      <c r="C650" s="5" t="str">
        <f>IFERROR(_xlfn.XLOOKUP(B650, Customers_raw!A:A, Customers_raw!B:B), "Unknown Customer")</f>
        <v>Thomas Ramirez</v>
      </c>
      <c r="D650" s="1">
        <v>45874</v>
      </c>
      <c r="E650" s="1" t="str">
        <f t="shared" si="30"/>
        <v>2025-08</v>
      </c>
      <c r="F650" t="s">
        <v>14</v>
      </c>
      <c r="G650" t="s">
        <v>7</v>
      </c>
      <c r="H650">
        <v>2</v>
      </c>
      <c r="I650" s="2">
        <v>52</v>
      </c>
      <c r="J650" s="2">
        <f t="shared" si="31"/>
        <v>104</v>
      </c>
      <c r="K650" s="2" t="str">
        <f t="shared" si="32"/>
        <v>Sale</v>
      </c>
      <c r="L650" t="s">
        <v>8</v>
      </c>
    </row>
    <row r="651" spans="1:12" x14ac:dyDescent="0.25">
      <c r="A651">
        <v>5649</v>
      </c>
      <c r="B651">
        <v>12</v>
      </c>
      <c r="C651" s="5" t="str">
        <f>IFERROR(_xlfn.XLOOKUP(B651, Customers_raw!A:A, Customers_raw!B:B), "Unknown Customer")</f>
        <v>Linda Moore</v>
      </c>
      <c r="D651" s="1">
        <v>45675</v>
      </c>
      <c r="E651" s="1" t="str">
        <f t="shared" si="30"/>
        <v>2025-01</v>
      </c>
      <c r="F651" t="s">
        <v>12</v>
      </c>
      <c r="G651" t="s">
        <v>10</v>
      </c>
      <c r="H651">
        <v>2</v>
      </c>
      <c r="I651" s="2">
        <v>25</v>
      </c>
      <c r="J651" s="2">
        <f t="shared" si="31"/>
        <v>50</v>
      </c>
      <c r="K651" s="2" t="str">
        <f t="shared" si="32"/>
        <v>Sale</v>
      </c>
      <c r="L651" t="s">
        <v>5</v>
      </c>
    </row>
    <row r="652" spans="1:12" x14ac:dyDescent="0.25">
      <c r="A652">
        <v>5650</v>
      </c>
      <c r="B652">
        <v>38</v>
      </c>
      <c r="C652" s="5" t="str">
        <f>IFERROR(_xlfn.XLOOKUP(B652, Customers_raw!A:A, Customers_raw!B:B), "Unknown Customer")</f>
        <v>Jennifer Davis</v>
      </c>
      <c r="D652" s="1">
        <v>45969</v>
      </c>
      <c r="E652" s="1" t="str">
        <f t="shared" si="30"/>
        <v>2025-11</v>
      </c>
      <c r="F652" t="s">
        <v>11</v>
      </c>
      <c r="G652" t="s">
        <v>6</v>
      </c>
      <c r="H652">
        <v>1</v>
      </c>
      <c r="I652" s="2">
        <v>15</v>
      </c>
      <c r="J652" s="2">
        <f t="shared" si="31"/>
        <v>15</v>
      </c>
      <c r="K652" s="2" t="str">
        <f t="shared" si="32"/>
        <v>Sale</v>
      </c>
      <c r="L652" t="s">
        <v>27</v>
      </c>
    </row>
    <row r="653" spans="1:12" x14ac:dyDescent="0.25">
      <c r="A653">
        <v>5651</v>
      </c>
      <c r="B653">
        <v>34</v>
      </c>
      <c r="C653" s="5" t="str">
        <f>IFERROR(_xlfn.XLOOKUP(B653, Customers_raw!A:A, Customers_raw!B:B), "Unknown Customer")</f>
        <v>Joseph Jackson</v>
      </c>
      <c r="D653" s="1">
        <v>45742</v>
      </c>
      <c r="E653" s="1" t="str">
        <f t="shared" si="30"/>
        <v>2025-03</v>
      </c>
      <c r="F653" t="s">
        <v>11</v>
      </c>
      <c r="G653" t="s">
        <v>6</v>
      </c>
      <c r="H653">
        <v>1</v>
      </c>
      <c r="I653" s="2">
        <v>18</v>
      </c>
      <c r="J653" s="2">
        <f t="shared" si="31"/>
        <v>18</v>
      </c>
      <c r="K653" s="2" t="str">
        <f t="shared" si="32"/>
        <v>Sale</v>
      </c>
      <c r="L653" t="s">
        <v>5</v>
      </c>
    </row>
    <row r="654" spans="1:12" x14ac:dyDescent="0.25">
      <c r="A654">
        <v>5652</v>
      </c>
      <c r="B654">
        <v>8</v>
      </c>
      <c r="C654" s="5" t="str">
        <f>IFERROR(_xlfn.XLOOKUP(B654, Customers_raw!A:A, Customers_raw!B:B), "Unknown Customer")</f>
        <v>Lisa Brown</v>
      </c>
      <c r="D654" s="1">
        <v>45740</v>
      </c>
      <c r="E654" s="1" t="str">
        <f t="shared" si="30"/>
        <v>2025-03</v>
      </c>
      <c r="F654" t="s">
        <v>9</v>
      </c>
      <c r="G654" t="s">
        <v>6</v>
      </c>
      <c r="H654">
        <v>1</v>
      </c>
      <c r="I654" s="2">
        <v>45</v>
      </c>
      <c r="J654" s="2">
        <f t="shared" si="31"/>
        <v>45</v>
      </c>
      <c r="K654" s="2" t="str">
        <f t="shared" si="32"/>
        <v>Sale</v>
      </c>
      <c r="L654" t="s">
        <v>27</v>
      </c>
    </row>
    <row r="655" spans="1:12" x14ac:dyDescent="0.25">
      <c r="A655">
        <v>5653</v>
      </c>
      <c r="B655">
        <v>13</v>
      </c>
      <c r="C655" s="5" t="str">
        <f>IFERROR(_xlfn.XLOOKUP(B655, Customers_raw!A:A, Customers_raw!B:B), "Unknown Customer")</f>
        <v>Anthony Johnson</v>
      </c>
      <c r="D655" s="1">
        <v>45898</v>
      </c>
      <c r="E655" s="1" t="str">
        <f t="shared" si="30"/>
        <v>2025-08</v>
      </c>
      <c r="F655" t="s">
        <v>14</v>
      </c>
      <c r="G655" t="s">
        <v>7</v>
      </c>
      <c r="H655">
        <v>-3</v>
      </c>
      <c r="I655" s="2">
        <v>52</v>
      </c>
      <c r="J655" s="2">
        <f t="shared" si="31"/>
        <v>-156</v>
      </c>
      <c r="K655" s="2" t="str">
        <f t="shared" si="32"/>
        <v>Return</v>
      </c>
      <c r="L655" t="s">
        <v>27</v>
      </c>
    </row>
    <row r="656" spans="1:12" x14ac:dyDescent="0.25">
      <c r="A656">
        <v>5654</v>
      </c>
      <c r="B656">
        <v>84</v>
      </c>
      <c r="C656" s="5" t="str">
        <f>IFERROR(_xlfn.XLOOKUP(B656, Customers_raw!A:A, Customers_raw!B:B), "Unknown Customer")</f>
        <v>Kimberly Lewis</v>
      </c>
      <c r="D656" s="1">
        <v>45904</v>
      </c>
      <c r="E656" s="1" t="str">
        <f t="shared" si="30"/>
        <v>2025-09</v>
      </c>
      <c r="F656" t="s">
        <v>13</v>
      </c>
      <c r="G656" t="s">
        <v>7</v>
      </c>
      <c r="H656">
        <v>1</v>
      </c>
      <c r="I656" s="2">
        <v>32.154639175257735</v>
      </c>
      <c r="J656" s="2">
        <f t="shared" si="31"/>
        <v>32.154639175257735</v>
      </c>
      <c r="K656" s="2" t="str">
        <f t="shared" si="32"/>
        <v>Sale</v>
      </c>
      <c r="L656" t="s">
        <v>27</v>
      </c>
    </row>
    <row r="657" spans="1:12" x14ac:dyDescent="0.25">
      <c r="A657">
        <v>5655</v>
      </c>
      <c r="B657">
        <v>41</v>
      </c>
      <c r="C657" s="5" t="str">
        <f>IFERROR(_xlfn.XLOOKUP(B657, Customers_raw!A:A, Customers_raw!B:B), "Unknown Customer")</f>
        <v>Margaret Clark</v>
      </c>
      <c r="D657" s="1">
        <v>45743</v>
      </c>
      <c r="E657" s="1" t="str">
        <f t="shared" si="30"/>
        <v>2025-03</v>
      </c>
      <c r="F657" t="s">
        <v>14</v>
      </c>
      <c r="G657" t="s">
        <v>7</v>
      </c>
      <c r="H657">
        <v>2</v>
      </c>
      <c r="I657" s="2">
        <v>55</v>
      </c>
      <c r="J657" s="2">
        <f t="shared" si="31"/>
        <v>110</v>
      </c>
      <c r="K657" s="2" t="str">
        <f t="shared" si="32"/>
        <v>Sale</v>
      </c>
      <c r="L657" t="s">
        <v>27</v>
      </c>
    </row>
    <row r="658" spans="1:12" x14ac:dyDescent="0.25">
      <c r="A658">
        <v>5656</v>
      </c>
      <c r="B658">
        <v>48</v>
      </c>
      <c r="C658" s="5" t="str">
        <f>IFERROR(_xlfn.XLOOKUP(B658, Customers_raw!A:A, Customers_raw!B:B), "Unknown Customer")</f>
        <v>Sandra Thompson</v>
      </c>
      <c r="D658" s="1">
        <v>45971</v>
      </c>
      <c r="E658" s="1" t="str">
        <f t="shared" si="30"/>
        <v>2025-11</v>
      </c>
      <c r="F658" t="s">
        <v>12</v>
      </c>
      <c r="G658" t="s">
        <v>10</v>
      </c>
      <c r="H658">
        <v>2</v>
      </c>
      <c r="I658" s="2">
        <v>22</v>
      </c>
      <c r="J658" s="2">
        <f t="shared" si="31"/>
        <v>44</v>
      </c>
      <c r="K658" s="2" t="str">
        <f t="shared" si="32"/>
        <v>Sale</v>
      </c>
      <c r="L658" t="s">
        <v>8</v>
      </c>
    </row>
    <row r="659" spans="1:12" x14ac:dyDescent="0.25">
      <c r="A659">
        <v>5657</v>
      </c>
      <c r="B659">
        <v>48</v>
      </c>
      <c r="C659" s="5" t="str">
        <f>IFERROR(_xlfn.XLOOKUP(B659, Customers_raw!A:A, Customers_raw!B:B), "Unknown Customer")</f>
        <v>Sandra Thompson</v>
      </c>
      <c r="D659" s="1">
        <v>45715</v>
      </c>
      <c r="E659" s="1" t="str">
        <f t="shared" si="30"/>
        <v>2025-02</v>
      </c>
      <c r="F659" t="s">
        <v>14</v>
      </c>
      <c r="G659" t="s">
        <v>7</v>
      </c>
      <c r="H659">
        <v>2</v>
      </c>
      <c r="I659" s="2">
        <v>58</v>
      </c>
      <c r="J659" s="2">
        <f t="shared" si="31"/>
        <v>116</v>
      </c>
      <c r="K659" s="2" t="str">
        <f t="shared" si="32"/>
        <v>Sale</v>
      </c>
      <c r="L659" t="s">
        <v>8</v>
      </c>
    </row>
    <row r="660" spans="1:12" x14ac:dyDescent="0.25">
      <c r="A660">
        <v>5658</v>
      </c>
      <c r="B660">
        <v>74</v>
      </c>
      <c r="C660" s="5" t="str">
        <f>IFERROR(_xlfn.XLOOKUP(B660, Customers_raw!A:A, Customers_raw!B:B), "Unknown Customer")</f>
        <v>Betty Moore</v>
      </c>
      <c r="D660" s="1">
        <v>45692</v>
      </c>
      <c r="E660" s="1" t="str">
        <f t="shared" si="30"/>
        <v>2025-02</v>
      </c>
      <c r="F660" t="s">
        <v>15</v>
      </c>
      <c r="G660" t="s">
        <v>7</v>
      </c>
      <c r="H660">
        <v>1</v>
      </c>
      <c r="I660" s="2">
        <v>70</v>
      </c>
      <c r="J660" s="2">
        <f t="shared" si="31"/>
        <v>70</v>
      </c>
      <c r="K660" s="2" t="str">
        <f t="shared" si="32"/>
        <v>Sale</v>
      </c>
      <c r="L660" t="s">
        <v>8</v>
      </c>
    </row>
    <row r="661" spans="1:12" x14ac:dyDescent="0.25">
      <c r="A661">
        <v>5659</v>
      </c>
      <c r="B661">
        <v>37</v>
      </c>
      <c r="C661" s="5" t="str">
        <f>IFERROR(_xlfn.XLOOKUP(B661, Customers_raw!A:A, Customers_raw!B:B), "Unknown Customer")</f>
        <v>Kenneth Lopez</v>
      </c>
      <c r="D661" s="1">
        <v>45980</v>
      </c>
      <c r="E661" s="1" t="str">
        <f t="shared" si="30"/>
        <v>2025-11</v>
      </c>
      <c r="F661" t="s">
        <v>13</v>
      </c>
      <c r="G661" t="s">
        <v>7</v>
      </c>
      <c r="H661">
        <v>2</v>
      </c>
      <c r="I661" s="2">
        <v>32</v>
      </c>
      <c r="J661" s="2">
        <f t="shared" si="31"/>
        <v>64</v>
      </c>
      <c r="K661" s="2" t="str">
        <f t="shared" si="32"/>
        <v>Sale</v>
      </c>
      <c r="L661" t="s">
        <v>27</v>
      </c>
    </row>
    <row r="662" spans="1:12" x14ac:dyDescent="0.25">
      <c r="A662">
        <v>5660</v>
      </c>
      <c r="B662">
        <v>90</v>
      </c>
      <c r="C662" s="5" t="str">
        <f>IFERROR(_xlfn.XLOOKUP(B662, Customers_raw!A:A, Customers_raw!B:B), "Unknown Customer")</f>
        <v>John Harris</v>
      </c>
      <c r="D662" s="1">
        <v>46000</v>
      </c>
      <c r="E662" s="1" t="str">
        <f t="shared" si="30"/>
        <v>2025-12</v>
      </c>
      <c r="F662" t="s">
        <v>22</v>
      </c>
      <c r="G662" t="s">
        <v>17</v>
      </c>
      <c r="H662">
        <v>1</v>
      </c>
      <c r="I662" s="2">
        <v>24</v>
      </c>
      <c r="J662" s="2">
        <f t="shared" si="31"/>
        <v>24</v>
      </c>
      <c r="K662" s="2" t="str">
        <f t="shared" si="32"/>
        <v>Sale</v>
      </c>
      <c r="L662" t="s">
        <v>5</v>
      </c>
    </row>
    <row r="663" spans="1:12" x14ac:dyDescent="0.25">
      <c r="A663">
        <v>5661</v>
      </c>
      <c r="B663">
        <v>38</v>
      </c>
      <c r="C663" s="5" t="str">
        <f>IFERROR(_xlfn.XLOOKUP(B663, Customers_raw!A:A, Customers_raw!B:B), "Unknown Customer")</f>
        <v>Jennifer Davis</v>
      </c>
      <c r="D663" s="1">
        <v>45783</v>
      </c>
      <c r="E663" s="1" t="str">
        <f t="shared" si="30"/>
        <v>2025-05</v>
      </c>
      <c r="F663" t="s">
        <v>19</v>
      </c>
      <c r="G663" t="s">
        <v>17</v>
      </c>
      <c r="H663">
        <v>2</v>
      </c>
      <c r="I663" s="2">
        <v>16</v>
      </c>
      <c r="J663" s="2">
        <f t="shared" si="31"/>
        <v>32</v>
      </c>
      <c r="K663" s="2" t="str">
        <f t="shared" si="32"/>
        <v>Sale</v>
      </c>
      <c r="L663" t="s">
        <v>27</v>
      </c>
    </row>
    <row r="664" spans="1:12" x14ac:dyDescent="0.25">
      <c r="A664">
        <v>5662</v>
      </c>
      <c r="B664">
        <v>66</v>
      </c>
      <c r="C664" s="5" t="str">
        <f>IFERROR(_xlfn.XLOOKUP(B664, Customers_raw!A:A, Customers_raw!B:B), "Unknown Customer")</f>
        <v>Barbara Anderson</v>
      </c>
      <c r="D664" s="1">
        <v>45997</v>
      </c>
      <c r="E664" s="1" t="str">
        <f t="shared" si="30"/>
        <v>2025-12</v>
      </c>
      <c r="F664" t="s">
        <v>15</v>
      </c>
      <c r="G664" t="s">
        <v>7</v>
      </c>
      <c r="H664">
        <v>1</v>
      </c>
      <c r="I664" s="2">
        <v>67</v>
      </c>
      <c r="J664" s="2">
        <f t="shared" si="31"/>
        <v>67</v>
      </c>
      <c r="K664" s="2" t="str">
        <f t="shared" si="32"/>
        <v>Sale</v>
      </c>
      <c r="L664" t="s">
        <v>8</v>
      </c>
    </row>
    <row r="665" spans="1:12" x14ac:dyDescent="0.25">
      <c r="A665">
        <v>5663</v>
      </c>
      <c r="B665">
        <v>25</v>
      </c>
      <c r="C665" s="5" t="str">
        <f>IFERROR(_xlfn.XLOOKUP(B665, Customers_raw!A:A, Customers_raw!B:B), "Unknown Customer")</f>
        <v>Emily Wilson</v>
      </c>
      <c r="D665" s="1">
        <v>45955</v>
      </c>
      <c r="E665" s="1" t="str">
        <f t="shared" si="30"/>
        <v>2025-10</v>
      </c>
      <c r="F665" t="s">
        <v>22</v>
      </c>
      <c r="G665" t="s">
        <v>17</v>
      </c>
      <c r="H665">
        <v>1</v>
      </c>
      <c r="I665" s="2">
        <v>21</v>
      </c>
      <c r="J665" s="2">
        <f t="shared" si="31"/>
        <v>21</v>
      </c>
      <c r="K665" s="2" t="str">
        <f t="shared" si="32"/>
        <v>Sale</v>
      </c>
      <c r="L665" t="s">
        <v>5</v>
      </c>
    </row>
    <row r="666" spans="1:12" x14ac:dyDescent="0.25">
      <c r="A666">
        <v>5664</v>
      </c>
      <c r="B666">
        <v>41</v>
      </c>
      <c r="C666" s="5" t="str">
        <f>IFERROR(_xlfn.XLOOKUP(B666, Customers_raw!A:A, Customers_raw!B:B), "Unknown Customer")</f>
        <v>Margaret Clark</v>
      </c>
      <c r="D666" s="1">
        <v>46012</v>
      </c>
      <c r="E666" s="1" t="str">
        <f t="shared" si="30"/>
        <v>2025-12</v>
      </c>
      <c r="F666" t="s">
        <v>21</v>
      </c>
      <c r="G666" t="s">
        <v>17</v>
      </c>
      <c r="H666">
        <v>2</v>
      </c>
      <c r="I666" s="2">
        <v>60</v>
      </c>
      <c r="J666" s="2">
        <f t="shared" si="31"/>
        <v>120</v>
      </c>
      <c r="K666" s="2" t="str">
        <f t="shared" si="32"/>
        <v>Sale</v>
      </c>
      <c r="L666" t="s">
        <v>8</v>
      </c>
    </row>
    <row r="667" spans="1:12" x14ac:dyDescent="0.25">
      <c r="A667">
        <v>5665</v>
      </c>
      <c r="B667">
        <v>74</v>
      </c>
      <c r="C667" s="5" t="str">
        <f>IFERROR(_xlfn.XLOOKUP(B667, Customers_raw!A:A, Customers_raw!B:B), "Unknown Customer")</f>
        <v>Betty Moore</v>
      </c>
      <c r="D667" s="1">
        <v>45749</v>
      </c>
      <c r="E667" s="1" t="str">
        <f t="shared" si="30"/>
        <v>2025-04</v>
      </c>
      <c r="F667" t="s">
        <v>9</v>
      </c>
      <c r="G667" t="s">
        <v>6</v>
      </c>
      <c r="H667">
        <v>1</v>
      </c>
      <c r="I667" s="2">
        <v>45</v>
      </c>
      <c r="J667" s="2">
        <f t="shared" si="31"/>
        <v>45</v>
      </c>
      <c r="K667" s="2" t="str">
        <f t="shared" si="32"/>
        <v>Sale</v>
      </c>
      <c r="L667" t="s">
        <v>27</v>
      </c>
    </row>
    <row r="668" spans="1:12" x14ac:dyDescent="0.25">
      <c r="A668">
        <v>5666</v>
      </c>
      <c r="B668">
        <v>57</v>
      </c>
      <c r="C668" s="5" t="str">
        <f>IFERROR(_xlfn.XLOOKUP(B668, Customers_raw!A:A, Customers_raw!B:B), "Unknown Customer")</f>
        <v>Karen Clark</v>
      </c>
      <c r="D668" s="1">
        <v>45921</v>
      </c>
      <c r="E668" s="1" t="str">
        <f t="shared" si="30"/>
        <v>2025-09</v>
      </c>
      <c r="F668" t="s">
        <v>19</v>
      </c>
      <c r="G668" t="s">
        <v>17</v>
      </c>
      <c r="H668">
        <v>3</v>
      </c>
      <c r="I668" s="2">
        <v>19</v>
      </c>
      <c r="J668" s="2">
        <f t="shared" si="31"/>
        <v>57</v>
      </c>
      <c r="K668" s="2" t="str">
        <f t="shared" si="32"/>
        <v>Sale</v>
      </c>
      <c r="L668" t="s">
        <v>8</v>
      </c>
    </row>
    <row r="669" spans="1:12" x14ac:dyDescent="0.25">
      <c r="A669">
        <v>5667</v>
      </c>
      <c r="B669">
        <v>77</v>
      </c>
      <c r="C669" s="5" t="str">
        <f>IFERROR(_xlfn.XLOOKUP(B669, Customers_raw!A:A, Customers_raw!B:B), "Unknown Customer")</f>
        <v>Steven Thompson</v>
      </c>
      <c r="D669" s="1">
        <v>45875</v>
      </c>
      <c r="E669" s="1" t="str">
        <f t="shared" si="30"/>
        <v>2025-08</v>
      </c>
      <c r="F669" t="s">
        <v>19</v>
      </c>
      <c r="G669" t="s">
        <v>17</v>
      </c>
      <c r="H669">
        <v>3</v>
      </c>
      <c r="I669" s="2">
        <v>19</v>
      </c>
      <c r="J669" s="2">
        <f t="shared" si="31"/>
        <v>57</v>
      </c>
      <c r="K669" s="2" t="str">
        <f t="shared" si="32"/>
        <v>Sale</v>
      </c>
      <c r="L669" t="s">
        <v>8</v>
      </c>
    </row>
    <row r="670" spans="1:12" x14ac:dyDescent="0.25">
      <c r="A670">
        <v>5668</v>
      </c>
      <c r="B670">
        <v>47</v>
      </c>
      <c r="C670" s="5" t="str">
        <f>IFERROR(_xlfn.XLOOKUP(B670, Customers_raw!A:A, Customers_raw!B:B), "Unknown Customer")</f>
        <v>Christopher Rodriguez</v>
      </c>
      <c r="D670" s="1">
        <v>45669</v>
      </c>
      <c r="E670" s="1" t="str">
        <f t="shared" si="30"/>
        <v>2025-01</v>
      </c>
      <c r="F670" t="s">
        <v>22</v>
      </c>
      <c r="G670" t="s">
        <v>17</v>
      </c>
      <c r="H670">
        <v>1</v>
      </c>
      <c r="I670" s="2">
        <v>24</v>
      </c>
      <c r="J670" s="2">
        <f t="shared" si="31"/>
        <v>24</v>
      </c>
      <c r="K670" s="2" t="str">
        <f t="shared" si="32"/>
        <v>Sale</v>
      </c>
      <c r="L670" t="s">
        <v>27</v>
      </c>
    </row>
    <row r="671" spans="1:12" x14ac:dyDescent="0.25">
      <c r="A671">
        <v>5669</v>
      </c>
      <c r="B671">
        <v>48</v>
      </c>
      <c r="C671" s="5" t="str">
        <f>IFERROR(_xlfn.XLOOKUP(B671, Customers_raw!A:A, Customers_raw!B:B), "Unknown Customer")</f>
        <v>Sandra Thompson</v>
      </c>
      <c r="D671" s="1">
        <v>45845</v>
      </c>
      <c r="E671" s="1" t="str">
        <f t="shared" si="30"/>
        <v>2025-07</v>
      </c>
      <c r="F671" t="s">
        <v>19</v>
      </c>
      <c r="G671" t="s">
        <v>17</v>
      </c>
      <c r="H671">
        <v>1</v>
      </c>
      <c r="I671" s="2">
        <v>19</v>
      </c>
      <c r="J671" s="2">
        <f t="shared" si="31"/>
        <v>19</v>
      </c>
      <c r="K671" s="2" t="str">
        <f t="shared" si="32"/>
        <v>Sale</v>
      </c>
      <c r="L671" t="s">
        <v>27</v>
      </c>
    </row>
    <row r="672" spans="1:12" x14ac:dyDescent="0.25">
      <c r="A672">
        <v>5670</v>
      </c>
      <c r="B672">
        <v>21</v>
      </c>
      <c r="C672" s="5" t="str">
        <f>IFERROR(_xlfn.XLOOKUP(B672, Customers_raw!A:A, Customers_raw!B:B), "Unknown Customer")</f>
        <v>Daniel Thompson</v>
      </c>
      <c r="D672" s="1">
        <v>45734</v>
      </c>
      <c r="E672" s="1" t="str">
        <f t="shared" si="30"/>
        <v>2025-03</v>
      </c>
      <c r="F672" t="s">
        <v>20</v>
      </c>
      <c r="G672" t="s">
        <v>10</v>
      </c>
      <c r="H672">
        <v>2</v>
      </c>
      <c r="I672" s="2">
        <v>62</v>
      </c>
      <c r="J672" s="2">
        <f t="shared" si="31"/>
        <v>124</v>
      </c>
      <c r="K672" s="2" t="str">
        <f t="shared" si="32"/>
        <v>Sale</v>
      </c>
      <c r="L672" t="s">
        <v>27</v>
      </c>
    </row>
    <row r="673" spans="1:12" x14ac:dyDescent="0.25">
      <c r="A673">
        <v>5671</v>
      </c>
      <c r="B673">
        <v>73</v>
      </c>
      <c r="C673" s="5" t="str">
        <f>IFERROR(_xlfn.XLOOKUP(B673, Customers_raw!A:A, Customers_raw!B:B), "Unknown Customer")</f>
        <v>Michael Thompson</v>
      </c>
      <c r="D673" s="1">
        <v>45707</v>
      </c>
      <c r="E673" s="1" t="str">
        <f t="shared" si="30"/>
        <v>2025-02</v>
      </c>
      <c r="F673" t="s">
        <v>21</v>
      </c>
      <c r="G673" t="s">
        <v>17</v>
      </c>
      <c r="H673">
        <v>2</v>
      </c>
      <c r="I673" s="2">
        <v>60</v>
      </c>
      <c r="J673" s="2">
        <f t="shared" si="31"/>
        <v>120</v>
      </c>
      <c r="K673" s="2" t="str">
        <f t="shared" si="32"/>
        <v>Sale</v>
      </c>
      <c r="L673" t="s">
        <v>5</v>
      </c>
    </row>
    <row r="674" spans="1:12" x14ac:dyDescent="0.25">
      <c r="A674">
        <v>5672</v>
      </c>
      <c r="B674">
        <v>8</v>
      </c>
      <c r="C674" s="5" t="str">
        <f>IFERROR(_xlfn.XLOOKUP(B674, Customers_raw!A:A, Customers_raw!B:B), "Unknown Customer")</f>
        <v>Lisa Brown</v>
      </c>
      <c r="D674" s="1">
        <v>45874</v>
      </c>
      <c r="E674" s="1" t="str">
        <f t="shared" si="30"/>
        <v>2025-08</v>
      </c>
      <c r="F674" t="s">
        <v>9</v>
      </c>
      <c r="G674" t="s">
        <v>6</v>
      </c>
      <c r="H674">
        <v>1</v>
      </c>
      <c r="I674" s="2">
        <v>42</v>
      </c>
      <c r="J674" s="2">
        <f t="shared" si="31"/>
        <v>42</v>
      </c>
      <c r="K674" s="2" t="str">
        <f t="shared" si="32"/>
        <v>Sale</v>
      </c>
      <c r="L674" t="s">
        <v>27</v>
      </c>
    </row>
    <row r="675" spans="1:12" x14ac:dyDescent="0.25">
      <c r="A675">
        <v>5673</v>
      </c>
      <c r="B675">
        <v>100</v>
      </c>
      <c r="C675" s="5" t="str">
        <f>IFERROR(_xlfn.XLOOKUP(B675, Customers_raw!A:A, Customers_raw!B:B), "Unknown Customer")</f>
        <v>Susan Williams</v>
      </c>
      <c r="D675" s="1">
        <v>45697</v>
      </c>
      <c r="E675" s="1" t="str">
        <f t="shared" si="30"/>
        <v>2025-02</v>
      </c>
      <c r="F675" t="s">
        <v>12</v>
      </c>
      <c r="G675" t="s">
        <v>10</v>
      </c>
      <c r="H675">
        <v>2</v>
      </c>
      <c r="I675" s="2">
        <v>22</v>
      </c>
      <c r="J675" s="2">
        <f t="shared" si="31"/>
        <v>44</v>
      </c>
      <c r="K675" s="2" t="str">
        <f t="shared" si="32"/>
        <v>Sale</v>
      </c>
      <c r="L675" t="s">
        <v>27</v>
      </c>
    </row>
    <row r="676" spans="1:12" x14ac:dyDescent="0.25">
      <c r="A676">
        <v>5674</v>
      </c>
      <c r="B676">
        <v>86</v>
      </c>
      <c r="C676" s="5" t="str">
        <f>IFERROR(_xlfn.XLOOKUP(B676, Customers_raw!A:A, Customers_raw!B:B), "Unknown Customer")</f>
        <v>Steven Jones</v>
      </c>
      <c r="D676" s="1">
        <v>45889</v>
      </c>
      <c r="E676" s="1" t="str">
        <f t="shared" si="30"/>
        <v>2025-08</v>
      </c>
      <c r="F676" t="s">
        <v>16</v>
      </c>
      <c r="G676" t="s">
        <v>10</v>
      </c>
      <c r="H676">
        <v>1</v>
      </c>
      <c r="I676" s="2">
        <v>31</v>
      </c>
      <c r="J676" s="2">
        <f t="shared" si="31"/>
        <v>31</v>
      </c>
      <c r="K676" s="2" t="str">
        <f t="shared" si="32"/>
        <v>Sale</v>
      </c>
      <c r="L676" t="s">
        <v>8</v>
      </c>
    </row>
    <row r="677" spans="1:12" x14ac:dyDescent="0.25">
      <c r="A677">
        <v>5675</v>
      </c>
      <c r="B677">
        <v>34</v>
      </c>
      <c r="C677" s="5" t="str">
        <f>IFERROR(_xlfn.XLOOKUP(B677, Customers_raw!A:A, Customers_raw!B:B), "Unknown Customer")</f>
        <v>Joseph Jackson</v>
      </c>
      <c r="D677" s="1">
        <v>45827</v>
      </c>
      <c r="E677" s="1" t="str">
        <f t="shared" si="30"/>
        <v>2025-06</v>
      </c>
      <c r="F677" t="s">
        <v>12</v>
      </c>
      <c r="G677" t="s">
        <v>10</v>
      </c>
      <c r="H677">
        <v>1</v>
      </c>
      <c r="I677" s="2">
        <v>19</v>
      </c>
      <c r="J677" s="2">
        <f t="shared" si="31"/>
        <v>19</v>
      </c>
      <c r="K677" s="2" t="str">
        <f t="shared" si="32"/>
        <v>Sale</v>
      </c>
      <c r="L677" t="s">
        <v>8</v>
      </c>
    </row>
    <row r="678" spans="1:12" x14ac:dyDescent="0.25">
      <c r="A678">
        <v>5676</v>
      </c>
      <c r="B678">
        <v>66</v>
      </c>
      <c r="C678" s="5" t="str">
        <f>IFERROR(_xlfn.XLOOKUP(B678, Customers_raw!A:A, Customers_raw!B:B), "Unknown Customer")</f>
        <v>Barbara Anderson</v>
      </c>
      <c r="D678" s="1">
        <v>45783</v>
      </c>
      <c r="E678" s="1" t="str">
        <f t="shared" si="30"/>
        <v>2025-05</v>
      </c>
      <c r="F678" t="s">
        <v>13</v>
      </c>
      <c r="G678" t="s">
        <v>7</v>
      </c>
      <c r="H678">
        <v>1</v>
      </c>
      <c r="I678" s="2">
        <v>32</v>
      </c>
      <c r="J678" s="2">
        <f t="shared" si="31"/>
        <v>32</v>
      </c>
      <c r="K678" s="2" t="str">
        <f t="shared" si="32"/>
        <v>Sale</v>
      </c>
      <c r="L678" t="s">
        <v>8</v>
      </c>
    </row>
    <row r="679" spans="1:12" x14ac:dyDescent="0.25">
      <c r="A679">
        <v>5677</v>
      </c>
      <c r="B679">
        <v>91</v>
      </c>
      <c r="C679" s="5" t="str">
        <f>IFERROR(_xlfn.XLOOKUP(B679, Customers_raw!A:A, Customers_raw!B:B), "Unknown Customer")</f>
        <v>Donald Rodriguez</v>
      </c>
      <c r="D679" s="1">
        <v>45877</v>
      </c>
      <c r="E679" s="1" t="str">
        <f t="shared" si="30"/>
        <v>2025-08</v>
      </c>
      <c r="F679" t="s">
        <v>15</v>
      </c>
      <c r="G679" t="s">
        <v>7</v>
      </c>
      <c r="H679">
        <v>2</v>
      </c>
      <c r="I679" s="2">
        <v>67</v>
      </c>
      <c r="J679" s="2">
        <f t="shared" si="31"/>
        <v>134</v>
      </c>
      <c r="K679" s="2" t="str">
        <f t="shared" si="32"/>
        <v>Sale</v>
      </c>
      <c r="L679" t="s">
        <v>5</v>
      </c>
    </row>
    <row r="680" spans="1:12" x14ac:dyDescent="0.25">
      <c r="A680">
        <v>5678</v>
      </c>
      <c r="B680">
        <v>83</v>
      </c>
      <c r="C680" s="5" t="str">
        <f>IFERROR(_xlfn.XLOOKUP(B680, Customers_raw!A:A, Customers_raw!B:B), "Unknown Customer")</f>
        <v>Mary Martinez</v>
      </c>
      <c r="D680" s="1">
        <v>45738</v>
      </c>
      <c r="E680" s="1" t="str">
        <f t="shared" si="30"/>
        <v>2025-03</v>
      </c>
      <c r="F680" t="s">
        <v>19</v>
      </c>
      <c r="G680" t="s">
        <v>17</v>
      </c>
      <c r="H680">
        <v>1</v>
      </c>
      <c r="I680" s="2">
        <v>22</v>
      </c>
      <c r="J680" s="2">
        <f t="shared" si="31"/>
        <v>22</v>
      </c>
      <c r="K680" s="2" t="str">
        <f t="shared" si="32"/>
        <v>Sale</v>
      </c>
      <c r="L680" t="s">
        <v>8</v>
      </c>
    </row>
    <row r="681" spans="1:12" x14ac:dyDescent="0.25">
      <c r="A681">
        <v>5679</v>
      </c>
      <c r="B681">
        <v>14</v>
      </c>
      <c r="C681" s="5" t="str">
        <f>IFERROR(_xlfn.XLOOKUP(B681, Customers_raw!A:A, Customers_raw!B:B), "Unknown Customer")</f>
        <v>Christopher Hernandez</v>
      </c>
      <c r="D681" s="1">
        <v>45873</v>
      </c>
      <c r="E681" s="1" t="str">
        <f t="shared" si="30"/>
        <v>2025-08</v>
      </c>
      <c r="F681" t="s">
        <v>15</v>
      </c>
      <c r="G681" t="s">
        <v>7</v>
      </c>
      <c r="H681">
        <v>1</v>
      </c>
      <c r="I681" s="2">
        <v>70</v>
      </c>
      <c r="J681" s="2">
        <f t="shared" si="31"/>
        <v>70</v>
      </c>
      <c r="K681" s="2" t="str">
        <f t="shared" si="32"/>
        <v>Sale</v>
      </c>
      <c r="L681" t="s">
        <v>8</v>
      </c>
    </row>
    <row r="682" spans="1:12" x14ac:dyDescent="0.25">
      <c r="A682">
        <v>5680</v>
      </c>
      <c r="B682">
        <v>34</v>
      </c>
      <c r="C682" s="5" t="str">
        <f>IFERROR(_xlfn.XLOOKUP(B682, Customers_raw!A:A, Customers_raw!B:B), "Unknown Customer")</f>
        <v>Joseph Jackson</v>
      </c>
      <c r="D682" s="1">
        <v>45890</v>
      </c>
      <c r="E682" s="1" t="str">
        <f t="shared" si="30"/>
        <v>2025-08</v>
      </c>
      <c r="F682" t="s">
        <v>22</v>
      </c>
      <c r="G682" t="s">
        <v>17</v>
      </c>
      <c r="H682">
        <v>1</v>
      </c>
      <c r="I682" s="2">
        <v>24</v>
      </c>
      <c r="J682" s="2">
        <f t="shared" si="31"/>
        <v>24</v>
      </c>
      <c r="K682" s="2" t="str">
        <f t="shared" si="32"/>
        <v>Sale</v>
      </c>
      <c r="L682" t="s">
        <v>5</v>
      </c>
    </row>
    <row r="683" spans="1:12" x14ac:dyDescent="0.25">
      <c r="A683">
        <v>5681</v>
      </c>
      <c r="B683">
        <v>51</v>
      </c>
      <c r="C683" s="5" t="str">
        <f>IFERROR(_xlfn.XLOOKUP(B683, Customers_raw!A:A, Customers_raw!B:B), "Unknown Customer")</f>
        <v>Patricia Hernandez</v>
      </c>
      <c r="D683" s="1">
        <v>45995</v>
      </c>
      <c r="E683" s="1" t="str">
        <f t="shared" si="30"/>
        <v>2025-12</v>
      </c>
      <c r="F683" t="s">
        <v>12</v>
      </c>
      <c r="G683" t="s">
        <v>10</v>
      </c>
      <c r="H683">
        <v>1</v>
      </c>
      <c r="I683" s="2">
        <v>25</v>
      </c>
      <c r="J683" s="2">
        <f t="shared" si="31"/>
        <v>25</v>
      </c>
      <c r="K683" s="2" t="str">
        <f t="shared" si="32"/>
        <v>Sale</v>
      </c>
      <c r="L683" t="s">
        <v>5</v>
      </c>
    </row>
    <row r="684" spans="1:12" x14ac:dyDescent="0.25">
      <c r="A684">
        <v>5682</v>
      </c>
      <c r="B684">
        <v>43</v>
      </c>
      <c r="C684" s="5" t="str">
        <f>IFERROR(_xlfn.XLOOKUP(B684, Customers_raw!A:A, Customers_raw!B:B), "Unknown Customer")</f>
        <v>Sandra Clark</v>
      </c>
      <c r="D684" s="1">
        <v>45794</v>
      </c>
      <c r="E684" s="1" t="str">
        <f t="shared" si="30"/>
        <v>2025-05</v>
      </c>
      <c r="F684" t="s">
        <v>9</v>
      </c>
      <c r="G684" t="s">
        <v>6</v>
      </c>
      <c r="H684">
        <v>1</v>
      </c>
      <c r="I684" s="2">
        <v>42</v>
      </c>
      <c r="J684" s="2">
        <f t="shared" si="31"/>
        <v>42</v>
      </c>
      <c r="K684" s="2" t="str">
        <f t="shared" si="32"/>
        <v>Sale</v>
      </c>
      <c r="L684" t="s">
        <v>5</v>
      </c>
    </row>
    <row r="685" spans="1:12" x14ac:dyDescent="0.25">
      <c r="A685">
        <v>5683</v>
      </c>
      <c r="B685">
        <v>109</v>
      </c>
      <c r="C685" s="5" t="str">
        <f>IFERROR(_xlfn.XLOOKUP(B685, Customers_raw!A:A, Customers_raw!B:B), "Unknown Customer")</f>
        <v>Richard Sanchez</v>
      </c>
      <c r="D685" s="1">
        <v>45693</v>
      </c>
      <c r="E685" s="1" t="str">
        <f t="shared" si="30"/>
        <v>2025-02</v>
      </c>
      <c r="F685" t="s">
        <v>14</v>
      </c>
      <c r="G685" t="s">
        <v>7</v>
      </c>
      <c r="H685">
        <v>1</v>
      </c>
      <c r="I685" s="2">
        <v>54.794117647058826</v>
      </c>
      <c r="J685" s="2">
        <f t="shared" si="31"/>
        <v>54.794117647058826</v>
      </c>
      <c r="K685" s="2" t="str">
        <f t="shared" si="32"/>
        <v>Sale</v>
      </c>
      <c r="L685" t="s">
        <v>5</v>
      </c>
    </row>
    <row r="686" spans="1:12" x14ac:dyDescent="0.25">
      <c r="A686">
        <v>5684</v>
      </c>
      <c r="B686">
        <v>81</v>
      </c>
      <c r="C686" s="5" t="str">
        <f>IFERROR(_xlfn.XLOOKUP(B686, Customers_raw!A:A, Customers_raw!B:B), "Unknown Customer")</f>
        <v>Sarah Moore</v>
      </c>
      <c r="D686" s="1">
        <v>45853</v>
      </c>
      <c r="E686" s="1" t="str">
        <f t="shared" si="30"/>
        <v>2025-07</v>
      </c>
      <c r="F686" t="s">
        <v>12</v>
      </c>
      <c r="G686" t="s">
        <v>10</v>
      </c>
      <c r="H686">
        <v>1</v>
      </c>
      <c r="I686" s="2">
        <v>22</v>
      </c>
      <c r="J686" s="2">
        <f t="shared" si="31"/>
        <v>22</v>
      </c>
      <c r="K686" s="2" t="str">
        <f t="shared" si="32"/>
        <v>Sale</v>
      </c>
      <c r="L686" t="s">
        <v>27</v>
      </c>
    </row>
    <row r="687" spans="1:12" x14ac:dyDescent="0.25">
      <c r="A687">
        <v>5685</v>
      </c>
      <c r="B687">
        <v>104</v>
      </c>
      <c r="C687" s="5" t="str">
        <f>IFERROR(_xlfn.XLOOKUP(B687, Customers_raw!A:A, Customers_raw!B:B), "Unknown Customer")</f>
        <v>Christopher Brown</v>
      </c>
      <c r="D687" s="1">
        <v>45807</v>
      </c>
      <c r="E687" s="1" t="str">
        <f t="shared" si="30"/>
        <v>2025-05</v>
      </c>
      <c r="F687" t="s">
        <v>13</v>
      </c>
      <c r="G687" t="s">
        <v>7</v>
      </c>
      <c r="H687">
        <v>2</v>
      </c>
      <c r="I687" s="2">
        <v>32.154639175257735</v>
      </c>
      <c r="J687" s="2">
        <f t="shared" si="31"/>
        <v>64.30927835051547</v>
      </c>
      <c r="K687" s="2" t="str">
        <f t="shared" si="32"/>
        <v>Sale</v>
      </c>
      <c r="L687" t="s">
        <v>8</v>
      </c>
    </row>
    <row r="688" spans="1:12" x14ac:dyDescent="0.25">
      <c r="A688">
        <v>5686</v>
      </c>
      <c r="B688">
        <v>62</v>
      </c>
      <c r="C688" s="5" t="str">
        <f>IFERROR(_xlfn.XLOOKUP(B688, Customers_raw!A:A, Customers_raw!B:B), "Unknown Customer")</f>
        <v>Mary Wilson</v>
      </c>
      <c r="D688" s="1">
        <v>45723</v>
      </c>
      <c r="E688" s="1" t="str">
        <f t="shared" si="30"/>
        <v>2025-03</v>
      </c>
      <c r="F688" t="s">
        <v>14</v>
      </c>
      <c r="G688" t="s">
        <v>7</v>
      </c>
      <c r="H688">
        <v>3</v>
      </c>
      <c r="I688" s="2">
        <v>55</v>
      </c>
      <c r="J688" s="2">
        <f t="shared" si="31"/>
        <v>165</v>
      </c>
      <c r="K688" s="2" t="str">
        <f t="shared" si="32"/>
        <v>Sale</v>
      </c>
      <c r="L688" t="s">
        <v>5</v>
      </c>
    </row>
    <row r="689" spans="1:12" x14ac:dyDescent="0.25">
      <c r="A689">
        <v>5687</v>
      </c>
      <c r="B689">
        <v>102</v>
      </c>
      <c r="C689" s="5" t="str">
        <f>IFERROR(_xlfn.XLOOKUP(B689, Customers_raw!A:A, Customers_raw!B:B), "Unknown Customer")</f>
        <v>Ashley Wilson</v>
      </c>
      <c r="D689" s="1">
        <v>45715</v>
      </c>
      <c r="E689" s="1" t="str">
        <f t="shared" si="30"/>
        <v>2025-02</v>
      </c>
      <c r="F689" t="s">
        <v>12</v>
      </c>
      <c r="G689" t="s">
        <v>10</v>
      </c>
      <c r="H689">
        <v>1</v>
      </c>
      <c r="I689" s="2">
        <v>19</v>
      </c>
      <c r="J689" s="2">
        <f t="shared" si="31"/>
        <v>19</v>
      </c>
      <c r="K689" s="2" t="str">
        <f t="shared" si="32"/>
        <v>Sale</v>
      </c>
      <c r="L689" t="s">
        <v>5</v>
      </c>
    </row>
    <row r="690" spans="1:12" x14ac:dyDescent="0.25">
      <c r="A690">
        <v>5688</v>
      </c>
      <c r="B690">
        <v>22</v>
      </c>
      <c r="C690" s="5" t="str">
        <f>IFERROR(_xlfn.XLOOKUP(B690, Customers_raw!A:A, Customers_raw!B:B), "Unknown Customer")</f>
        <v>Joseph Thompson</v>
      </c>
      <c r="D690" s="1">
        <v>45845</v>
      </c>
      <c r="E690" s="1" t="str">
        <f t="shared" si="30"/>
        <v>2025-07</v>
      </c>
      <c r="F690" t="s">
        <v>19</v>
      </c>
      <c r="G690" t="s">
        <v>17</v>
      </c>
      <c r="H690">
        <v>3</v>
      </c>
      <c r="I690" s="2">
        <v>19</v>
      </c>
      <c r="J690" s="2">
        <f t="shared" si="31"/>
        <v>57</v>
      </c>
      <c r="K690" s="2" t="str">
        <f t="shared" si="32"/>
        <v>Sale</v>
      </c>
      <c r="L690" t="s">
        <v>8</v>
      </c>
    </row>
    <row r="691" spans="1:12" x14ac:dyDescent="0.25">
      <c r="A691">
        <v>5689</v>
      </c>
      <c r="B691">
        <v>23</v>
      </c>
      <c r="C691" s="5" t="str">
        <f>IFERROR(_xlfn.XLOOKUP(B691, Customers_raw!A:A, Customers_raw!B:B), "Unknown Customer")</f>
        <v>Thomas Martinez</v>
      </c>
      <c r="D691" s="1">
        <v>45725</v>
      </c>
      <c r="E691" s="1" t="str">
        <f t="shared" si="30"/>
        <v>2025-03</v>
      </c>
      <c r="F691" t="s">
        <v>16</v>
      </c>
      <c r="G691" t="s">
        <v>10</v>
      </c>
      <c r="H691">
        <v>2</v>
      </c>
      <c r="I691" s="2">
        <v>28</v>
      </c>
      <c r="J691" s="2">
        <f t="shared" si="31"/>
        <v>56</v>
      </c>
      <c r="K691" s="2" t="str">
        <f t="shared" si="32"/>
        <v>Sale</v>
      </c>
      <c r="L691" t="s">
        <v>5</v>
      </c>
    </row>
    <row r="692" spans="1:12" x14ac:dyDescent="0.25">
      <c r="A692">
        <v>5690</v>
      </c>
      <c r="B692">
        <v>45</v>
      </c>
      <c r="C692" s="5" t="str">
        <f>IFERROR(_xlfn.XLOOKUP(B692, Customers_raw!A:A, Customers_raw!B:B), "Unknown Customer")</f>
        <v>Michael Moore</v>
      </c>
      <c r="D692" s="1">
        <v>45717</v>
      </c>
      <c r="E692" s="1" t="str">
        <f t="shared" si="30"/>
        <v>2025-03</v>
      </c>
      <c r="F692" t="s">
        <v>18</v>
      </c>
      <c r="G692" t="s">
        <v>6</v>
      </c>
      <c r="H692">
        <v>2</v>
      </c>
      <c r="I692" s="2">
        <v>86</v>
      </c>
      <c r="J692" s="2">
        <f t="shared" si="31"/>
        <v>172</v>
      </c>
      <c r="K692" s="2" t="str">
        <f t="shared" si="32"/>
        <v>Sale</v>
      </c>
      <c r="L692" t="s">
        <v>8</v>
      </c>
    </row>
    <row r="693" spans="1:12" x14ac:dyDescent="0.25">
      <c r="A693">
        <v>5691</v>
      </c>
      <c r="B693">
        <v>20</v>
      </c>
      <c r="C693" s="5" t="str">
        <f>IFERROR(_xlfn.XLOOKUP(B693, Customers_raw!A:A, Customers_raw!B:B), "Unknown Customer")</f>
        <v>David Ramirez</v>
      </c>
      <c r="D693" s="1">
        <v>45839</v>
      </c>
      <c r="E693" s="1" t="str">
        <f t="shared" si="30"/>
        <v>2025-07</v>
      </c>
      <c r="F693" t="s">
        <v>16</v>
      </c>
      <c r="G693" t="s">
        <v>10</v>
      </c>
      <c r="H693">
        <v>1</v>
      </c>
      <c r="I693" s="2">
        <v>31</v>
      </c>
      <c r="J693" s="2">
        <f t="shared" si="31"/>
        <v>31</v>
      </c>
      <c r="K693" s="2" t="str">
        <f t="shared" si="32"/>
        <v>Sale</v>
      </c>
      <c r="L693" t="s">
        <v>5</v>
      </c>
    </row>
    <row r="694" spans="1:12" x14ac:dyDescent="0.25">
      <c r="A694">
        <v>5692</v>
      </c>
      <c r="B694">
        <v>101</v>
      </c>
      <c r="C694" s="5" t="str">
        <f>IFERROR(_xlfn.XLOOKUP(B694, Customers_raw!A:A, Customers_raw!B:B), "Unknown Customer")</f>
        <v>David Lee</v>
      </c>
      <c r="D694" s="1">
        <v>45930</v>
      </c>
      <c r="E694" s="1" t="str">
        <f t="shared" si="30"/>
        <v>2025-09</v>
      </c>
      <c r="F694" t="s">
        <v>21</v>
      </c>
      <c r="G694" t="s">
        <v>17</v>
      </c>
      <c r="H694">
        <v>1</v>
      </c>
      <c r="I694" s="2">
        <v>63</v>
      </c>
      <c r="J694" s="2">
        <f t="shared" si="31"/>
        <v>63</v>
      </c>
      <c r="K694" s="2" t="str">
        <f t="shared" si="32"/>
        <v>Sale</v>
      </c>
      <c r="L694" t="s">
        <v>5</v>
      </c>
    </row>
    <row r="695" spans="1:12" x14ac:dyDescent="0.25">
      <c r="A695">
        <v>5693</v>
      </c>
      <c r="B695">
        <v>44</v>
      </c>
      <c r="C695" s="5" t="str">
        <f>IFERROR(_xlfn.XLOOKUP(B695, Customers_raw!A:A, Customers_raw!B:B), "Unknown Customer")</f>
        <v>Emily Jackson</v>
      </c>
      <c r="D695" s="1">
        <v>45968</v>
      </c>
      <c r="E695" s="1" t="str">
        <f t="shared" si="30"/>
        <v>2025-11</v>
      </c>
      <c r="F695" t="s">
        <v>20</v>
      </c>
      <c r="G695" t="s">
        <v>10</v>
      </c>
      <c r="H695">
        <v>2</v>
      </c>
      <c r="I695" s="2">
        <v>68</v>
      </c>
      <c r="J695" s="2">
        <f t="shared" si="31"/>
        <v>136</v>
      </c>
      <c r="K695" s="2" t="str">
        <f t="shared" si="32"/>
        <v>Sale</v>
      </c>
      <c r="L695" t="s">
        <v>27</v>
      </c>
    </row>
    <row r="696" spans="1:12" x14ac:dyDescent="0.25">
      <c r="A696">
        <v>5694</v>
      </c>
      <c r="B696">
        <v>36</v>
      </c>
      <c r="C696" s="5" t="str">
        <f>IFERROR(_xlfn.XLOOKUP(B696, Customers_raw!A:A, Customers_raw!B:B), "Unknown Customer")</f>
        <v>Daniel Harris</v>
      </c>
      <c r="D696" s="1">
        <v>45915</v>
      </c>
      <c r="E696" s="1" t="str">
        <f t="shared" si="30"/>
        <v>2025-09</v>
      </c>
      <c r="F696" t="s">
        <v>22</v>
      </c>
      <c r="G696" t="s">
        <v>17</v>
      </c>
      <c r="H696">
        <v>2</v>
      </c>
      <c r="I696" s="2">
        <v>21</v>
      </c>
      <c r="J696" s="2">
        <f t="shared" si="31"/>
        <v>42</v>
      </c>
      <c r="K696" s="2" t="str">
        <f t="shared" si="32"/>
        <v>Sale</v>
      </c>
      <c r="L696" t="s">
        <v>5</v>
      </c>
    </row>
    <row r="697" spans="1:12" x14ac:dyDescent="0.25">
      <c r="A697">
        <v>5695</v>
      </c>
      <c r="B697">
        <v>77</v>
      </c>
      <c r="C697" s="5" t="str">
        <f>IFERROR(_xlfn.XLOOKUP(B697, Customers_raw!A:A, Customers_raw!B:B), "Unknown Customer")</f>
        <v>Steven Thompson</v>
      </c>
      <c r="D697" s="1">
        <v>45680</v>
      </c>
      <c r="E697" s="1" t="str">
        <f t="shared" si="30"/>
        <v>2025-01</v>
      </c>
      <c r="F697" t="s">
        <v>20</v>
      </c>
      <c r="G697" t="s">
        <v>10</v>
      </c>
      <c r="H697">
        <v>-1</v>
      </c>
      <c r="I697" s="2">
        <v>62</v>
      </c>
      <c r="J697" s="2">
        <f t="shared" si="31"/>
        <v>-62</v>
      </c>
      <c r="K697" s="2" t="str">
        <f t="shared" si="32"/>
        <v>Return</v>
      </c>
      <c r="L697" t="s">
        <v>5</v>
      </c>
    </row>
    <row r="698" spans="1:12" x14ac:dyDescent="0.25">
      <c r="A698">
        <v>5696</v>
      </c>
      <c r="B698">
        <v>67</v>
      </c>
      <c r="C698" s="5" t="str">
        <f>IFERROR(_xlfn.XLOOKUP(B698, Customers_raw!A:A, Customers_raw!B:B), "Unknown Customer")</f>
        <v>Thomas Williams</v>
      </c>
      <c r="D698" s="1">
        <v>45874</v>
      </c>
      <c r="E698" s="1" t="str">
        <f t="shared" si="30"/>
        <v>2025-08</v>
      </c>
      <c r="F698" t="s">
        <v>13</v>
      </c>
      <c r="G698" t="s">
        <v>7</v>
      </c>
      <c r="H698">
        <v>2</v>
      </c>
      <c r="I698" s="2">
        <v>32</v>
      </c>
      <c r="J698" s="2">
        <f t="shared" si="31"/>
        <v>64</v>
      </c>
      <c r="K698" s="2" t="str">
        <f t="shared" si="32"/>
        <v>Sale</v>
      </c>
      <c r="L698" t="s">
        <v>5</v>
      </c>
    </row>
    <row r="699" spans="1:12" x14ac:dyDescent="0.25">
      <c r="A699">
        <v>5697</v>
      </c>
      <c r="B699">
        <v>5</v>
      </c>
      <c r="C699" s="5" t="str">
        <f>IFERROR(_xlfn.XLOOKUP(B699, Customers_raw!A:A, Customers_raw!B:B), "Unknown Customer")</f>
        <v>Joshua Martin</v>
      </c>
      <c r="D699" s="1">
        <v>45786</v>
      </c>
      <c r="E699" s="1" t="str">
        <f t="shared" si="30"/>
        <v>2025-05</v>
      </c>
      <c r="F699" t="s">
        <v>18</v>
      </c>
      <c r="G699" t="s">
        <v>6</v>
      </c>
      <c r="H699">
        <v>3</v>
      </c>
      <c r="I699" s="2">
        <v>89</v>
      </c>
      <c r="J699" s="2">
        <f t="shared" si="31"/>
        <v>267</v>
      </c>
      <c r="K699" s="2" t="str">
        <f t="shared" si="32"/>
        <v>Sale</v>
      </c>
      <c r="L699" t="s">
        <v>5</v>
      </c>
    </row>
    <row r="700" spans="1:12" x14ac:dyDescent="0.25">
      <c r="A700">
        <v>5698</v>
      </c>
      <c r="B700">
        <v>91</v>
      </c>
      <c r="C700" s="5" t="str">
        <f>IFERROR(_xlfn.XLOOKUP(B700, Customers_raw!A:A, Customers_raw!B:B), "Unknown Customer")</f>
        <v>Donald Rodriguez</v>
      </c>
      <c r="D700" s="1">
        <v>45890</v>
      </c>
      <c r="E700" s="1" t="str">
        <f t="shared" si="30"/>
        <v>2025-08</v>
      </c>
      <c r="F700" t="s">
        <v>18</v>
      </c>
      <c r="G700" t="s">
        <v>6</v>
      </c>
      <c r="H700">
        <v>-1</v>
      </c>
      <c r="I700" s="2">
        <v>89.144230769230774</v>
      </c>
      <c r="J700" s="2">
        <f t="shared" si="31"/>
        <v>-89.144230769230774</v>
      </c>
      <c r="K700" s="2" t="str">
        <f t="shared" si="32"/>
        <v>Return</v>
      </c>
      <c r="L700" t="s">
        <v>27</v>
      </c>
    </row>
    <row r="701" spans="1:12" x14ac:dyDescent="0.25">
      <c r="A701">
        <v>5699</v>
      </c>
      <c r="B701">
        <v>101</v>
      </c>
      <c r="C701" s="5" t="str">
        <f>IFERROR(_xlfn.XLOOKUP(B701, Customers_raw!A:A, Customers_raw!B:B), "Unknown Customer")</f>
        <v>David Lee</v>
      </c>
      <c r="D701" s="1">
        <v>45700</v>
      </c>
      <c r="E701" s="1" t="str">
        <f t="shared" si="30"/>
        <v>2025-02</v>
      </c>
      <c r="F701" t="s">
        <v>14</v>
      </c>
      <c r="G701" t="s">
        <v>7</v>
      </c>
      <c r="H701">
        <v>3</v>
      </c>
      <c r="I701" s="2">
        <v>55</v>
      </c>
      <c r="J701" s="2">
        <f t="shared" si="31"/>
        <v>165</v>
      </c>
      <c r="K701" s="2" t="str">
        <f t="shared" si="32"/>
        <v>Sale</v>
      </c>
      <c r="L701" t="s">
        <v>5</v>
      </c>
    </row>
    <row r="702" spans="1:12" x14ac:dyDescent="0.25">
      <c r="A702">
        <v>5700</v>
      </c>
      <c r="B702">
        <v>71</v>
      </c>
      <c r="C702" s="5" t="str">
        <f>IFERROR(_xlfn.XLOOKUP(B702, Customers_raw!A:A, Customers_raw!B:B), "Unknown Customer")</f>
        <v>Barbara Rodriguez</v>
      </c>
      <c r="D702" s="1">
        <v>45832</v>
      </c>
      <c r="E702" s="1" t="str">
        <f t="shared" si="30"/>
        <v>2025-06</v>
      </c>
      <c r="F702" t="s">
        <v>16</v>
      </c>
      <c r="G702" t="s">
        <v>10</v>
      </c>
      <c r="H702">
        <v>2</v>
      </c>
      <c r="I702" s="2">
        <v>25</v>
      </c>
      <c r="J702" s="2">
        <f t="shared" si="31"/>
        <v>50</v>
      </c>
      <c r="K702" s="2" t="str">
        <f t="shared" si="32"/>
        <v>Sale</v>
      </c>
      <c r="L702" t="s">
        <v>27</v>
      </c>
    </row>
    <row r="703" spans="1:12" x14ac:dyDescent="0.25">
      <c r="A703">
        <v>5701</v>
      </c>
      <c r="B703">
        <v>44</v>
      </c>
      <c r="C703" s="5" t="str">
        <f>IFERROR(_xlfn.XLOOKUP(B703, Customers_raw!A:A, Customers_raw!B:B), "Unknown Customer")</f>
        <v>Emily Jackson</v>
      </c>
      <c r="D703" s="1">
        <v>45899</v>
      </c>
      <c r="E703" s="1" t="str">
        <f t="shared" si="30"/>
        <v>2025-08</v>
      </c>
      <c r="F703" t="s">
        <v>11</v>
      </c>
      <c r="G703" t="s">
        <v>6</v>
      </c>
      <c r="H703">
        <v>3</v>
      </c>
      <c r="I703" s="2">
        <v>18</v>
      </c>
      <c r="J703" s="2">
        <f t="shared" si="31"/>
        <v>54</v>
      </c>
      <c r="K703" s="2" t="str">
        <f t="shared" si="32"/>
        <v>Sale</v>
      </c>
      <c r="L703" t="s">
        <v>5</v>
      </c>
    </row>
    <row r="704" spans="1:12" x14ac:dyDescent="0.25">
      <c r="A704">
        <v>5702</v>
      </c>
      <c r="B704">
        <v>26</v>
      </c>
      <c r="C704" s="5" t="str">
        <f>IFERROR(_xlfn.XLOOKUP(B704, Customers_raw!A:A, Customers_raw!B:B), "Unknown Customer")</f>
        <v>Betty Johnson</v>
      </c>
      <c r="D704" s="1">
        <v>45907</v>
      </c>
      <c r="E704" s="1" t="str">
        <f t="shared" si="30"/>
        <v>2025-09</v>
      </c>
      <c r="F704" t="s">
        <v>18</v>
      </c>
      <c r="G704" t="s">
        <v>6</v>
      </c>
      <c r="H704">
        <v>3</v>
      </c>
      <c r="I704" s="2">
        <v>89</v>
      </c>
      <c r="J704" s="2">
        <f t="shared" si="31"/>
        <v>267</v>
      </c>
      <c r="K704" s="2" t="str">
        <f t="shared" si="32"/>
        <v>Sale</v>
      </c>
      <c r="L704" t="s">
        <v>8</v>
      </c>
    </row>
    <row r="705" spans="1:12" x14ac:dyDescent="0.25">
      <c r="A705">
        <v>5703</v>
      </c>
      <c r="B705">
        <v>37</v>
      </c>
      <c r="C705" s="5" t="str">
        <f>IFERROR(_xlfn.XLOOKUP(B705, Customers_raw!A:A, Customers_raw!B:B), "Unknown Customer")</f>
        <v>Kenneth Lopez</v>
      </c>
      <c r="D705" s="1">
        <v>45737</v>
      </c>
      <c r="E705" s="1" t="str">
        <f t="shared" si="30"/>
        <v>2025-03</v>
      </c>
      <c r="F705" t="s">
        <v>14</v>
      </c>
      <c r="G705" t="s">
        <v>7</v>
      </c>
      <c r="H705">
        <v>1</v>
      </c>
      <c r="I705" s="2">
        <v>55</v>
      </c>
      <c r="J705" s="2">
        <f t="shared" si="31"/>
        <v>55</v>
      </c>
      <c r="K705" s="2" t="str">
        <f t="shared" si="32"/>
        <v>Sale</v>
      </c>
      <c r="L705" t="s">
        <v>5</v>
      </c>
    </row>
    <row r="706" spans="1:12" x14ac:dyDescent="0.25">
      <c r="A706">
        <v>5704</v>
      </c>
      <c r="B706">
        <v>36</v>
      </c>
      <c r="C706" s="5" t="str">
        <f>IFERROR(_xlfn.XLOOKUP(B706, Customers_raw!A:A, Customers_raw!B:B), "Unknown Customer")</f>
        <v>Daniel Harris</v>
      </c>
      <c r="D706" s="1">
        <v>46003</v>
      </c>
      <c r="E706" s="1" t="str">
        <f t="shared" si="30"/>
        <v>2025-12</v>
      </c>
      <c r="F706" t="s">
        <v>16</v>
      </c>
      <c r="G706" t="s">
        <v>10</v>
      </c>
      <c r="H706">
        <v>1</v>
      </c>
      <c r="I706" s="2">
        <v>25</v>
      </c>
      <c r="J706" s="2">
        <f t="shared" si="31"/>
        <v>25</v>
      </c>
      <c r="K706" s="2" t="str">
        <f t="shared" si="32"/>
        <v>Sale</v>
      </c>
      <c r="L706" t="s">
        <v>8</v>
      </c>
    </row>
    <row r="707" spans="1:12" x14ac:dyDescent="0.25">
      <c r="A707">
        <v>5705</v>
      </c>
      <c r="B707">
        <v>55</v>
      </c>
      <c r="C707" s="5" t="str">
        <f>IFERROR(_xlfn.XLOOKUP(B707, Customers_raw!A:A, Customers_raw!B:B), "Unknown Customer")</f>
        <v>Thomas Walker</v>
      </c>
      <c r="D707" s="1">
        <v>45735</v>
      </c>
      <c r="E707" s="1" t="str">
        <f t="shared" ref="E707:E770" si="33">TEXT(D:D,"YYYY-MM")</f>
        <v>2025-03</v>
      </c>
      <c r="F707" t="s">
        <v>9</v>
      </c>
      <c r="G707" t="s">
        <v>6</v>
      </c>
      <c r="H707">
        <v>2</v>
      </c>
      <c r="I707" s="2">
        <v>42</v>
      </c>
      <c r="J707" s="2">
        <f t="shared" ref="J707:J770" si="34">H707*I707</f>
        <v>84</v>
      </c>
      <c r="K707" s="2" t="str">
        <f t="shared" ref="K707:K770" si="35">IF(H707&lt;0,"Return","Sale")</f>
        <v>Sale</v>
      </c>
      <c r="L707" t="s">
        <v>8</v>
      </c>
    </row>
    <row r="708" spans="1:12" x14ac:dyDescent="0.25">
      <c r="A708">
        <v>5706</v>
      </c>
      <c r="B708">
        <v>66</v>
      </c>
      <c r="C708" s="5" t="str">
        <f>IFERROR(_xlfn.XLOOKUP(B708, Customers_raw!A:A, Customers_raw!B:B), "Unknown Customer")</f>
        <v>Barbara Anderson</v>
      </c>
      <c r="D708" s="1">
        <v>45668</v>
      </c>
      <c r="E708" s="1" t="str">
        <f t="shared" si="33"/>
        <v>2025-01</v>
      </c>
      <c r="F708" t="s">
        <v>14</v>
      </c>
      <c r="G708" t="s">
        <v>7</v>
      </c>
      <c r="H708">
        <v>1</v>
      </c>
      <c r="I708" s="2">
        <v>55</v>
      </c>
      <c r="J708" s="2">
        <f t="shared" si="34"/>
        <v>55</v>
      </c>
      <c r="K708" s="2" t="str">
        <f t="shared" si="35"/>
        <v>Sale</v>
      </c>
      <c r="L708" t="s">
        <v>8</v>
      </c>
    </row>
    <row r="709" spans="1:12" x14ac:dyDescent="0.25">
      <c r="A709">
        <v>5707</v>
      </c>
      <c r="B709">
        <v>101</v>
      </c>
      <c r="C709" s="5" t="str">
        <f>IFERROR(_xlfn.XLOOKUP(B709, Customers_raw!A:A, Customers_raw!B:B), "Unknown Customer")</f>
        <v>David Lee</v>
      </c>
      <c r="D709" s="1">
        <v>45848</v>
      </c>
      <c r="E709" s="1" t="str">
        <f t="shared" si="33"/>
        <v>2025-07</v>
      </c>
      <c r="F709" t="s">
        <v>16</v>
      </c>
      <c r="G709" t="s">
        <v>10</v>
      </c>
      <c r="H709">
        <v>1</v>
      </c>
      <c r="I709" s="2">
        <v>28</v>
      </c>
      <c r="J709" s="2">
        <f t="shared" si="34"/>
        <v>28</v>
      </c>
      <c r="K709" s="2" t="str">
        <f t="shared" si="35"/>
        <v>Sale</v>
      </c>
      <c r="L709" t="s">
        <v>27</v>
      </c>
    </row>
    <row r="710" spans="1:12" x14ac:dyDescent="0.25">
      <c r="A710">
        <v>5708</v>
      </c>
      <c r="B710">
        <v>92</v>
      </c>
      <c r="C710" s="5" t="str">
        <f>IFERROR(_xlfn.XLOOKUP(B710, Customers_raw!A:A, Customers_raw!B:B), "Unknown Customer")</f>
        <v>Joseph Harris</v>
      </c>
      <c r="D710" s="1">
        <v>45763</v>
      </c>
      <c r="E710" s="1" t="str">
        <f t="shared" si="33"/>
        <v>2025-04</v>
      </c>
      <c r="F710" t="s">
        <v>9</v>
      </c>
      <c r="G710" t="s">
        <v>6</v>
      </c>
      <c r="H710">
        <v>2</v>
      </c>
      <c r="I710" s="2">
        <v>48</v>
      </c>
      <c r="J710" s="2">
        <f t="shared" si="34"/>
        <v>96</v>
      </c>
      <c r="K710" s="2" t="str">
        <f t="shared" si="35"/>
        <v>Sale</v>
      </c>
      <c r="L710" t="s">
        <v>5</v>
      </c>
    </row>
    <row r="711" spans="1:12" x14ac:dyDescent="0.25">
      <c r="A711">
        <v>5709</v>
      </c>
      <c r="B711">
        <v>13</v>
      </c>
      <c r="C711" s="5" t="str">
        <f>IFERROR(_xlfn.XLOOKUP(B711, Customers_raw!A:A, Customers_raw!B:B), "Unknown Customer")</f>
        <v>Anthony Johnson</v>
      </c>
      <c r="D711" s="1">
        <v>46020</v>
      </c>
      <c r="E711" s="1" t="str">
        <f t="shared" si="33"/>
        <v>2025-12</v>
      </c>
      <c r="F711" t="s">
        <v>9</v>
      </c>
      <c r="G711" t="s">
        <v>6</v>
      </c>
      <c r="H711">
        <v>-1</v>
      </c>
      <c r="I711" s="2">
        <v>45</v>
      </c>
      <c r="J711" s="2">
        <f t="shared" si="34"/>
        <v>-45</v>
      </c>
      <c r="K711" s="2" t="str">
        <f t="shared" si="35"/>
        <v>Return</v>
      </c>
      <c r="L711" t="s">
        <v>23</v>
      </c>
    </row>
    <row r="712" spans="1:12" x14ac:dyDescent="0.25">
      <c r="A712">
        <v>5710</v>
      </c>
      <c r="B712">
        <v>5</v>
      </c>
      <c r="C712" s="5" t="str">
        <f>IFERROR(_xlfn.XLOOKUP(B712, Customers_raw!A:A, Customers_raw!B:B), "Unknown Customer")</f>
        <v>Joshua Martin</v>
      </c>
      <c r="D712" s="1">
        <v>45824</v>
      </c>
      <c r="E712" s="1" t="str">
        <f t="shared" si="33"/>
        <v>2025-06</v>
      </c>
      <c r="F712" t="s">
        <v>21</v>
      </c>
      <c r="G712" t="s">
        <v>17</v>
      </c>
      <c r="H712">
        <v>2</v>
      </c>
      <c r="I712" s="2">
        <v>60</v>
      </c>
      <c r="J712" s="2">
        <f t="shared" si="34"/>
        <v>120</v>
      </c>
      <c r="K712" s="2" t="str">
        <f t="shared" si="35"/>
        <v>Sale</v>
      </c>
      <c r="L712" t="s">
        <v>27</v>
      </c>
    </row>
    <row r="713" spans="1:12" x14ac:dyDescent="0.25">
      <c r="A713">
        <v>5711</v>
      </c>
      <c r="B713">
        <v>57</v>
      </c>
      <c r="C713" s="5" t="str">
        <f>IFERROR(_xlfn.XLOOKUP(B713, Customers_raw!A:A, Customers_raw!B:B), "Unknown Customer")</f>
        <v>Karen Clark</v>
      </c>
      <c r="D713" s="1">
        <v>45696</v>
      </c>
      <c r="E713" s="1" t="str">
        <f t="shared" si="33"/>
        <v>2025-02</v>
      </c>
      <c r="F713" t="s">
        <v>18</v>
      </c>
      <c r="G713" t="s">
        <v>6</v>
      </c>
      <c r="H713">
        <v>1</v>
      </c>
      <c r="I713" s="2">
        <v>89</v>
      </c>
      <c r="J713" s="2">
        <f t="shared" si="34"/>
        <v>89</v>
      </c>
      <c r="K713" s="2" t="str">
        <f t="shared" si="35"/>
        <v>Sale</v>
      </c>
      <c r="L713" t="s">
        <v>8</v>
      </c>
    </row>
    <row r="714" spans="1:12" x14ac:dyDescent="0.25">
      <c r="A714">
        <v>5712</v>
      </c>
      <c r="B714">
        <v>31</v>
      </c>
      <c r="C714" s="5" t="str">
        <f>IFERROR(_xlfn.XLOOKUP(B714, Customers_raw!A:A, Customers_raw!B:B), "Unknown Customer")</f>
        <v>Nancy Harris</v>
      </c>
      <c r="D714" s="1">
        <v>45874</v>
      </c>
      <c r="E714" s="1" t="str">
        <f t="shared" si="33"/>
        <v>2025-08</v>
      </c>
      <c r="F714" t="s">
        <v>22</v>
      </c>
      <c r="G714" t="s">
        <v>17</v>
      </c>
      <c r="H714">
        <v>1</v>
      </c>
      <c r="I714" s="2">
        <v>27</v>
      </c>
      <c r="J714" s="2">
        <f t="shared" si="34"/>
        <v>27</v>
      </c>
      <c r="K714" s="2" t="str">
        <f t="shared" si="35"/>
        <v>Sale</v>
      </c>
      <c r="L714" t="s">
        <v>5</v>
      </c>
    </row>
    <row r="715" spans="1:12" x14ac:dyDescent="0.25">
      <c r="A715">
        <v>5713</v>
      </c>
      <c r="B715">
        <v>5</v>
      </c>
      <c r="C715" s="5" t="str">
        <f>IFERROR(_xlfn.XLOOKUP(B715, Customers_raw!A:A, Customers_raw!B:B), "Unknown Customer")</f>
        <v>Joshua Martin</v>
      </c>
      <c r="D715" s="1">
        <v>45910</v>
      </c>
      <c r="E715" s="1" t="str">
        <f t="shared" si="33"/>
        <v>2025-09</v>
      </c>
      <c r="F715" t="s">
        <v>15</v>
      </c>
      <c r="G715" t="s">
        <v>7</v>
      </c>
      <c r="H715">
        <v>1</v>
      </c>
      <c r="I715" s="2">
        <v>70</v>
      </c>
      <c r="J715" s="2">
        <f t="shared" si="34"/>
        <v>70</v>
      </c>
      <c r="K715" s="2" t="str">
        <f t="shared" si="35"/>
        <v>Sale</v>
      </c>
      <c r="L715" t="s">
        <v>8</v>
      </c>
    </row>
    <row r="716" spans="1:12" x14ac:dyDescent="0.25">
      <c r="A716">
        <v>5714</v>
      </c>
      <c r="B716">
        <v>2</v>
      </c>
      <c r="C716" s="5" t="str">
        <f>IFERROR(_xlfn.XLOOKUP(B716, Customers_raw!A:A, Customers_raw!B:B), "Unknown Customer")</f>
        <v>Michael Lopez</v>
      </c>
      <c r="D716" s="1">
        <v>45820</v>
      </c>
      <c r="E716" s="1" t="str">
        <f t="shared" si="33"/>
        <v>2025-06</v>
      </c>
      <c r="F716" t="s">
        <v>16</v>
      </c>
      <c r="G716" t="s">
        <v>10</v>
      </c>
      <c r="H716">
        <v>2</v>
      </c>
      <c r="I716" s="2">
        <v>28</v>
      </c>
      <c r="J716" s="2">
        <f t="shared" si="34"/>
        <v>56</v>
      </c>
      <c r="K716" s="2" t="str">
        <f t="shared" si="35"/>
        <v>Sale</v>
      </c>
      <c r="L716" t="s">
        <v>27</v>
      </c>
    </row>
    <row r="717" spans="1:12" x14ac:dyDescent="0.25">
      <c r="A717">
        <v>5715</v>
      </c>
      <c r="B717">
        <v>108</v>
      </c>
      <c r="C717" s="5" t="str">
        <f>IFERROR(_xlfn.XLOOKUP(B717, Customers_raw!A:A, Customers_raw!B:B), "Unknown Customer")</f>
        <v>Charles Perez</v>
      </c>
      <c r="D717" s="1">
        <v>45879</v>
      </c>
      <c r="E717" s="1" t="str">
        <f t="shared" si="33"/>
        <v>2025-08</v>
      </c>
      <c r="F717" t="s">
        <v>13</v>
      </c>
      <c r="G717" t="s">
        <v>7</v>
      </c>
      <c r="H717">
        <v>1</v>
      </c>
      <c r="I717" s="2">
        <v>29</v>
      </c>
      <c r="J717" s="2">
        <f t="shared" si="34"/>
        <v>29</v>
      </c>
      <c r="K717" s="2" t="str">
        <f t="shared" si="35"/>
        <v>Sale</v>
      </c>
      <c r="L717" t="s">
        <v>8</v>
      </c>
    </row>
    <row r="718" spans="1:12" x14ac:dyDescent="0.25">
      <c r="A718">
        <v>5716</v>
      </c>
      <c r="B718">
        <v>40</v>
      </c>
      <c r="C718" s="5" t="str">
        <f>IFERROR(_xlfn.XLOOKUP(B718, Customers_raw!A:A, Customers_raw!B:B), "Unknown Customer")</f>
        <v>Jennifer Ramirez</v>
      </c>
      <c r="D718" s="1">
        <v>45766</v>
      </c>
      <c r="E718" s="1" t="str">
        <f t="shared" si="33"/>
        <v>2025-04</v>
      </c>
      <c r="F718" t="s">
        <v>13</v>
      </c>
      <c r="G718" t="s">
        <v>7</v>
      </c>
      <c r="H718">
        <v>1</v>
      </c>
      <c r="I718" s="2">
        <v>29</v>
      </c>
      <c r="J718" s="2">
        <f t="shared" si="34"/>
        <v>29</v>
      </c>
      <c r="K718" s="2" t="str">
        <f t="shared" si="35"/>
        <v>Sale</v>
      </c>
      <c r="L718" t="s">
        <v>5</v>
      </c>
    </row>
    <row r="719" spans="1:12" x14ac:dyDescent="0.25">
      <c r="A719">
        <v>5717</v>
      </c>
      <c r="B719">
        <v>1</v>
      </c>
      <c r="C719" s="5" t="str">
        <f>IFERROR(_xlfn.XLOOKUP(B719, Customers_raw!A:A, Customers_raw!B:B), "Unknown Customer")</f>
        <v>Christopher Jones</v>
      </c>
      <c r="D719" s="1">
        <v>45868</v>
      </c>
      <c r="E719" s="1" t="str">
        <f t="shared" si="33"/>
        <v>2025-07</v>
      </c>
      <c r="F719" t="s">
        <v>14</v>
      </c>
      <c r="G719" t="s">
        <v>7</v>
      </c>
      <c r="H719">
        <v>1</v>
      </c>
      <c r="I719" s="2">
        <v>55</v>
      </c>
      <c r="J719" s="2">
        <f t="shared" si="34"/>
        <v>55</v>
      </c>
      <c r="K719" s="2" t="str">
        <f t="shared" si="35"/>
        <v>Sale</v>
      </c>
      <c r="L719" t="s">
        <v>5</v>
      </c>
    </row>
    <row r="720" spans="1:12" x14ac:dyDescent="0.25">
      <c r="A720">
        <v>5718</v>
      </c>
      <c r="B720">
        <v>22</v>
      </c>
      <c r="C720" s="5" t="str">
        <f>IFERROR(_xlfn.XLOOKUP(B720, Customers_raw!A:A, Customers_raw!B:B), "Unknown Customer")</f>
        <v>Joseph Thompson</v>
      </c>
      <c r="D720" s="1">
        <v>45919</v>
      </c>
      <c r="E720" s="1" t="str">
        <f t="shared" si="33"/>
        <v>2025-09</v>
      </c>
      <c r="F720" t="s">
        <v>12</v>
      </c>
      <c r="G720" t="s">
        <v>10</v>
      </c>
      <c r="H720">
        <v>1</v>
      </c>
      <c r="I720" s="2">
        <v>22</v>
      </c>
      <c r="J720" s="2">
        <f t="shared" si="34"/>
        <v>22</v>
      </c>
      <c r="K720" s="2" t="str">
        <f t="shared" si="35"/>
        <v>Sale</v>
      </c>
      <c r="L720" t="s">
        <v>27</v>
      </c>
    </row>
    <row r="721" spans="1:12" x14ac:dyDescent="0.25">
      <c r="A721">
        <v>5719</v>
      </c>
      <c r="B721">
        <v>57</v>
      </c>
      <c r="C721" s="5" t="str">
        <f>IFERROR(_xlfn.XLOOKUP(B721, Customers_raw!A:A, Customers_raw!B:B), "Unknown Customer")</f>
        <v>Karen Clark</v>
      </c>
      <c r="D721" s="1">
        <v>45723</v>
      </c>
      <c r="E721" s="1" t="str">
        <f t="shared" si="33"/>
        <v>2025-03</v>
      </c>
      <c r="F721" t="s">
        <v>14</v>
      </c>
      <c r="G721" t="s">
        <v>7</v>
      </c>
      <c r="H721">
        <v>2</v>
      </c>
      <c r="I721" s="2">
        <v>58</v>
      </c>
      <c r="J721" s="2">
        <f t="shared" si="34"/>
        <v>116</v>
      </c>
      <c r="K721" s="2" t="str">
        <f t="shared" si="35"/>
        <v>Sale</v>
      </c>
      <c r="L721" t="s">
        <v>5</v>
      </c>
    </row>
    <row r="722" spans="1:12" x14ac:dyDescent="0.25">
      <c r="A722">
        <v>5720</v>
      </c>
      <c r="B722">
        <v>98</v>
      </c>
      <c r="C722" s="5" t="str">
        <f>IFERROR(_xlfn.XLOOKUP(B722, Customers_raw!A:A, Customers_raw!B:B), "Unknown Customer")</f>
        <v>Karen Williams</v>
      </c>
      <c r="D722" s="1">
        <v>45974</v>
      </c>
      <c r="E722" s="1" t="str">
        <f t="shared" si="33"/>
        <v>2025-11</v>
      </c>
      <c r="F722" t="s">
        <v>12</v>
      </c>
      <c r="G722" t="s">
        <v>10</v>
      </c>
      <c r="H722">
        <v>1</v>
      </c>
      <c r="I722" s="2">
        <v>22</v>
      </c>
      <c r="J722" s="2">
        <f t="shared" si="34"/>
        <v>22</v>
      </c>
      <c r="K722" s="2" t="str">
        <f t="shared" si="35"/>
        <v>Sale</v>
      </c>
      <c r="L722" t="s">
        <v>27</v>
      </c>
    </row>
    <row r="723" spans="1:12" x14ac:dyDescent="0.25">
      <c r="A723">
        <v>5721</v>
      </c>
      <c r="B723">
        <v>43</v>
      </c>
      <c r="C723" s="5" t="str">
        <f>IFERROR(_xlfn.XLOOKUP(B723, Customers_raw!A:A, Customers_raw!B:B), "Unknown Customer")</f>
        <v>Sandra Clark</v>
      </c>
      <c r="D723" s="1">
        <v>45716</v>
      </c>
      <c r="E723" s="1" t="str">
        <f t="shared" si="33"/>
        <v>2025-02</v>
      </c>
      <c r="F723" t="s">
        <v>22</v>
      </c>
      <c r="G723" t="s">
        <v>17</v>
      </c>
      <c r="H723">
        <v>1</v>
      </c>
      <c r="I723" s="2">
        <v>24</v>
      </c>
      <c r="J723" s="2">
        <f t="shared" si="34"/>
        <v>24</v>
      </c>
      <c r="K723" s="2" t="str">
        <f t="shared" si="35"/>
        <v>Sale</v>
      </c>
      <c r="L723" t="s">
        <v>27</v>
      </c>
    </row>
    <row r="724" spans="1:12" x14ac:dyDescent="0.25">
      <c r="A724">
        <v>5722</v>
      </c>
      <c r="B724">
        <v>52</v>
      </c>
      <c r="C724" s="5" t="str">
        <f>IFERROR(_xlfn.XLOOKUP(B724, Customers_raw!A:A, Customers_raw!B:B), "Unknown Customer")</f>
        <v>Sarah Johnson</v>
      </c>
      <c r="D724" s="1">
        <v>45740</v>
      </c>
      <c r="E724" s="1" t="str">
        <f t="shared" si="33"/>
        <v>2025-03</v>
      </c>
      <c r="F724" t="s">
        <v>16</v>
      </c>
      <c r="G724" t="s">
        <v>10</v>
      </c>
      <c r="H724">
        <v>3</v>
      </c>
      <c r="I724" s="2">
        <v>31</v>
      </c>
      <c r="J724" s="2">
        <f t="shared" si="34"/>
        <v>93</v>
      </c>
      <c r="K724" s="2" t="str">
        <f t="shared" si="35"/>
        <v>Sale</v>
      </c>
      <c r="L724" t="s">
        <v>8</v>
      </c>
    </row>
    <row r="725" spans="1:12" x14ac:dyDescent="0.25">
      <c r="A725">
        <v>5723</v>
      </c>
      <c r="B725" t="s">
        <v>23</v>
      </c>
      <c r="C725" s="5" t="str">
        <f>IFERROR(_xlfn.XLOOKUP(B725, Customers_raw!A:A, Customers_raw!B:B), "Unknown Customer")</f>
        <v>Unknown Customer</v>
      </c>
      <c r="D725" s="1">
        <v>45746</v>
      </c>
      <c r="E725" s="1" t="str">
        <f t="shared" si="33"/>
        <v>2025-03</v>
      </c>
      <c r="F725" t="s">
        <v>9</v>
      </c>
      <c r="G725" t="s">
        <v>6</v>
      </c>
      <c r="H725">
        <v>1</v>
      </c>
      <c r="I725" s="2">
        <v>45</v>
      </c>
      <c r="J725" s="2">
        <f t="shared" si="34"/>
        <v>45</v>
      </c>
      <c r="K725" s="2" t="str">
        <f t="shared" si="35"/>
        <v>Sale</v>
      </c>
      <c r="L725" t="s">
        <v>8</v>
      </c>
    </row>
    <row r="726" spans="1:12" x14ac:dyDescent="0.25">
      <c r="A726">
        <v>5724</v>
      </c>
      <c r="B726">
        <v>49</v>
      </c>
      <c r="C726" s="5" t="str">
        <f>IFERROR(_xlfn.XLOOKUP(B726, Customers_raw!A:A, Customers_raw!B:B), "Unknown Customer")</f>
        <v>Steven Smith</v>
      </c>
      <c r="D726" s="1">
        <v>45822</v>
      </c>
      <c r="E726" s="1" t="str">
        <f t="shared" si="33"/>
        <v>2025-06</v>
      </c>
      <c r="F726" t="s">
        <v>9</v>
      </c>
      <c r="G726" t="s">
        <v>6</v>
      </c>
      <c r="H726">
        <v>3</v>
      </c>
      <c r="I726" s="2">
        <v>42</v>
      </c>
      <c r="J726" s="2">
        <f t="shared" si="34"/>
        <v>126</v>
      </c>
      <c r="K726" s="2" t="str">
        <f t="shared" si="35"/>
        <v>Sale</v>
      </c>
      <c r="L726" t="s">
        <v>27</v>
      </c>
    </row>
    <row r="727" spans="1:12" x14ac:dyDescent="0.25">
      <c r="A727">
        <v>5725</v>
      </c>
      <c r="B727">
        <v>70</v>
      </c>
      <c r="C727" s="5" t="str">
        <f>IFERROR(_xlfn.XLOOKUP(B727, Customers_raw!A:A, Customers_raw!B:B), "Unknown Customer")</f>
        <v>Karen Perez</v>
      </c>
      <c r="D727" s="1">
        <v>45692</v>
      </c>
      <c r="E727" s="1" t="str">
        <f t="shared" si="33"/>
        <v>2025-02</v>
      </c>
      <c r="F727" t="s">
        <v>20</v>
      </c>
      <c r="G727" t="s">
        <v>10</v>
      </c>
      <c r="H727">
        <v>3</v>
      </c>
      <c r="I727" s="2">
        <v>65</v>
      </c>
      <c r="J727" s="2">
        <f t="shared" si="34"/>
        <v>195</v>
      </c>
      <c r="K727" s="2" t="str">
        <f t="shared" si="35"/>
        <v>Sale</v>
      </c>
      <c r="L727" t="s">
        <v>5</v>
      </c>
    </row>
    <row r="728" spans="1:12" x14ac:dyDescent="0.25">
      <c r="A728">
        <v>5726</v>
      </c>
      <c r="B728">
        <v>79</v>
      </c>
      <c r="C728" s="5" t="str">
        <f>IFERROR(_xlfn.XLOOKUP(B728, Customers_raw!A:A, Customers_raw!B:B), "Unknown Customer")</f>
        <v>Nancy Jackson</v>
      </c>
      <c r="D728" s="1">
        <v>45759</v>
      </c>
      <c r="E728" s="1" t="str">
        <f t="shared" si="33"/>
        <v>2025-04</v>
      </c>
      <c r="F728" t="s">
        <v>20</v>
      </c>
      <c r="G728" t="s">
        <v>10</v>
      </c>
      <c r="H728">
        <v>1</v>
      </c>
      <c r="I728" s="2">
        <v>68</v>
      </c>
      <c r="J728" s="2">
        <f t="shared" si="34"/>
        <v>68</v>
      </c>
      <c r="K728" s="2" t="str">
        <f t="shared" si="35"/>
        <v>Sale</v>
      </c>
      <c r="L728" t="s">
        <v>5</v>
      </c>
    </row>
    <row r="729" spans="1:12" x14ac:dyDescent="0.25">
      <c r="A729">
        <v>5727</v>
      </c>
      <c r="B729">
        <v>62</v>
      </c>
      <c r="C729" s="5" t="str">
        <f>IFERROR(_xlfn.XLOOKUP(B729, Customers_raw!A:A, Customers_raw!B:B), "Unknown Customer")</f>
        <v>Mary Wilson</v>
      </c>
      <c r="D729" s="1">
        <v>45973</v>
      </c>
      <c r="E729" s="1" t="str">
        <f t="shared" si="33"/>
        <v>2025-11</v>
      </c>
      <c r="F729" t="s">
        <v>19</v>
      </c>
      <c r="G729" t="s">
        <v>17</v>
      </c>
      <c r="H729">
        <v>1</v>
      </c>
      <c r="I729" s="2">
        <v>19</v>
      </c>
      <c r="J729" s="2">
        <f t="shared" si="34"/>
        <v>19</v>
      </c>
      <c r="K729" s="2" t="str">
        <f t="shared" si="35"/>
        <v>Sale</v>
      </c>
      <c r="L729" t="s">
        <v>5</v>
      </c>
    </row>
    <row r="730" spans="1:12" x14ac:dyDescent="0.25">
      <c r="A730">
        <v>5728</v>
      </c>
      <c r="B730">
        <v>26</v>
      </c>
      <c r="C730" s="5" t="str">
        <f>IFERROR(_xlfn.XLOOKUP(B730, Customers_raw!A:A, Customers_raw!B:B), "Unknown Customer")</f>
        <v>Betty Johnson</v>
      </c>
      <c r="D730" s="1">
        <v>45973</v>
      </c>
      <c r="E730" s="1" t="str">
        <f t="shared" si="33"/>
        <v>2025-11</v>
      </c>
      <c r="F730" t="s">
        <v>15</v>
      </c>
      <c r="G730" t="s">
        <v>7</v>
      </c>
      <c r="H730">
        <v>3</v>
      </c>
      <c r="I730" s="2">
        <v>70</v>
      </c>
      <c r="J730" s="2">
        <f t="shared" si="34"/>
        <v>210</v>
      </c>
      <c r="K730" s="2" t="str">
        <f t="shared" si="35"/>
        <v>Sale</v>
      </c>
      <c r="L730" t="s">
        <v>27</v>
      </c>
    </row>
    <row r="731" spans="1:12" x14ac:dyDescent="0.25">
      <c r="A731">
        <v>5729</v>
      </c>
      <c r="B731">
        <v>17</v>
      </c>
      <c r="C731" s="5" t="str">
        <f>IFERROR(_xlfn.XLOOKUP(B731, Customers_raw!A:A, Customers_raw!B:B), "Unknown Customer")</f>
        <v>Mary Thomas</v>
      </c>
      <c r="D731" s="1">
        <v>45939</v>
      </c>
      <c r="E731" s="1" t="str">
        <f t="shared" si="33"/>
        <v>2025-10</v>
      </c>
      <c r="F731" t="s">
        <v>11</v>
      </c>
      <c r="G731" t="s">
        <v>6</v>
      </c>
      <c r="H731">
        <v>2</v>
      </c>
      <c r="I731" s="2">
        <v>18</v>
      </c>
      <c r="J731" s="2">
        <f t="shared" si="34"/>
        <v>36</v>
      </c>
      <c r="K731" s="2" t="str">
        <f t="shared" si="35"/>
        <v>Sale</v>
      </c>
      <c r="L731" t="s">
        <v>8</v>
      </c>
    </row>
    <row r="732" spans="1:12" x14ac:dyDescent="0.25">
      <c r="A732">
        <v>5730</v>
      </c>
      <c r="B732">
        <v>79</v>
      </c>
      <c r="C732" s="5" t="str">
        <f>IFERROR(_xlfn.XLOOKUP(B732, Customers_raw!A:A, Customers_raw!B:B), "Unknown Customer")</f>
        <v>Nancy Jackson</v>
      </c>
      <c r="D732" s="1">
        <v>45674</v>
      </c>
      <c r="E732" s="1" t="str">
        <f t="shared" si="33"/>
        <v>2025-01</v>
      </c>
      <c r="F732" t="s">
        <v>21</v>
      </c>
      <c r="G732" t="s">
        <v>17</v>
      </c>
      <c r="H732">
        <v>-1</v>
      </c>
      <c r="I732" s="2">
        <v>57</v>
      </c>
      <c r="J732" s="2">
        <f t="shared" si="34"/>
        <v>-57</v>
      </c>
      <c r="K732" s="2" t="str">
        <f t="shared" si="35"/>
        <v>Return</v>
      </c>
      <c r="L732" t="s">
        <v>8</v>
      </c>
    </row>
    <row r="733" spans="1:12" x14ac:dyDescent="0.25">
      <c r="A733">
        <v>5731</v>
      </c>
      <c r="B733">
        <v>80</v>
      </c>
      <c r="C733" s="5" t="str">
        <f>IFERROR(_xlfn.XLOOKUP(B733, Customers_raw!A:A, Customers_raw!B:B), "Unknown Customer")</f>
        <v>Susan Lopez</v>
      </c>
      <c r="D733" s="1">
        <v>45883</v>
      </c>
      <c r="E733" s="1" t="str">
        <f t="shared" si="33"/>
        <v>2025-08</v>
      </c>
      <c r="F733" t="s">
        <v>9</v>
      </c>
      <c r="G733" t="s">
        <v>6</v>
      </c>
      <c r="H733">
        <v>3</v>
      </c>
      <c r="I733" s="2">
        <v>45</v>
      </c>
      <c r="J733" s="2">
        <f t="shared" si="34"/>
        <v>135</v>
      </c>
      <c r="K733" s="2" t="str">
        <f t="shared" si="35"/>
        <v>Sale</v>
      </c>
      <c r="L733" t="s">
        <v>27</v>
      </c>
    </row>
    <row r="734" spans="1:12" x14ac:dyDescent="0.25">
      <c r="A734">
        <v>5732</v>
      </c>
      <c r="B734">
        <v>26</v>
      </c>
      <c r="C734" s="5" t="str">
        <f>IFERROR(_xlfn.XLOOKUP(B734, Customers_raw!A:A, Customers_raw!B:B), "Unknown Customer")</f>
        <v>Betty Johnson</v>
      </c>
      <c r="D734" s="1">
        <v>45982</v>
      </c>
      <c r="E734" s="1" t="str">
        <f t="shared" si="33"/>
        <v>2025-11</v>
      </c>
      <c r="F734" t="s">
        <v>11</v>
      </c>
      <c r="G734" t="s">
        <v>6</v>
      </c>
      <c r="H734">
        <v>2</v>
      </c>
      <c r="I734" s="2">
        <v>15</v>
      </c>
      <c r="J734" s="2">
        <f t="shared" si="34"/>
        <v>30</v>
      </c>
      <c r="K734" s="2" t="str">
        <f t="shared" si="35"/>
        <v>Sale</v>
      </c>
      <c r="L734" t="s">
        <v>5</v>
      </c>
    </row>
    <row r="735" spans="1:12" x14ac:dyDescent="0.25">
      <c r="A735">
        <v>5733</v>
      </c>
      <c r="B735">
        <v>9</v>
      </c>
      <c r="C735" s="5" t="str">
        <f>IFERROR(_xlfn.XLOOKUP(B735, Customers_raw!A:A, Customers_raw!B:B), "Unknown Customer")</f>
        <v>Andrew Anderson</v>
      </c>
      <c r="D735" s="1">
        <v>45669</v>
      </c>
      <c r="E735" s="1" t="str">
        <f t="shared" si="33"/>
        <v>2025-01</v>
      </c>
      <c r="F735" t="s">
        <v>12</v>
      </c>
      <c r="G735" t="s">
        <v>10</v>
      </c>
      <c r="H735">
        <v>1</v>
      </c>
      <c r="I735" s="2">
        <v>22</v>
      </c>
      <c r="J735" s="2">
        <f t="shared" si="34"/>
        <v>22</v>
      </c>
      <c r="K735" s="2" t="str">
        <f t="shared" si="35"/>
        <v>Sale</v>
      </c>
      <c r="L735" t="s">
        <v>5</v>
      </c>
    </row>
    <row r="736" spans="1:12" x14ac:dyDescent="0.25">
      <c r="A736">
        <v>5734</v>
      </c>
      <c r="B736">
        <v>36</v>
      </c>
      <c r="C736" s="5" t="str">
        <f>IFERROR(_xlfn.XLOOKUP(B736, Customers_raw!A:A, Customers_raw!B:B), "Unknown Customer")</f>
        <v>Daniel Harris</v>
      </c>
      <c r="D736" s="1">
        <v>45702</v>
      </c>
      <c r="E736" s="1" t="str">
        <f t="shared" si="33"/>
        <v>2025-02</v>
      </c>
      <c r="F736" t="s">
        <v>18</v>
      </c>
      <c r="G736" t="s">
        <v>6</v>
      </c>
      <c r="H736">
        <v>2</v>
      </c>
      <c r="I736" s="2">
        <v>92</v>
      </c>
      <c r="J736" s="2">
        <f t="shared" si="34"/>
        <v>184</v>
      </c>
      <c r="K736" s="2" t="str">
        <f t="shared" si="35"/>
        <v>Sale</v>
      </c>
      <c r="L736" t="s">
        <v>8</v>
      </c>
    </row>
    <row r="737" spans="1:12" x14ac:dyDescent="0.25">
      <c r="A737">
        <v>5735</v>
      </c>
      <c r="B737">
        <v>94</v>
      </c>
      <c r="C737" s="5" t="str">
        <f>IFERROR(_xlfn.XLOOKUP(B737, Customers_raw!A:A, Customers_raw!B:B), "Unknown Customer")</f>
        <v>Kenneth Jones</v>
      </c>
      <c r="D737" s="1">
        <v>45774</v>
      </c>
      <c r="E737" s="1" t="str">
        <f t="shared" si="33"/>
        <v>2025-04</v>
      </c>
      <c r="F737" t="s">
        <v>18</v>
      </c>
      <c r="G737" t="s">
        <v>6</v>
      </c>
      <c r="H737">
        <v>1</v>
      </c>
      <c r="I737" s="2">
        <v>92</v>
      </c>
      <c r="J737" s="2">
        <f t="shared" si="34"/>
        <v>92</v>
      </c>
      <c r="K737" s="2" t="str">
        <f t="shared" si="35"/>
        <v>Sale</v>
      </c>
      <c r="L737" t="s">
        <v>8</v>
      </c>
    </row>
    <row r="738" spans="1:12" x14ac:dyDescent="0.25">
      <c r="A738">
        <v>5736</v>
      </c>
      <c r="B738">
        <v>90</v>
      </c>
      <c r="C738" s="5" t="str">
        <f>IFERROR(_xlfn.XLOOKUP(B738, Customers_raw!A:A, Customers_raw!B:B), "Unknown Customer")</f>
        <v>John Harris</v>
      </c>
      <c r="D738" s="1">
        <v>45895</v>
      </c>
      <c r="E738" s="1" t="str">
        <f t="shared" si="33"/>
        <v>2025-08</v>
      </c>
      <c r="F738" t="s">
        <v>15</v>
      </c>
      <c r="G738" t="s">
        <v>7</v>
      </c>
      <c r="H738">
        <v>2</v>
      </c>
      <c r="I738" s="2">
        <v>70</v>
      </c>
      <c r="J738" s="2">
        <f t="shared" si="34"/>
        <v>140</v>
      </c>
      <c r="K738" s="2" t="str">
        <f t="shared" si="35"/>
        <v>Sale</v>
      </c>
      <c r="L738" t="s">
        <v>5</v>
      </c>
    </row>
    <row r="739" spans="1:12" x14ac:dyDescent="0.25">
      <c r="A739">
        <v>5737</v>
      </c>
      <c r="B739">
        <v>96</v>
      </c>
      <c r="C739" s="5" t="str">
        <f>IFERROR(_xlfn.XLOOKUP(B739, Customers_raw!A:A, Customers_raw!B:B), "Unknown Customer")</f>
        <v>Michael White</v>
      </c>
      <c r="D739" s="1">
        <v>45784</v>
      </c>
      <c r="E739" s="1" t="str">
        <f t="shared" si="33"/>
        <v>2025-05</v>
      </c>
      <c r="F739" t="s">
        <v>15</v>
      </c>
      <c r="G739" t="s">
        <v>7</v>
      </c>
      <c r="H739">
        <v>3</v>
      </c>
      <c r="I739" s="2">
        <v>70</v>
      </c>
      <c r="J739" s="2">
        <f t="shared" si="34"/>
        <v>210</v>
      </c>
      <c r="K739" s="2" t="str">
        <f t="shared" si="35"/>
        <v>Sale</v>
      </c>
      <c r="L739" t="s">
        <v>27</v>
      </c>
    </row>
    <row r="740" spans="1:12" x14ac:dyDescent="0.25">
      <c r="A740">
        <v>5738</v>
      </c>
      <c r="B740">
        <v>13</v>
      </c>
      <c r="C740" s="5" t="str">
        <f>IFERROR(_xlfn.XLOOKUP(B740, Customers_raw!A:A, Customers_raw!B:B), "Unknown Customer")</f>
        <v>Anthony Johnson</v>
      </c>
      <c r="D740" s="1">
        <v>45883</v>
      </c>
      <c r="E740" s="1" t="str">
        <f t="shared" si="33"/>
        <v>2025-08</v>
      </c>
      <c r="F740" t="s">
        <v>9</v>
      </c>
      <c r="G740" t="s">
        <v>6</v>
      </c>
      <c r="H740">
        <v>2</v>
      </c>
      <c r="I740" s="2">
        <v>48</v>
      </c>
      <c r="J740" s="2">
        <f t="shared" si="34"/>
        <v>96</v>
      </c>
      <c r="K740" s="2" t="str">
        <f t="shared" si="35"/>
        <v>Sale</v>
      </c>
      <c r="L740" t="s">
        <v>8</v>
      </c>
    </row>
    <row r="741" spans="1:12" x14ac:dyDescent="0.25">
      <c r="A741">
        <v>5739</v>
      </c>
      <c r="B741">
        <v>80</v>
      </c>
      <c r="C741" s="5" t="str">
        <f>IFERROR(_xlfn.XLOOKUP(B741, Customers_raw!A:A, Customers_raw!B:B), "Unknown Customer")</f>
        <v>Susan Lopez</v>
      </c>
      <c r="D741" s="1">
        <v>46020</v>
      </c>
      <c r="E741" s="1" t="str">
        <f t="shared" si="33"/>
        <v>2025-12</v>
      </c>
      <c r="F741" t="s">
        <v>19</v>
      </c>
      <c r="G741" t="s">
        <v>17</v>
      </c>
      <c r="H741">
        <v>2</v>
      </c>
      <c r="I741" s="2">
        <v>19</v>
      </c>
      <c r="J741" s="2">
        <f t="shared" si="34"/>
        <v>38</v>
      </c>
      <c r="K741" s="2" t="str">
        <f t="shared" si="35"/>
        <v>Sale</v>
      </c>
      <c r="L741" t="s">
        <v>23</v>
      </c>
    </row>
    <row r="742" spans="1:12" x14ac:dyDescent="0.25">
      <c r="A742">
        <v>5740</v>
      </c>
      <c r="B742">
        <v>94</v>
      </c>
      <c r="C742" s="5" t="str">
        <f>IFERROR(_xlfn.XLOOKUP(B742, Customers_raw!A:A, Customers_raw!B:B), "Unknown Customer")</f>
        <v>Kenneth Jones</v>
      </c>
      <c r="D742" s="1">
        <v>45865</v>
      </c>
      <c r="E742" s="1" t="str">
        <f t="shared" si="33"/>
        <v>2025-07</v>
      </c>
      <c r="F742" t="s">
        <v>22</v>
      </c>
      <c r="G742" t="s">
        <v>17</v>
      </c>
      <c r="H742">
        <v>2</v>
      </c>
      <c r="I742" s="2">
        <v>24</v>
      </c>
      <c r="J742" s="2">
        <f t="shared" si="34"/>
        <v>48</v>
      </c>
      <c r="K742" s="2" t="str">
        <f t="shared" si="35"/>
        <v>Sale</v>
      </c>
      <c r="L742" t="s">
        <v>8</v>
      </c>
    </row>
    <row r="743" spans="1:12" x14ac:dyDescent="0.25">
      <c r="A743">
        <v>5741</v>
      </c>
      <c r="B743">
        <v>65</v>
      </c>
      <c r="C743" s="5" t="str">
        <f>IFERROR(_xlfn.XLOOKUP(B743, Customers_raw!A:A, Customers_raw!B:B), "Unknown Customer")</f>
        <v>Betty Jones</v>
      </c>
      <c r="D743" s="1">
        <v>45759</v>
      </c>
      <c r="E743" s="1" t="str">
        <f t="shared" si="33"/>
        <v>2025-04</v>
      </c>
      <c r="F743" t="s">
        <v>9</v>
      </c>
      <c r="G743" t="s">
        <v>6</v>
      </c>
      <c r="H743">
        <v>1</v>
      </c>
      <c r="I743" s="2">
        <v>48</v>
      </c>
      <c r="J743" s="2">
        <f t="shared" si="34"/>
        <v>48</v>
      </c>
      <c r="K743" s="2" t="str">
        <f t="shared" si="35"/>
        <v>Sale</v>
      </c>
      <c r="L743" t="s">
        <v>23</v>
      </c>
    </row>
    <row r="744" spans="1:12" x14ac:dyDescent="0.25">
      <c r="A744">
        <v>5742</v>
      </c>
      <c r="B744">
        <v>45</v>
      </c>
      <c r="C744" s="5" t="str">
        <f>IFERROR(_xlfn.XLOOKUP(B744, Customers_raw!A:A, Customers_raw!B:B), "Unknown Customer")</f>
        <v>Michael Moore</v>
      </c>
      <c r="D744" s="1">
        <v>45750</v>
      </c>
      <c r="E744" s="1" t="str">
        <f t="shared" si="33"/>
        <v>2025-04</v>
      </c>
      <c r="F744" t="s">
        <v>22</v>
      </c>
      <c r="G744" t="s">
        <v>17</v>
      </c>
      <c r="H744">
        <v>1</v>
      </c>
      <c r="I744" s="2">
        <v>24</v>
      </c>
      <c r="J744" s="2">
        <f t="shared" si="34"/>
        <v>24</v>
      </c>
      <c r="K744" s="2" t="str">
        <f t="shared" si="35"/>
        <v>Sale</v>
      </c>
      <c r="L744" t="s">
        <v>5</v>
      </c>
    </row>
    <row r="745" spans="1:12" x14ac:dyDescent="0.25">
      <c r="A745">
        <v>5743</v>
      </c>
      <c r="B745">
        <v>56</v>
      </c>
      <c r="C745" s="5" t="str">
        <f>IFERROR(_xlfn.XLOOKUP(B745, Customers_raw!A:A, Customers_raw!B:B), "Unknown Customer")</f>
        <v>Mark Hernandez</v>
      </c>
      <c r="D745" s="1">
        <v>45753</v>
      </c>
      <c r="E745" s="1" t="str">
        <f t="shared" si="33"/>
        <v>2025-04</v>
      </c>
      <c r="F745" t="s">
        <v>16</v>
      </c>
      <c r="G745" t="s">
        <v>10</v>
      </c>
      <c r="H745">
        <v>1</v>
      </c>
      <c r="I745" s="2">
        <v>31</v>
      </c>
      <c r="J745" s="2">
        <f t="shared" si="34"/>
        <v>31</v>
      </c>
      <c r="K745" s="2" t="str">
        <f t="shared" si="35"/>
        <v>Sale</v>
      </c>
      <c r="L745" t="s">
        <v>5</v>
      </c>
    </row>
    <row r="746" spans="1:12" x14ac:dyDescent="0.25">
      <c r="A746">
        <v>5744</v>
      </c>
      <c r="B746">
        <v>100</v>
      </c>
      <c r="C746" s="5" t="str">
        <f>IFERROR(_xlfn.XLOOKUP(B746, Customers_raw!A:A, Customers_raw!B:B), "Unknown Customer")</f>
        <v>Susan Williams</v>
      </c>
      <c r="D746" s="1">
        <v>45807</v>
      </c>
      <c r="E746" s="1" t="str">
        <f t="shared" si="33"/>
        <v>2025-05</v>
      </c>
      <c r="F746" t="s">
        <v>20</v>
      </c>
      <c r="G746" t="s">
        <v>10</v>
      </c>
      <c r="H746">
        <v>3</v>
      </c>
      <c r="I746" s="2">
        <v>65</v>
      </c>
      <c r="J746" s="2">
        <f t="shared" si="34"/>
        <v>195</v>
      </c>
      <c r="K746" s="2" t="str">
        <f t="shared" si="35"/>
        <v>Sale</v>
      </c>
      <c r="L746" t="s">
        <v>5</v>
      </c>
    </row>
    <row r="747" spans="1:12" x14ac:dyDescent="0.25">
      <c r="A747">
        <v>5745</v>
      </c>
      <c r="B747">
        <v>92</v>
      </c>
      <c r="C747" s="5" t="str">
        <f>IFERROR(_xlfn.XLOOKUP(B747, Customers_raw!A:A, Customers_raw!B:B), "Unknown Customer")</f>
        <v>Joseph Harris</v>
      </c>
      <c r="D747" s="1">
        <v>45754</v>
      </c>
      <c r="E747" s="1" t="str">
        <f t="shared" si="33"/>
        <v>2025-04</v>
      </c>
      <c r="F747" t="s">
        <v>14</v>
      </c>
      <c r="G747" t="s">
        <v>7</v>
      </c>
      <c r="H747">
        <v>1</v>
      </c>
      <c r="I747" s="2">
        <v>55</v>
      </c>
      <c r="J747" s="2">
        <f t="shared" si="34"/>
        <v>55</v>
      </c>
      <c r="K747" s="2" t="str">
        <f t="shared" si="35"/>
        <v>Sale</v>
      </c>
      <c r="L747" t="s">
        <v>5</v>
      </c>
    </row>
    <row r="748" spans="1:12" x14ac:dyDescent="0.25">
      <c r="A748">
        <v>5746</v>
      </c>
      <c r="B748">
        <v>29</v>
      </c>
      <c r="C748" s="5" t="str">
        <f>IFERROR(_xlfn.XLOOKUP(B748, Customers_raw!A:A, Customers_raw!B:B), "Unknown Customer")</f>
        <v>Thomas Lopez</v>
      </c>
      <c r="D748" s="1">
        <v>45969</v>
      </c>
      <c r="E748" s="1" t="str">
        <f t="shared" si="33"/>
        <v>2025-11</v>
      </c>
      <c r="F748" t="s">
        <v>22</v>
      </c>
      <c r="G748" t="s">
        <v>17</v>
      </c>
      <c r="H748">
        <v>1</v>
      </c>
      <c r="I748" s="2">
        <v>24</v>
      </c>
      <c r="J748" s="2">
        <f t="shared" si="34"/>
        <v>24</v>
      </c>
      <c r="K748" s="2" t="str">
        <f t="shared" si="35"/>
        <v>Sale</v>
      </c>
      <c r="L748" t="s">
        <v>5</v>
      </c>
    </row>
    <row r="749" spans="1:12" x14ac:dyDescent="0.25">
      <c r="A749">
        <v>5747</v>
      </c>
      <c r="B749">
        <v>74</v>
      </c>
      <c r="C749" s="5" t="str">
        <f>IFERROR(_xlfn.XLOOKUP(B749, Customers_raw!A:A, Customers_raw!B:B), "Unknown Customer")</f>
        <v>Betty Moore</v>
      </c>
      <c r="D749" s="1">
        <v>45740</v>
      </c>
      <c r="E749" s="1" t="str">
        <f t="shared" si="33"/>
        <v>2025-03</v>
      </c>
      <c r="F749" t="s">
        <v>9</v>
      </c>
      <c r="G749" t="s">
        <v>6</v>
      </c>
      <c r="H749">
        <v>2</v>
      </c>
      <c r="I749" s="2">
        <v>48</v>
      </c>
      <c r="J749" s="2">
        <f t="shared" si="34"/>
        <v>96</v>
      </c>
      <c r="K749" s="2" t="str">
        <f t="shared" si="35"/>
        <v>Sale</v>
      </c>
      <c r="L749" t="s">
        <v>5</v>
      </c>
    </row>
    <row r="750" spans="1:12" x14ac:dyDescent="0.25">
      <c r="A750">
        <v>5748</v>
      </c>
      <c r="B750">
        <v>65</v>
      </c>
      <c r="C750" s="5" t="str">
        <f>IFERROR(_xlfn.XLOOKUP(B750, Customers_raw!A:A, Customers_raw!B:B), "Unknown Customer")</f>
        <v>Betty Jones</v>
      </c>
      <c r="D750" s="1">
        <v>45708</v>
      </c>
      <c r="E750" s="1" t="str">
        <f t="shared" si="33"/>
        <v>2025-02</v>
      </c>
      <c r="F750" t="s">
        <v>13</v>
      </c>
      <c r="G750" t="s">
        <v>7</v>
      </c>
      <c r="H750">
        <v>1</v>
      </c>
      <c r="I750" s="2">
        <v>32</v>
      </c>
      <c r="J750" s="2">
        <f t="shared" si="34"/>
        <v>32</v>
      </c>
      <c r="K750" s="2" t="str">
        <f t="shared" si="35"/>
        <v>Sale</v>
      </c>
      <c r="L750" t="s">
        <v>27</v>
      </c>
    </row>
    <row r="751" spans="1:12" x14ac:dyDescent="0.25">
      <c r="A751">
        <v>5749</v>
      </c>
      <c r="B751">
        <v>56</v>
      </c>
      <c r="C751" s="5" t="str">
        <f>IFERROR(_xlfn.XLOOKUP(B751, Customers_raw!A:A, Customers_raw!B:B), "Unknown Customer")</f>
        <v>Mark Hernandez</v>
      </c>
      <c r="D751" s="1">
        <v>45814</v>
      </c>
      <c r="E751" s="1" t="str">
        <f t="shared" si="33"/>
        <v>2025-06</v>
      </c>
      <c r="F751" t="s">
        <v>9</v>
      </c>
      <c r="G751" t="s">
        <v>6</v>
      </c>
      <c r="H751">
        <v>2</v>
      </c>
      <c r="I751" s="2">
        <v>45</v>
      </c>
      <c r="J751" s="2">
        <f t="shared" si="34"/>
        <v>90</v>
      </c>
      <c r="K751" s="2" t="str">
        <f t="shared" si="35"/>
        <v>Sale</v>
      </c>
      <c r="L751" t="s">
        <v>5</v>
      </c>
    </row>
    <row r="752" spans="1:12" x14ac:dyDescent="0.25">
      <c r="A752">
        <v>5750</v>
      </c>
      <c r="B752">
        <v>14</v>
      </c>
      <c r="C752" s="5" t="str">
        <f>IFERROR(_xlfn.XLOOKUP(B752, Customers_raw!A:A, Customers_raw!B:B), "Unknown Customer")</f>
        <v>Christopher Hernandez</v>
      </c>
      <c r="D752" s="1">
        <v>45691</v>
      </c>
      <c r="E752" s="1" t="str">
        <f t="shared" si="33"/>
        <v>2025-02</v>
      </c>
      <c r="F752" t="s">
        <v>13</v>
      </c>
      <c r="G752" t="s">
        <v>7</v>
      </c>
      <c r="H752">
        <v>3</v>
      </c>
      <c r="I752" s="2">
        <v>32</v>
      </c>
      <c r="J752" s="2">
        <f t="shared" si="34"/>
        <v>96</v>
      </c>
      <c r="K752" s="2" t="str">
        <f t="shared" si="35"/>
        <v>Sale</v>
      </c>
      <c r="L752" t="s">
        <v>23</v>
      </c>
    </row>
    <row r="753" spans="1:12" x14ac:dyDescent="0.25">
      <c r="A753">
        <v>5751</v>
      </c>
      <c r="B753">
        <v>104</v>
      </c>
      <c r="C753" s="5" t="str">
        <f>IFERROR(_xlfn.XLOOKUP(B753, Customers_raw!A:A, Customers_raw!B:B), "Unknown Customer")</f>
        <v>Christopher Brown</v>
      </c>
      <c r="D753" s="1">
        <v>45709</v>
      </c>
      <c r="E753" s="1" t="str">
        <f t="shared" si="33"/>
        <v>2025-02</v>
      </c>
      <c r="F753" t="s">
        <v>19</v>
      </c>
      <c r="G753" t="s">
        <v>17</v>
      </c>
      <c r="H753">
        <v>2</v>
      </c>
      <c r="I753" s="2">
        <v>16</v>
      </c>
      <c r="J753" s="2">
        <f t="shared" si="34"/>
        <v>32</v>
      </c>
      <c r="K753" s="2" t="str">
        <f t="shared" si="35"/>
        <v>Sale</v>
      </c>
      <c r="L753" t="s">
        <v>27</v>
      </c>
    </row>
    <row r="754" spans="1:12" x14ac:dyDescent="0.25">
      <c r="A754">
        <v>5752</v>
      </c>
      <c r="B754">
        <v>11</v>
      </c>
      <c r="C754" s="5" t="str">
        <f>IFERROR(_xlfn.XLOOKUP(B754, Customers_raw!A:A, Customers_raw!B:B), "Unknown Customer")</f>
        <v>Ashley Robinson</v>
      </c>
      <c r="D754" s="1">
        <v>45787</v>
      </c>
      <c r="E754" s="1" t="str">
        <f t="shared" si="33"/>
        <v>2025-05</v>
      </c>
      <c r="F754" t="s">
        <v>18</v>
      </c>
      <c r="G754" t="s">
        <v>6</v>
      </c>
      <c r="H754">
        <v>1</v>
      </c>
      <c r="I754" s="2">
        <v>89</v>
      </c>
      <c r="J754" s="2">
        <f t="shared" si="34"/>
        <v>89</v>
      </c>
      <c r="K754" s="2" t="str">
        <f t="shared" si="35"/>
        <v>Sale</v>
      </c>
      <c r="L754" t="s">
        <v>8</v>
      </c>
    </row>
    <row r="755" spans="1:12" x14ac:dyDescent="0.25">
      <c r="A755">
        <v>5753</v>
      </c>
      <c r="B755">
        <v>39</v>
      </c>
      <c r="C755" s="5" t="str">
        <f>IFERROR(_xlfn.XLOOKUP(B755, Customers_raw!A:A, Customers_raw!B:B), "Unknown Customer")</f>
        <v>Donald Lee</v>
      </c>
      <c r="D755" s="1">
        <v>45772</v>
      </c>
      <c r="E755" s="1" t="str">
        <f t="shared" si="33"/>
        <v>2025-04</v>
      </c>
      <c r="F755" t="s">
        <v>13</v>
      </c>
      <c r="G755" t="s">
        <v>7</v>
      </c>
      <c r="H755">
        <v>1</v>
      </c>
      <c r="I755" s="2">
        <v>32</v>
      </c>
      <c r="J755" s="2">
        <f t="shared" si="34"/>
        <v>32</v>
      </c>
      <c r="K755" s="2" t="str">
        <f t="shared" si="35"/>
        <v>Sale</v>
      </c>
      <c r="L755" t="s">
        <v>8</v>
      </c>
    </row>
    <row r="756" spans="1:12" x14ac:dyDescent="0.25">
      <c r="A756">
        <v>5754</v>
      </c>
      <c r="B756">
        <v>15</v>
      </c>
      <c r="C756" s="5" t="str">
        <f>IFERROR(_xlfn.XLOOKUP(B756, Customers_raw!A:A, Customers_raw!B:B), "Unknown Customer")</f>
        <v>Jennifer Rodriguez</v>
      </c>
      <c r="D756" s="1">
        <v>45713</v>
      </c>
      <c r="E756" s="1" t="str">
        <f t="shared" si="33"/>
        <v>2025-02</v>
      </c>
      <c r="F756" t="s">
        <v>11</v>
      </c>
      <c r="G756" t="s">
        <v>6</v>
      </c>
      <c r="H756">
        <v>3</v>
      </c>
      <c r="I756" s="2">
        <v>18</v>
      </c>
      <c r="J756" s="2">
        <f t="shared" si="34"/>
        <v>54</v>
      </c>
      <c r="K756" s="2" t="str">
        <f t="shared" si="35"/>
        <v>Sale</v>
      </c>
      <c r="L756" t="s">
        <v>27</v>
      </c>
    </row>
    <row r="757" spans="1:12" x14ac:dyDescent="0.25">
      <c r="A757">
        <v>5755</v>
      </c>
      <c r="B757">
        <v>45</v>
      </c>
      <c r="C757" s="5" t="str">
        <f>IFERROR(_xlfn.XLOOKUP(B757, Customers_raw!A:A, Customers_raw!B:B), "Unknown Customer")</f>
        <v>Michael Moore</v>
      </c>
      <c r="D757" s="1">
        <v>45936</v>
      </c>
      <c r="E757" s="1" t="str">
        <f t="shared" si="33"/>
        <v>2025-10</v>
      </c>
      <c r="F757" t="s">
        <v>16</v>
      </c>
      <c r="G757" t="s">
        <v>10</v>
      </c>
      <c r="H757">
        <v>2</v>
      </c>
      <c r="I757" s="2">
        <v>31</v>
      </c>
      <c r="J757" s="2">
        <f t="shared" si="34"/>
        <v>62</v>
      </c>
      <c r="K757" s="2" t="str">
        <f t="shared" si="35"/>
        <v>Sale</v>
      </c>
      <c r="L757" t="s">
        <v>5</v>
      </c>
    </row>
    <row r="758" spans="1:12" x14ac:dyDescent="0.25">
      <c r="A758">
        <v>5756</v>
      </c>
      <c r="B758">
        <v>54</v>
      </c>
      <c r="C758" s="5" t="str">
        <f>IFERROR(_xlfn.XLOOKUP(B758, Customers_raw!A:A, Customers_raw!B:B), "Unknown Customer")</f>
        <v>Donald Moore</v>
      </c>
      <c r="D758" s="1">
        <v>45974</v>
      </c>
      <c r="E758" s="1" t="str">
        <f t="shared" si="33"/>
        <v>2025-11</v>
      </c>
      <c r="F758" t="s">
        <v>12</v>
      </c>
      <c r="G758" t="s">
        <v>10</v>
      </c>
      <c r="H758">
        <v>3</v>
      </c>
      <c r="I758" s="2">
        <v>22</v>
      </c>
      <c r="J758" s="2">
        <f t="shared" si="34"/>
        <v>66</v>
      </c>
      <c r="K758" s="2" t="str">
        <f t="shared" si="35"/>
        <v>Sale</v>
      </c>
      <c r="L758" t="s">
        <v>5</v>
      </c>
    </row>
    <row r="759" spans="1:12" x14ac:dyDescent="0.25">
      <c r="A759">
        <v>5757</v>
      </c>
      <c r="B759">
        <v>23</v>
      </c>
      <c r="C759" s="5" t="str">
        <f>IFERROR(_xlfn.XLOOKUP(B759, Customers_raw!A:A, Customers_raw!B:B), "Unknown Customer")</f>
        <v>Thomas Martinez</v>
      </c>
      <c r="D759" s="1">
        <v>45866</v>
      </c>
      <c r="E759" s="1" t="str">
        <f t="shared" si="33"/>
        <v>2025-07</v>
      </c>
      <c r="F759" t="s">
        <v>14</v>
      </c>
      <c r="G759" t="s">
        <v>7</v>
      </c>
      <c r="H759">
        <v>3</v>
      </c>
      <c r="I759" s="2">
        <v>52</v>
      </c>
      <c r="J759" s="2">
        <f t="shared" si="34"/>
        <v>156</v>
      </c>
      <c r="K759" s="2" t="str">
        <f t="shared" si="35"/>
        <v>Sale</v>
      </c>
      <c r="L759" t="s">
        <v>8</v>
      </c>
    </row>
    <row r="760" spans="1:12" x14ac:dyDescent="0.25">
      <c r="A760">
        <v>5758</v>
      </c>
      <c r="B760">
        <v>74</v>
      </c>
      <c r="C760" s="5" t="str">
        <f>IFERROR(_xlfn.XLOOKUP(B760, Customers_raw!A:A, Customers_raw!B:B), "Unknown Customer")</f>
        <v>Betty Moore</v>
      </c>
      <c r="D760" s="1">
        <v>45943</v>
      </c>
      <c r="E760" s="1" t="str">
        <f t="shared" si="33"/>
        <v>2025-10</v>
      </c>
      <c r="F760" t="s">
        <v>9</v>
      </c>
      <c r="G760" t="s">
        <v>6</v>
      </c>
      <c r="H760">
        <v>1</v>
      </c>
      <c r="I760" s="2">
        <v>45</v>
      </c>
      <c r="J760" s="2">
        <f t="shared" si="34"/>
        <v>45</v>
      </c>
      <c r="K760" s="2" t="str">
        <f t="shared" si="35"/>
        <v>Sale</v>
      </c>
      <c r="L760" t="s">
        <v>8</v>
      </c>
    </row>
    <row r="761" spans="1:12" x14ac:dyDescent="0.25">
      <c r="A761">
        <v>5759</v>
      </c>
      <c r="B761">
        <v>34</v>
      </c>
      <c r="C761" s="5" t="str">
        <f>IFERROR(_xlfn.XLOOKUP(B761, Customers_raw!A:A, Customers_raw!B:B), "Unknown Customer")</f>
        <v>Joseph Jackson</v>
      </c>
      <c r="D761" s="1">
        <v>45907</v>
      </c>
      <c r="E761" s="1" t="str">
        <f t="shared" si="33"/>
        <v>2025-09</v>
      </c>
      <c r="F761" t="s">
        <v>22</v>
      </c>
      <c r="G761" t="s">
        <v>17</v>
      </c>
      <c r="H761">
        <v>1</v>
      </c>
      <c r="I761" s="2">
        <v>24</v>
      </c>
      <c r="J761" s="2">
        <f t="shared" si="34"/>
        <v>24</v>
      </c>
      <c r="K761" s="2" t="str">
        <f t="shared" si="35"/>
        <v>Sale</v>
      </c>
      <c r="L761" t="s">
        <v>8</v>
      </c>
    </row>
    <row r="762" spans="1:12" x14ac:dyDescent="0.25">
      <c r="A762">
        <v>5760</v>
      </c>
      <c r="B762">
        <v>92</v>
      </c>
      <c r="C762" s="5" t="str">
        <f>IFERROR(_xlfn.XLOOKUP(B762, Customers_raw!A:A, Customers_raw!B:B), "Unknown Customer")</f>
        <v>Joseph Harris</v>
      </c>
      <c r="D762" s="1">
        <v>45762</v>
      </c>
      <c r="E762" s="1" t="str">
        <f t="shared" si="33"/>
        <v>2025-04</v>
      </c>
      <c r="F762" t="s">
        <v>22</v>
      </c>
      <c r="G762" t="s">
        <v>17</v>
      </c>
      <c r="H762">
        <v>3</v>
      </c>
      <c r="I762" s="2">
        <v>24</v>
      </c>
      <c r="J762" s="2">
        <f t="shared" si="34"/>
        <v>72</v>
      </c>
      <c r="K762" s="2" t="str">
        <f t="shared" si="35"/>
        <v>Sale</v>
      </c>
      <c r="L762" t="s">
        <v>5</v>
      </c>
    </row>
    <row r="763" spans="1:12" x14ac:dyDescent="0.25">
      <c r="A763">
        <v>5761</v>
      </c>
      <c r="B763">
        <v>38</v>
      </c>
      <c r="C763" s="5" t="str">
        <f>IFERROR(_xlfn.XLOOKUP(B763, Customers_raw!A:A, Customers_raw!B:B), "Unknown Customer")</f>
        <v>Jennifer Davis</v>
      </c>
      <c r="D763" s="1">
        <v>45853</v>
      </c>
      <c r="E763" s="1" t="str">
        <f t="shared" si="33"/>
        <v>2025-07</v>
      </c>
      <c r="F763" t="s">
        <v>16</v>
      </c>
      <c r="G763" t="s">
        <v>10</v>
      </c>
      <c r="H763">
        <v>3</v>
      </c>
      <c r="I763" s="2">
        <v>28</v>
      </c>
      <c r="J763" s="2">
        <f t="shared" si="34"/>
        <v>84</v>
      </c>
      <c r="K763" s="2" t="str">
        <f t="shared" si="35"/>
        <v>Sale</v>
      </c>
      <c r="L763" t="s">
        <v>5</v>
      </c>
    </row>
    <row r="764" spans="1:12" x14ac:dyDescent="0.25">
      <c r="A764">
        <v>5762</v>
      </c>
      <c r="B764">
        <v>9</v>
      </c>
      <c r="C764" s="5" t="str">
        <f>IFERROR(_xlfn.XLOOKUP(B764, Customers_raw!A:A, Customers_raw!B:B), "Unknown Customer")</f>
        <v>Andrew Anderson</v>
      </c>
      <c r="D764" s="1">
        <v>45682</v>
      </c>
      <c r="E764" s="1" t="str">
        <f t="shared" si="33"/>
        <v>2025-01</v>
      </c>
      <c r="F764" t="s">
        <v>20</v>
      </c>
      <c r="G764" t="s">
        <v>10</v>
      </c>
      <c r="H764">
        <v>1</v>
      </c>
      <c r="I764" s="2">
        <v>62</v>
      </c>
      <c r="J764" s="2">
        <f t="shared" si="34"/>
        <v>62</v>
      </c>
      <c r="K764" s="2" t="str">
        <f t="shared" si="35"/>
        <v>Sale</v>
      </c>
      <c r="L764" t="s">
        <v>27</v>
      </c>
    </row>
    <row r="765" spans="1:12" x14ac:dyDescent="0.25">
      <c r="A765">
        <v>5763</v>
      </c>
      <c r="B765">
        <v>89</v>
      </c>
      <c r="C765" s="5" t="str">
        <f>IFERROR(_xlfn.XLOOKUP(B765, Customers_raw!A:A, Customers_raw!B:B), "Unknown Customer")</f>
        <v>Andrew Thompson</v>
      </c>
      <c r="D765" s="1">
        <v>45717</v>
      </c>
      <c r="E765" s="1" t="str">
        <f t="shared" si="33"/>
        <v>2025-03</v>
      </c>
      <c r="F765" t="s">
        <v>20</v>
      </c>
      <c r="G765" t="s">
        <v>10</v>
      </c>
      <c r="H765">
        <v>3</v>
      </c>
      <c r="I765" s="2">
        <v>62</v>
      </c>
      <c r="J765" s="2">
        <f t="shared" si="34"/>
        <v>186</v>
      </c>
      <c r="K765" s="2" t="str">
        <f t="shared" si="35"/>
        <v>Sale</v>
      </c>
      <c r="L765" t="s">
        <v>5</v>
      </c>
    </row>
    <row r="766" spans="1:12" x14ac:dyDescent="0.25">
      <c r="A766">
        <v>5764</v>
      </c>
      <c r="B766">
        <v>48</v>
      </c>
      <c r="C766" s="5" t="str">
        <f>IFERROR(_xlfn.XLOOKUP(B766, Customers_raw!A:A, Customers_raw!B:B), "Unknown Customer")</f>
        <v>Sandra Thompson</v>
      </c>
      <c r="D766" s="1">
        <v>45692</v>
      </c>
      <c r="E766" s="1" t="str">
        <f t="shared" si="33"/>
        <v>2025-02</v>
      </c>
      <c r="F766" t="s">
        <v>19</v>
      </c>
      <c r="G766" t="s">
        <v>17</v>
      </c>
      <c r="H766">
        <v>3</v>
      </c>
      <c r="I766" s="2">
        <v>22</v>
      </c>
      <c r="J766" s="2">
        <f t="shared" si="34"/>
        <v>66</v>
      </c>
      <c r="K766" s="2" t="str">
        <f t="shared" si="35"/>
        <v>Sale</v>
      </c>
      <c r="L766" t="s">
        <v>8</v>
      </c>
    </row>
    <row r="767" spans="1:12" x14ac:dyDescent="0.25">
      <c r="A767">
        <v>5765</v>
      </c>
      <c r="B767">
        <v>16</v>
      </c>
      <c r="C767" s="5" t="str">
        <f>IFERROR(_xlfn.XLOOKUP(B767, Customers_raw!A:A, Customers_raw!B:B), "Unknown Customer")</f>
        <v>Karen Perez</v>
      </c>
      <c r="D767" s="1">
        <v>45895</v>
      </c>
      <c r="E767" s="1" t="str">
        <f t="shared" si="33"/>
        <v>2025-08</v>
      </c>
      <c r="F767" t="s">
        <v>15</v>
      </c>
      <c r="G767" t="s">
        <v>7</v>
      </c>
      <c r="H767">
        <v>2</v>
      </c>
      <c r="I767" s="2">
        <v>70</v>
      </c>
      <c r="J767" s="2">
        <f t="shared" si="34"/>
        <v>140</v>
      </c>
      <c r="K767" s="2" t="str">
        <f t="shared" si="35"/>
        <v>Sale</v>
      </c>
      <c r="L767" t="s">
        <v>8</v>
      </c>
    </row>
    <row r="768" spans="1:12" x14ac:dyDescent="0.25">
      <c r="A768">
        <v>5766</v>
      </c>
      <c r="B768">
        <v>30</v>
      </c>
      <c r="C768" s="5" t="str">
        <f>IFERROR(_xlfn.XLOOKUP(B768, Customers_raw!A:A, Customers_raw!B:B), "Unknown Customer")</f>
        <v>Sandra Taylor</v>
      </c>
      <c r="D768" s="1">
        <v>45760</v>
      </c>
      <c r="E768" s="1" t="str">
        <f t="shared" si="33"/>
        <v>2025-04</v>
      </c>
      <c r="F768" t="s">
        <v>14</v>
      </c>
      <c r="G768" t="s">
        <v>7</v>
      </c>
      <c r="H768">
        <v>2</v>
      </c>
      <c r="I768" s="2">
        <v>55</v>
      </c>
      <c r="J768" s="2">
        <f t="shared" si="34"/>
        <v>110</v>
      </c>
      <c r="K768" s="2" t="str">
        <f t="shared" si="35"/>
        <v>Sale</v>
      </c>
      <c r="L768" t="s">
        <v>8</v>
      </c>
    </row>
    <row r="769" spans="1:12" x14ac:dyDescent="0.25">
      <c r="A769">
        <v>5767</v>
      </c>
      <c r="B769">
        <v>76</v>
      </c>
      <c r="C769" s="5" t="str">
        <f>IFERROR(_xlfn.XLOOKUP(B769, Customers_raw!A:A, Customers_raw!B:B), "Unknown Customer")</f>
        <v>Thomas Anderson</v>
      </c>
      <c r="D769" s="1">
        <v>45991</v>
      </c>
      <c r="E769" s="1" t="str">
        <f t="shared" si="33"/>
        <v>2025-11</v>
      </c>
      <c r="F769" t="s">
        <v>16</v>
      </c>
      <c r="G769" t="s">
        <v>10</v>
      </c>
      <c r="H769">
        <v>1</v>
      </c>
      <c r="I769" s="2">
        <v>28</v>
      </c>
      <c r="J769" s="2">
        <f t="shared" si="34"/>
        <v>28</v>
      </c>
      <c r="K769" s="2" t="str">
        <f t="shared" si="35"/>
        <v>Sale</v>
      </c>
      <c r="L769" t="s">
        <v>8</v>
      </c>
    </row>
    <row r="770" spans="1:12" x14ac:dyDescent="0.25">
      <c r="A770">
        <v>5768</v>
      </c>
      <c r="B770">
        <v>98</v>
      </c>
      <c r="C770" s="5" t="str">
        <f>IFERROR(_xlfn.XLOOKUP(B770, Customers_raw!A:A, Customers_raw!B:B), "Unknown Customer")</f>
        <v>Karen Williams</v>
      </c>
      <c r="D770" s="1">
        <v>45799</v>
      </c>
      <c r="E770" s="1" t="str">
        <f t="shared" si="33"/>
        <v>2025-05</v>
      </c>
      <c r="F770" t="s">
        <v>21</v>
      </c>
      <c r="G770" t="s">
        <v>17</v>
      </c>
      <c r="H770">
        <v>1</v>
      </c>
      <c r="I770" s="2">
        <v>63</v>
      </c>
      <c r="J770" s="2">
        <f t="shared" si="34"/>
        <v>63</v>
      </c>
      <c r="K770" s="2" t="str">
        <f t="shared" si="35"/>
        <v>Sale</v>
      </c>
      <c r="L770" t="s">
        <v>8</v>
      </c>
    </row>
    <row r="771" spans="1:12" x14ac:dyDescent="0.25">
      <c r="A771">
        <v>5769</v>
      </c>
      <c r="B771">
        <v>20</v>
      </c>
      <c r="C771" s="5" t="str">
        <f>IFERROR(_xlfn.XLOOKUP(B771, Customers_raw!A:A, Customers_raw!B:B), "Unknown Customer")</f>
        <v>David Ramirez</v>
      </c>
      <c r="D771" s="1">
        <v>45779</v>
      </c>
      <c r="E771" s="1" t="str">
        <f t="shared" ref="E771:E834" si="36">TEXT(D:D,"YYYY-MM")</f>
        <v>2025-05</v>
      </c>
      <c r="F771" t="s">
        <v>18</v>
      </c>
      <c r="G771" t="s">
        <v>6</v>
      </c>
      <c r="H771">
        <v>2</v>
      </c>
      <c r="I771" s="2">
        <v>86</v>
      </c>
      <c r="J771" s="2">
        <f t="shared" ref="J771:J834" si="37">H771*I771</f>
        <v>172</v>
      </c>
      <c r="K771" s="2" t="str">
        <f t="shared" ref="K771:K834" si="38">IF(H771&lt;0,"Return","Sale")</f>
        <v>Sale</v>
      </c>
      <c r="L771" t="s">
        <v>8</v>
      </c>
    </row>
    <row r="772" spans="1:12" x14ac:dyDescent="0.25">
      <c r="A772">
        <v>5770</v>
      </c>
      <c r="B772">
        <v>79</v>
      </c>
      <c r="C772" s="5" t="str">
        <f>IFERROR(_xlfn.XLOOKUP(B772, Customers_raw!A:A, Customers_raw!B:B), "Unknown Customer")</f>
        <v>Nancy Jackson</v>
      </c>
      <c r="D772" s="1">
        <v>45820</v>
      </c>
      <c r="E772" s="1" t="str">
        <f t="shared" si="36"/>
        <v>2025-06</v>
      </c>
      <c r="F772" t="s">
        <v>13</v>
      </c>
      <c r="G772" t="s">
        <v>7</v>
      </c>
      <c r="H772">
        <v>2</v>
      </c>
      <c r="I772" s="2">
        <v>32</v>
      </c>
      <c r="J772" s="2">
        <f t="shared" si="37"/>
        <v>64</v>
      </c>
      <c r="K772" s="2" t="str">
        <f t="shared" si="38"/>
        <v>Sale</v>
      </c>
      <c r="L772" t="s">
        <v>8</v>
      </c>
    </row>
    <row r="773" spans="1:12" x14ac:dyDescent="0.25">
      <c r="A773">
        <v>5771</v>
      </c>
      <c r="B773">
        <v>103</v>
      </c>
      <c r="C773" s="5" t="str">
        <f>IFERROR(_xlfn.XLOOKUP(B773, Customers_raw!A:A, Customers_raw!B:B), "Unknown Customer")</f>
        <v>Mark Wilson</v>
      </c>
      <c r="D773" s="1">
        <v>45865</v>
      </c>
      <c r="E773" s="1" t="str">
        <f t="shared" si="36"/>
        <v>2025-07</v>
      </c>
      <c r="F773" t="s">
        <v>12</v>
      </c>
      <c r="G773" t="s">
        <v>10</v>
      </c>
      <c r="H773">
        <v>2</v>
      </c>
      <c r="I773" s="2">
        <v>22.047244094488189</v>
      </c>
      <c r="J773" s="2">
        <f t="shared" si="37"/>
        <v>44.094488188976378</v>
      </c>
      <c r="K773" s="2" t="str">
        <f t="shared" si="38"/>
        <v>Sale</v>
      </c>
      <c r="L773" t="s">
        <v>27</v>
      </c>
    </row>
    <row r="774" spans="1:12" x14ac:dyDescent="0.25">
      <c r="A774">
        <v>5772</v>
      </c>
      <c r="B774">
        <v>103</v>
      </c>
      <c r="C774" s="5" t="str">
        <f>IFERROR(_xlfn.XLOOKUP(B774, Customers_raw!A:A, Customers_raw!B:B), "Unknown Customer")</f>
        <v>Mark Wilson</v>
      </c>
      <c r="D774" s="1">
        <v>45703</v>
      </c>
      <c r="E774" s="1" t="str">
        <f t="shared" si="36"/>
        <v>2025-02</v>
      </c>
      <c r="F774" t="s">
        <v>13</v>
      </c>
      <c r="G774" t="s">
        <v>7</v>
      </c>
      <c r="H774">
        <v>1</v>
      </c>
      <c r="I774" s="2">
        <v>32</v>
      </c>
      <c r="J774" s="2">
        <f t="shared" si="37"/>
        <v>32</v>
      </c>
      <c r="K774" s="2" t="str">
        <f t="shared" si="38"/>
        <v>Sale</v>
      </c>
      <c r="L774" t="s">
        <v>5</v>
      </c>
    </row>
    <row r="775" spans="1:12" x14ac:dyDescent="0.25">
      <c r="A775">
        <v>5773</v>
      </c>
      <c r="B775">
        <v>11</v>
      </c>
      <c r="C775" s="5" t="str">
        <f>IFERROR(_xlfn.XLOOKUP(B775, Customers_raw!A:A, Customers_raw!B:B), "Unknown Customer")</f>
        <v>Ashley Robinson</v>
      </c>
      <c r="D775" s="1">
        <v>45941</v>
      </c>
      <c r="E775" s="1" t="str">
        <f t="shared" si="36"/>
        <v>2025-10</v>
      </c>
      <c r="F775" t="s">
        <v>12</v>
      </c>
      <c r="G775" t="s">
        <v>10</v>
      </c>
      <c r="H775">
        <v>2</v>
      </c>
      <c r="I775" s="2">
        <v>25</v>
      </c>
      <c r="J775" s="2">
        <f t="shared" si="37"/>
        <v>50</v>
      </c>
      <c r="K775" s="2" t="str">
        <f t="shared" si="38"/>
        <v>Sale</v>
      </c>
      <c r="L775" t="s">
        <v>5</v>
      </c>
    </row>
    <row r="776" spans="1:12" x14ac:dyDescent="0.25">
      <c r="A776">
        <v>5774</v>
      </c>
      <c r="B776">
        <v>106</v>
      </c>
      <c r="C776" s="5" t="str">
        <f>IFERROR(_xlfn.XLOOKUP(B776, Customers_raw!A:A, Customers_raw!B:B), "Unknown Customer")</f>
        <v>Thomas Lopez</v>
      </c>
      <c r="D776" s="1">
        <v>45883</v>
      </c>
      <c r="E776" s="1" t="str">
        <f t="shared" si="36"/>
        <v>2025-08</v>
      </c>
      <c r="F776" t="s">
        <v>14</v>
      </c>
      <c r="G776" t="s">
        <v>7</v>
      </c>
      <c r="H776">
        <v>2</v>
      </c>
      <c r="I776" s="2">
        <v>55</v>
      </c>
      <c r="J776" s="2">
        <f t="shared" si="37"/>
        <v>110</v>
      </c>
      <c r="K776" s="2" t="str">
        <f t="shared" si="38"/>
        <v>Sale</v>
      </c>
      <c r="L776" t="s">
        <v>27</v>
      </c>
    </row>
    <row r="777" spans="1:12" x14ac:dyDescent="0.25">
      <c r="A777">
        <v>5775</v>
      </c>
      <c r="B777">
        <v>96</v>
      </c>
      <c r="C777" s="5" t="str">
        <f>IFERROR(_xlfn.XLOOKUP(B777, Customers_raw!A:A, Customers_raw!B:B), "Unknown Customer")</f>
        <v>Michael White</v>
      </c>
      <c r="D777" s="1">
        <v>45818</v>
      </c>
      <c r="E777" s="1" t="str">
        <f t="shared" si="36"/>
        <v>2025-06</v>
      </c>
      <c r="F777" t="s">
        <v>12</v>
      </c>
      <c r="G777" t="s">
        <v>10</v>
      </c>
      <c r="H777">
        <v>1</v>
      </c>
      <c r="I777" s="2">
        <v>25</v>
      </c>
      <c r="J777" s="2">
        <f t="shared" si="37"/>
        <v>25</v>
      </c>
      <c r="K777" s="2" t="str">
        <f t="shared" si="38"/>
        <v>Sale</v>
      </c>
      <c r="L777" t="s">
        <v>8</v>
      </c>
    </row>
    <row r="778" spans="1:12" x14ac:dyDescent="0.25">
      <c r="A778">
        <v>5776</v>
      </c>
      <c r="B778">
        <v>55</v>
      </c>
      <c r="C778" s="5" t="str">
        <f>IFERROR(_xlfn.XLOOKUP(B778, Customers_raw!A:A, Customers_raw!B:B), "Unknown Customer")</f>
        <v>Thomas Walker</v>
      </c>
      <c r="D778" s="1">
        <v>45950</v>
      </c>
      <c r="E778" s="1" t="str">
        <f t="shared" si="36"/>
        <v>2025-10</v>
      </c>
      <c r="F778" t="s">
        <v>12</v>
      </c>
      <c r="G778" t="s">
        <v>10</v>
      </c>
      <c r="H778">
        <v>2</v>
      </c>
      <c r="I778" s="2">
        <v>22</v>
      </c>
      <c r="J778" s="2">
        <f t="shared" si="37"/>
        <v>44</v>
      </c>
      <c r="K778" s="2" t="str">
        <f t="shared" si="38"/>
        <v>Sale</v>
      </c>
      <c r="L778" t="s">
        <v>5</v>
      </c>
    </row>
    <row r="779" spans="1:12" x14ac:dyDescent="0.25">
      <c r="A779">
        <v>5777</v>
      </c>
      <c r="B779">
        <v>24</v>
      </c>
      <c r="C779" s="5" t="str">
        <f>IFERROR(_xlfn.XLOOKUP(B779, Customers_raw!A:A, Customers_raw!B:B), "Unknown Customer")</f>
        <v>Joshua Hernandez</v>
      </c>
      <c r="D779" s="1">
        <v>45881</v>
      </c>
      <c r="E779" s="1" t="str">
        <f t="shared" si="36"/>
        <v>2025-08</v>
      </c>
      <c r="F779" t="s">
        <v>21</v>
      </c>
      <c r="G779" t="s">
        <v>17</v>
      </c>
      <c r="H779">
        <v>1</v>
      </c>
      <c r="I779" s="2">
        <v>60</v>
      </c>
      <c r="J779" s="2">
        <f t="shared" si="37"/>
        <v>60</v>
      </c>
      <c r="K779" s="2" t="str">
        <f t="shared" si="38"/>
        <v>Sale</v>
      </c>
      <c r="L779" t="s">
        <v>5</v>
      </c>
    </row>
    <row r="780" spans="1:12" x14ac:dyDescent="0.25">
      <c r="A780">
        <v>5778</v>
      </c>
      <c r="B780">
        <v>71</v>
      </c>
      <c r="C780" s="5" t="str">
        <f>IFERROR(_xlfn.XLOOKUP(B780, Customers_raw!A:A, Customers_raw!B:B), "Unknown Customer")</f>
        <v>Barbara Rodriguez</v>
      </c>
      <c r="D780" s="1">
        <v>45984</v>
      </c>
      <c r="E780" s="1" t="str">
        <f t="shared" si="36"/>
        <v>2025-11</v>
      </c>
      <c r="F780" t="s">
        <v>18</v>
      </c>
      <c r="G780" t="s">
        <v>6</v>
      </c>
      <c r="H780">
        <v>1</v>
      </c>
      <c r="I780" s="2">
        <v>92</v>
      </c>
      <c r="J780" s="2">
        <f t="shared" si="37"/>
        <v>92</v>
      </c>
      <c r="K780" s="2" t="str">
        <f t="shared" si="38"/>
        <v>Sale</v>
      </c>
      <c r="L780" t="s">
        <v>27</v>
      </c>
    </row>
    <row r="781" spans="1:12" x14ac:dyDescent="0.25">
      <c r="A781">
        <v>5779</v>
      </c>
      <c r="B781">
        <v>48</v>
      </c>
      <c r="C781" s="5" t="str">
        <f>IFERROR(_xlfn.XLOOKUP(B781, Customers_raw!A:A, Customers_raw!B:B), "Unknown Customer")</f>
        <v>Sandra Thompson</v>
      </c>
      <c r="D781" s="1">
        <v>45997</v>
      </c>
      <c r="E781" s="1" t="str">
        <f t="shared" si="36"/>
        <v>2025-12</v>
      </c>
      <c r="F781" t="s">
        <v>12</v>
      </c>
      <c r="G781" t="s">
        <v>10</v>
      </c>
      <c r="H781">
        <v>3</v>
      </c>
      <c r="I781" s="2">
        <v>22</v>
      </c>
      <c r="J781" s="2">
        <f t="shared" si="37"/>
        <v>66</v>
      </c>
      <c r="K781" s="2" t="str">
        <f t="shared" si="38"/>
        <v>Sale</v>
      </c>
      <c r="L781" t="s">
        <v>8</v>
      </c>
    </row>
    <row r="782" spans="1:12" x14ac:dyDescent="0.25">
      <c r="A782">
        <v>5780</v>
      </c>
      <c r="B782">
        <v>66</v>
      </c>
      <c r="C782" s="5" t="str">
        <f>IFERROR(_xlfn.XLOOKUP(B782, Customers_raw!A:A, Customers_raw!B:B), "Unknown Customer")</f>
        <v>Barbara Anderson</v>
      </c>
      <c r="D782" s="1">
        <v>45962</v>
      </c>
      <c r="E782" s="1" t="str">
        <f t="shared" si="36"/>
        <v>2025-11</v>
      </c>
      <c r="F782" t="s">
        <v>18</v>
      </c>
      <c r="G782" t="s">
        <v>6</v>
      </c>
      <c r="H782">
        <v>2</v>
      </c>
      <c r="I782" s="2">
        <v>89</v>
      </c>
      <c r="J782" s="2">
        <f t="shared" si="37"/>
        <v>178</v>
      </c>
      <c r="K782" s="2" t="str">
        <f t="shared" si="38"/>
        <v>Sale</v>
      </c>
      <c r="L782" t="s">
        <v>27</v>
      </c>
    </row>
    <row r="783" spans="1:12" x14ac:dyDescent="0.25">
      <c r="A783">
        <v>5781</v>
      </c>
      <c r="B783">
        <v>71</v>
      </c>
      <c r="C783" s="5" t="str">
        <f>IFERROR(_xlfn.XLOOKUP(B783, Customers_raw!A:A, Customers_raw!B:B), "Unknown Customer")</f>
        <v>Barbara Rodriguez</v>
      </c>
      <c r="D783" s="1">
        <v>45723</v>
      </c>
      <c r="E783" s="1" t="str">
        <f t="shared" si="36"/>
        <v>2025-03</v>
      </c>
      <c r="F783" t="s">
        <v>22</v>
      </c>
      <c r="G783" t="s">
        <v>17</v>
      </c>
      <c r="H783">
        <v>1</v>
      </c>
      <c r="I783" s="2">
        <v>24</v>
      </c>
      <c r="J783" s="2">
        <f t="shared" si="37"/>
        <v>24</v>
      </c>
      <c r="K783" s="2" t="str">
        <f t="shared" si="38"/>
        <v>Sale</v>
      </c>
      <c r="L783" t="s">
        <v>5</v>
      </c>
    </row>
    <row r="784" spans="1:12" x14ac:dyDescent="0.25">
      <c r="A784">
        <v>5782</v>
      </c>
      <c r="B784">
        <v>34</v>
      </c>
      <c r="C784" s="5" t="str">
        <f>IFERROR(_xlfn.XLOOKUP(B784, Customers_raw!A:A, Customers_raw!B:B), "Unknown Customer")</f>
        <v>Joseph Jackson</v>
      </c>
      <c r="D784" s="1">
        <v>45973</v>
      </c>
      <c r="E784" s="1" t="str">
        <f t="shared" si="36"/>
        <v>2025-11</v>
      </c>
      <c r="F784" t="s">
        <v>19</v>
      </c>
      <c r="G784" t="s">
        <v>17</v>
      </c>
      <c r="H784">
        <v>2</v>
      </c>
      <c r="I784" s="2">
        <v>19</v>
      </c>
      <c r="J784" s="2">
        <f t="shared" si="37"/>
        <v>38</v>
      </c>
      <c r="K784" s="2" t="str">
        <f t="shared" si="38"/>
        <v>Sale</v>
      </c>
      <c r="L784" t="s">
        <v>5</v>
      </c>
    </row>
    <row r="785" spans="1:12" x14ac:dyDescent="0.25">
      <c r="A785">
        <v>5783</v>
      </c>
      <c r="B785">
        <v>85</v>
      </c>
      <c r="C785" s="5" t="str">
        <f>IFERROR(_xlfn.XLOOKUP(B785, Customers_raw!A:A, Customers_raw!B:B), "Unknown Customer")</f>
        <v>Elizabeth Martinez</v>
      </c>
      <c r="D785" s="1">
        <v>45781</v>
      </c>
      <c r="E785" s="1" t="str">
        <f t="shared" si="36"/>
        <v>2025-05</v>
      </c>
      <c r="F785" t="s">
        <v>12</v>
      </c>
      <c r="G785" t="s">
        <v>10</v>
      </c>
      <c r="H785">
        <v>3</v>
      </c>
      <c r="I785" s="2">
        <v>25</v>
      </c>
      <c r="J785" s="2">
        <f t="shared" si="37"/>
        <v>75</v>
      </c>
      <c r="K785" s="2" t="str">
        <f t="shared" si="38"/>
        <v>Sale</v>
      </c>
      <c r="L785" t="s">
        <v>8</v>
      </c>
    </row>
    <row r="786" spans="1:12" x14ac:dyDescent="0.25">
      <c r="A786">
        <v>5784</v>
      </c>
      <c r="B786">
        <v>25</v>
      </c>
      <c r="C786" s="5" t="str">
        <f>IFERROR(_xlfn.XLOOKUP(B786, Customers_raw!A:A, Customers_raw!B:B), "Unknown Customer")</f>
        <v>Emily Wilson</v>
      </c>
      <c r="D786" s="1">
        <v>45858</v>
      </c>
      <c r="E786" s="1" t="str">
        <f t="shared" si="36"/>
        <v>2025-07</v>
      </c>
      <c r="F786" t="s">
        <v>14</v>
      </c>
      <c r="G786" t="s">
        <v>7</v>
      </c>
      <c r="H786">
        <v>1</v>
      </c>
      <c r="I786" s="2">
        <v>55</v>
      </c>
      <c r="J786" s="2">
        <f t="shared" si="37"/>
        <v>55</v>
      </c>
      <c r="K786" s="2" t="str">
        <f t="shared" si="38"/>
        <v>Sale</v>
      </c>
      <c r="L786" t="s">
        <v>8</v>
      </c>
    </row>
    <row r="787" spans="1:12" x14ac:dyDescent="0.25">
      <c r="A787">
        <v>5785</v>
      </c>
      <c r="B787">
        <v>85</v>
      </c>
      <c r="C787" s="5" t="str">
        <f>IFERROR(_xlfn.XLOOKUP(B787, Customers_raw!A:A, Customers_raw!B:B), "Unknown Customer")</f>
        <v>Elizabeth Martinez</v>
      </c>
      <c r="D787" s="1">
        <v>45862</v>
      </c>
      <c r="E787" s="1" t="str">
        <f t="shared" si="36"/>
        <v>2025-07</v>
      </c>
      <c r="F787" t="s">
        <v>21</v>
      </c>
      <c r="G787" t="s">
        <v>17</v>
      </c>
      <c r="H787">
        <v>1</v>
      </c>
      <c r="I787" s="2">
        <v>60</v>
      </c>
      <c r="J787" s="2">
        <f t="shared" si="37"/>
        <v>60</v>
      </c>
      <c r="K787" s="2" t="str">
        <f t="shared" si="38"/>
        <v>Sale</v>
      </c>
      <c r="L787" t="s">
        <v>27</v>
      </c>
    </row>
    <row r="788" spans="1:12" x14ac:dyDescent="0.25">
      <c r="A788">
        <v>5786</v>
      </c>
      <c r="B788">
        <v>60</v>
      </c>
      <c r="C788" s="5" t="str">
        <f>IFERROR(_xlfn.XLOOKUP(B788, Customers_raw!A:A, Customers_raw!B:B), "Unknown Customer")</f>
        <v>Margaret Moore</v>
      </c>
      <c r="D788" s="1">
        <v>45699</v>
      </c>
      <c r="E788" s="1" t="str">
        <f t="shared" si="36"/>
        <v>2025-02</v>
      </c>
      <c r="F788" t="s">
        <v>16</v>
      </c>
      <c r="G788" t="s">
        <v>10</v>
      </c>
      <c r="H788">
        <v>3</v>
      </c>
      <c r="I788" s="2">
        <v>25</v>
      </c>
      <c r="J788" s="2">
        <f t="shared" si="37"/>
        <v>75</v>
      </c>
      <c r="K788" s="2" t="str">
        <f t="shared" si="38"/>
        <v>Sale</v>
      </c>
      <c r="L788" t="s">
        <v>5</v>
      </c>
    </row>
    <row r="789" spans="1:12" x14ac:dyDescent="0.25">
      <c r="A789">
        <v>5787</v>
      </c>
      <c r="B789">
        <v>57</v>
      </c>
      <c r="C789" s="5" t="str">
        <f>IFERROR(_xlfn.XLOOKUP(B789, Customers_raw!A:A, Customers_raw!B:B), "Unknown Customer")</f>
        <v>Karen Clark</v>
      </c>
      <c r="D789" s="1">
        <v>45893</v>
      </c>
      <c r="E789" s="1" t="str">
        <f t="shared" si="36"/>
        <v>2025-08</v>
      </c>
      <c r="F789" t="s">
        <v>18</v>
      </c>
      <c r="G789" t="s">
        <v>6</v>
      </c>
      <c r="H789">
        <v>1</v>
      </c>
      <c r="I789" s="2">
        <v>89</v>
      </c>
      <c r="J789" s="2">
        <f t="shared" si="37"/>
        <v>89</v>
      </c>
      <c r="K789" s="2" t="str">
        <f t="shared" si="38"/>
        <v>Sale</v>
      </c>
      <c r="L789" t="s">
        <v>27</v>
      </c>
    </row>
    <row r="790" spans="1:12" x14ac:dyDescent="0.25">
      <c r="A790">
        <v>5788</v>
      </c>
      <c r="B790">
        <v>109</v>
      </c>
      <c r="C790" s="5" t="str">
        <f>IFERROR(_xlfn.XLOOKUP(B790, Customers_raw!A:A, Customers_raw!B:B), "Unknown Customer")</f>
        <v>Richard Sanchez</v>
      </c>
      <c r="D790" s="1">
        <v>46000</v>
      </c>
      <c r="E790" s="1" t="str">
        <f t="shared" si="36"/>
        <v>2025-12</v>
      </c>
      <c r="F790" t="s">
        <v>15</v>
      </c>
      <c r="G790" t="s">
        <v>7</v>
      </c>
      <c r="H790">
        <v>1</v>
      </c>
      <c r="I790" s="2">
        <v>67</v>
      </c>
      <c r="J790" s="2">
        <f t="shared" si="37"/>
        <v>67</v>
      </c>
      <c r="K790" s="2" t="str">
        <f t="shared" si="38"/>
        <v>Sale</v>
      </c>
      <c r="L790" t="s">
        <v>8</v>
      </c>
    </row>
    <row r="791" spans="1:12" x14ac:dyDescent="0.25">
      <c r="A791">
        <v>5789</v>
      </c>
      <c r="B791">
        <v>44</v>
      </c>
      <c r="C791" s="5" t="str">
        <f>IFERROR(_xlfn.XLOOKUP(B791, Customers_raw!A:A, Customers_raw!B:B), "Unknown Customer")</f>
        <v>Emily Jackson</v>
      </c>
      <c r="D791" s="1">
        <v>45926</v>
      </c>
      <c r="E791" s="1" t="str">
        <f t="shared" si="36"/>
        <v>2025-09</v>
      </c>
      <c r="F791" t="s">
        <v>12</v>
      </c>
      <c r="G791" t="s">
        <v>10</v>
      </c>
      <c r="H791">
        <v>1</v>
      </c>
      <c r="I791" s="2">
        <v>25</v>
      </c>
      <c r="J791" s="2">
        <f t="shared" si="37"/>
        <v>25</v>
      </c>
      <c r="K791" s="2" t="str">
        <f t="shared" si="38"/>
        <v>Sale</v>
      </c>
      <c r="L791" t="s">
        <v>5</v>
      </c>
    </row>
    <row r="792" spans="1:12" x14ac:dyDescent="0.25">
      <c r="A792">
        <v>5790</v>
      </c>
      <c r="B792">
        <v>39</v>
      </c>
      <c r="C792" s="5" t="str">
        <f>IFERROR(_xlfn.XLOOKUP(B792, Customers_raw!A:A, Customers_raw!B:B), "Unknown Customer")</f>
        <v>Donald Lee</v>
      </c>
      <c r="D792" s="1">
        <v>45794</v>
      </c>
      <c r="E792" s="1" t="str">
        <f t="shared" si="36"/>
        <v>2025-05</v>
      </c>
      <c r="F792" t="s">
        <v>12</v>
      </c>
      <c r="G792" t="s">
        <v>10</v>
      </c>
      <c r="H792">
        <v>2</v>
      </c>
      <c r="I792" s="2">
        <v>19</v>
      </c>
      <c r="J792" s="2">
        <f t="shared" si="37"/>
        <v>38</v>
      </c>
      <c r="K792" s="2" t="str">
        <f t="shared" si="38"/>
        <v>Sale</v>
      </c>
      <c r="L792" t="s">
        <v>8</v>
      </c>
    </row>
    <row r="793" spans="1:12" x14ac:dyDescent="0.25">
      <c r="A793">
        <v>5791</v>
      </c>
      <c r="B793">
        <v>60</v>
      </c>
      <c r="C793" s="5" t="str">
        <f>IFERROR(_xlfn.XLOOKUP(B793, Customers_raw!A:A, Customers_raw!B:B), "Unknown Customer")</f>
        <v>Margaret Moore</v>
      </c>
      <c r="D793" s="1">
        <v>45883</v>
      </c>
      <c r="E793" s="1" t="str">
        <f t="shared" si="36"/>
        <v>2025-08</v>
      </c>
      <c r="F793" t="s">
        <v>16</v>
      </c>
      <c r="G793" t="s">
        <v>10</v>
      </c>
      <c r="H793">
        <v>1</v>
      </c>
      <c r="I793" s="2">
        <v>25</v>
      </c>
      <c r="J793" s="2">
        <f t="shared" si="37"/>
        <v>25</v>
      </c>
      <c r="K793" s="2" t="str">
        <f t="shared" si="38"/>
        <v>Sale</v>
      </c>
      <c r="L793" t="s">
        <v>5</v>
      </c>
    </row>
    <row r="794" spans="1:12" x14ac:dyDescent="0.25">
      <c r="A794">
        <v>5792</v>
      </c>
      <c r="B794">
        <v>31</v>
      </c>
      <c r="C794" s="5" t="str">
        <f>IFERROR(_xlfn.XLOOKUP(B794, Customers_raw!A:A, Customers_raw!B:B), "Unknown Customer")</f>
        <v>Nancy Harris</v>
      </c>
      <c r="D794" s="1">
        <v>45961</v>
      </c>
      <c r="E794" s="1" t="str">
        <f t="shared" si="36"/>
        <v>2025-10</v>
      </c>
      <c r="F794" t="s">
        <v>16</v>
      </c>
      <c r="G794" t="s">
        <v>10</v>
      </c>
      <c r="H794">
        <v>2</v>
      </c>
      <c r="I794" s="2">
        <v>28</v>
      </c>
      <c r="J794" s="2">
        <f t="shared" si="37"/>
        <v>56</v>
      </c>
      <c r="K794" s="2" t="str">
        <f t="shared" si="38"/>
        <v>Sale</v>
      </c>
      <c r="L794" t="s">
        <v>27</v>
      </c>
    </row>
    <row r="795" spans="1:12" x14ac:dyDescent="0.25">
      <c r="A795">
        <v>5793</v>
      </c>
      <c r="B795">
        <v>58</v>
      </c>
      <c r="C795" s="5" t="str">
        <f>IFERROR(_xlfn.XLOOKUP(B795, Customers_raw!A:A, Customers_raw!B:B), "Unknown Customer")</f>
        <v>Thomas Robinson</v>
      </c>
      <c r="D795" s="1">
        <v>45767</v>
      </c>
      <c r="E795" s="1" t="str">
        <f t="shared" si="36"/>
        <v>2025-04</v>
      </c>
      <c r="F795" t="s">
        <v>18</v>
      </c>
      <c r="G795" t="s">
        <v>6</v>
      </c>
      <c r="H795">
        <v>1</v>
      </c>
      <c r="I795" s="2">
        <v>92</v>
      </c>
      <c r="J795" s="2">
        <f t="shared" si="37"/>
        <v>92</v>
      </c>
      <c r="K795" s="2" t="str">
        <f t="shared" si="38"/>
        <v>Sale</v>
      </c>
      <c r="L795" t="s">
        <v>27</v>
      </c>
    </row>
    <row r="796" spans="1:12" x14ac:dyDescent="0.25">
      <c r="A796">
        <v>5794</v>
      </c>
      <c r="B796">
        <v>3</v>
      </c>
      <c r="C796" s="5" t="str">
        <f>IFERROR(_xlfn.XLOOKUP(B796, Customers_raw!A:A, Customers_raw!B:B), "Unknown Customer")</f>
        <v>Anthony Williams</v>
      </c>
      <c r="D796" s="1">
        <v>46022</v>
      </c>
      <c r="E796" s="1" t="str">
        <f t="shared" si="36"/>
        <v>2025-12</v>
      </c>
      <c r="F796" t="s">
        <v>22</v>
      </c>
      <c r="G796" t="s">
        <v>17</v>
      </c>
      <c r="H796">
        <v>2</v>
      </c>
      <c r="I796" s="2">
        <v>24</v>
      </c>
      <c r="J796" s="2">
        <f t="shared" si="37"/>
        <v>48</v>
      </c>
      <c r="K796" s="2" t="str">
        <f t="shared" si="38"/>
        <v>Sale</v>
      </c>
      <c r="L796" t="s">
        <v>27</v>
      </c>
    </row>
    <row r="797" spans="1:12" x14ac:dyDescent="0.25">
      <c r="A797">
        <v>5795</v>
      </c>
      <c r="B797">
        <v>60</v>
      </c>
      <c r="C797" s="5" t="str">
        <f>IFERROR(_xlfn.XLOOKUP(B797, Customers_raw!A:A, Customers_raw!B:B), "Unknown Customer")</f>
        <v>Margaret Moore</v>
      </c>
      <c r="D797" s="1">
        <v>45835</v>
      </c>
      <c r="E797" s="1" t="str">
        <f t="shared" si="36"/>
        <v>2025-06</v>
      </c>
      <c r="F797" t="s">
        <v>18</v>
      </c>
      <c r="G797" t="s">
        <v>6</v>
      </c>
      <c r="H797">
        <v>1</v>
      </c>
      <c r="I797" s="2">
        <v>89</v>
      </c>
      <c r="J797" s="2">
        <f t="shared" si="37"/>
        <v>89</v>
      </c>
      <c r="K797" s="2" t="str">
        <f t="shared" si="38"/>
        <v>Sale</v>
      </c>
      <c r="L797" t="s">
        <v>27</v>
      </c>
    </row>
    <row r="798" spans="1:12" x14ac:dyDescent="0.25">
      <c r="A798">
        <v>5796</v>
      </c>
      <c r="B798">
        <v>56</v>
      </c>
      <c r="C798" s="5" t="str">
        <f>IFERROR(_xlfn.XLOOKUP(B798, Customers_raw!A:A, Customers_raw!B:B), "Unknown Customer")</f>
        <v>Mark Hernandez</v>
      </c>
      <c r="D798" s="1">
        <v>45806</v>
      </c>
      <c r="E798" s="1" t="str">
        <f t="shared" si="36"/>
        <v>2025-05</v>
      </c>
      <c r="F798" t="s">
        <v>9</v>
      </c>
      <c r="G798" t="s">
        <v>6</v>
      </c>
      <c r="H798">
        <v>1</v>
      </c>
      <c r="I798" s="2">
        <v>48</v>
      </c>
      <c r="J798" s="2">
        <f t="shared" si="37"/>
        <v>48</v>
      </c>
      <c r="K798" s="2" t="str">
        <f t="shared" si="38"/>
        <v>Sale</v>
      </c>
      <c r="L798" t="s">
        <v>23</v>
      </c>
    </row>
    <row r="799" spans="1:12" x14ac:dyDescent="0.25">
      <c r="A799">
        <v>5797</v>
      </c>
      <c r="B799">
        <v>43</v>
      </c>
      <c r="C799" s="5" t="str">
        <f>IFERROR(_xlfn.XLOOKUP(B799, Customers_raw!A:A, Customers_raw!B:B), "Unknown Customer")</f>
        <v>Sandra Clark</v>
      </c>
      <c r="D799" s="1">
        <v>46019</v>
      </c>
      <c r="E799" s="1" t="str">
        <f t="shared" si="36"/>
        <v>2025-12</v>
      </c>
      <c r="F799" t="s">
        <v>18</v>
      </c>
      <c r="G799" t="s">
        <v>6</v>
      </c>
      <c r="H799">
        <v>3</v>
      </c>
      <c r="I799" s="2">
        <v>89</v>
      </c>
      <c r="J799" s="2">
        <f t="shared" si="37"/>
        <v>267</v>
      </c>
      <c r="K799" s="2" t="str">
        <f t="shared" si="38"/>
        <v>Sale</v>
      </c>
      <c r="L799" t="s">
        <v>23</v>
      </c>
    </row>
    <row r="800" spans="1:12" x14ac:dyDescent="0.25">
      <c r="A800">
        <v>5798</v>
      </c>
      <c r="B800">
        <v>60</v>
      </c>
      <c r="C800" s="5" t="str">
        <f>IFERROR(_xlfn.XLOOKUP(B800, Customers_raw!A:A, Customers_raw!B:B), "Unknown Customer")</f>
        <v>Margaret Moore</v>
      </c>
      <c r="D800" s="1">
        <v>45948</v>
      </c>
      <c r="E800" s="1" t="str">
        <f t="shared" si="36"/>
        <v>2025-10</v>
      </c>
      <c r="F800" t="s">
        <v>13</v>
      </c>
      <c r="G800" t="s">
        <v>7</v>
      </c>
      <c r="H800">
        <v>1</v>
      </c>
      <c r="I800" s="2">
        <v>32.154639175257735</v>
      </c>
      <c r="J800" s="2">
        <f t="shared" si="37"/>
        <v>32.154639175257735</v>
      </c>
      <c r="K800" s="2" t="str">
        <f t="shared" si="38"/>
        <v>Sale</v>
      </c>
      <c r="L800" t="s">
        <v>27</v>
      </c>
    </row>
    <row r="801" spans="1:12" x14ac:dyDescent="0.25">
      <c r="A801">
        <v>5799</v>
      </c>
      <c r="B801">
        <v>96</v>
      </c>
      <c r="C801" s="5" t="str">
        <f>IFERROR(_xlfn.XLOOKUP(B801, Customers_raw!A:A, Customers_raw!B:B), "Unknown Customer")</f>
        <v>Michael White</v>
      </c>
      <c r="D801" s="1">
        <v>46004</v>
      </c>
      <c r="E801" s="1" t="str">
        <f t="shared" si="36"/>
        <v>2025-12</v>
      </c>
      <c r="F801" t="s">
        <v>22</v>
      </c>
      <c r="G801" t="s">
        <v>17</v>
      </c>
      <c r="H801">
        <v>1</v>
      </c>
      <c r="I801" s="2">
        <v>24</v>
      </c>
      <c r="J801" s="2">
        <f t="shared" si="37"/>
        <v>24</v>
      </c>
      <c r="K801" s="2" t="str">
        <f t="shared" si="38"/>
        <v>Sale</v>
      </c>
      <c r="L801" t="s">
        <v>5</v>
      </c>
    </row>
    <row r="802" spans="1:12" x14ac:dyDescent="0.25">
      <c r="A802">
        <v>5800</v>
      </c>
      <c r="B802">
        <v>43</v>
      </c>
      <c r="C802" s="5" t="str">
        <f>IFERROR(_xlfn.XLOOKUP(B802, Customers_raw!A:A, Customers_raw!B:B), "Unknown Customer")</f>
        <v>Sandra Clark</v>
      </c>
      <c r="D802" s="1">
        <v>45828</v>
      </c>
      <c r="E802" s="1" t="str">
        <f t="shared" si="36"/>
        <v>2025-06</v>
      </c>
      <c r="F802" t="s">
        <v>9</v>
      </c>
      <c r="G802" t="s">
        <v>6</v>
      </c>
      <c r="H802">
        <v>2</v>
      </c>
      <c r="I802" s="2">
        <v>42</v>
      </c>
      <c r="J802" s="2">
        <f t="shared" si="37"/>
        <v>84</v>
      </c>
      <c r="K802" s="2" t="str">
        <f t="shared" si="38"/>
        <v>Sale</v>
      </c>
      <c r="L802" t="s">
        <v>8</v>
      </c>
    </row>
    <row r="803" spans="1:12" x14ac:dyDescent="0.25">
      <c r="A803">
        <v>5801</v>
      </c>
      <c r="B803">
        <v>23</v>
      </c>
      <c r="C803" s="5" t="str">
        <f>IFERROR(_xlfn.XLOOKUP(B803, Customers_raw!A:A, Customers_raw!B:B), "Unknown Customer")</f>
        <v>Thomas Martinez</v>
      </c>
      <c r="D803" s="1">
        <v>45696</v>
      </c>
      <c r="E803" s="1" t="str">
        <f t="shared" si="36"/>
        <v>2025-02</v>
      </c>
      <c r="F803" t="s">
        <v>13</v>
      </c>
      <c r="G803" t="s">
        <v>7</v>
      </c>
      <c r="H803">
        <v>2</v>
      </c>
      <c r="I803" s="2">
        <v>29</v>
      </c>
      <c r="J803" s="2">
        <f t="shared" si="37"/>
        <v>58</v>
      </c>
      <c r="K803" s="2" t="str">
        <f t="shared" si="38"/>
        <v>Sale</v>
      </c>
      <c r="L803" t="s">
        <v>5</v>
      </c>
    </row>
    <row r="804" spans="1:12" x14ac:dyDescent="0.25">
      <c r="A804">
        <v>5802</v>
      </c>
      <c r="B804">
        <v>53</v>
      </c>
      <c r="C804" s="5" t="str">
        <f>IFERROR(_xlfn.XLOOKUP(B804, Customers_raw!A:A, Customers_raw!B:B), "Unknown Customer")</f>
        <v>John Thomas</v>
      </c>
      <c r="D804" s="1">
        <v>45702</v>
      </c>
      <c r="E804" s="1" t="str">
        <f t="shared" si="36"/>
        <v>2025-02</v>
      </c>
      <c r="F804" t="s">
        <v>15</v>
      </c>
      <c r="G804" t="s">
        <v>7</v>
      </c>
      <c r="H804">
        <v>1</v>
      </c>
      <c r="I804" s="2">
        <v>70</v>
      </c>
      <c r="J804" s="2">
        <f t="shared" si="37"/>
        <v>70</v>
      </c>
      <c r="K804" s="2" t="str">
        <f t="shared" si="38"/>
        <v>Sale</v>
      </c>
      <c r="L804" t="s">
        <v>27</v>
      </c>
    </row>
    <row r="805" spans="1:12" x14ac:dyDescent="0.25">
      <c r="A805">
        <v>5803</v>
      </c>
      <c r="B805">
        <v>44</v>
      </c>
      <c r="C805" s="5" t="str">
        <f>IFERROR(_xlfn.XLOOKUP(B805, Customers_raw!A:A, Customers_raw!B:B), "Unknown Customer")</f>
        <v>Emily Jackson</v>
      </c>
      <c r="D805" s="1">
        <v>45980</v>
      </c>
      <c r="E805" s="1" t="str">
        <f t="shared" si="36"/>
        <v>2025-11</v>
      </c>
      <c r="F805" t="s">
        <v>18</v>
      </c>
      <c r="G805" t="s">
        <v>6</v>
      </c>
      <c r="H805">
        <v>2</v>
      </c>
      <c r="I805" s="2">
        <v>89</v>
      </c>
      <c r="J805" s="2">
        <f t="shared" si="37"/>
        <v>178</v>
      </c>
      <c r="K805" s="2" t="str">
        <f t="shared" si="38"/>
        <v>Sale</v>
      </c>
      <c r="L805" t="s">
        <v>5</v>
      </c>
    </row>
    <row r="806" spans="1:12" x14ac:dyDescent="0.25">
      <c r="A806">
        <v>5804</v>
      </c>
      <c r="B806">
        <v>5</v>
      </c>
      <c r="C806" s="5" t="str">
        <f>IFERROR(_xlfn.XLOOKUP(B806, Customers_raw!A:A, Customers_raw!B:B), "Unknown Customer")</f>
        <v>Joshua Martin</v>
      </c>
      <c r="D806" s="1">
        <v>45878</v>
      </c>
      <c r="E806" s="1" t="str">
        <f t="shared" si="36"/>
        <v>2025-08</v>
      </c>
      <c r="F806" t="s">
        <v>21</v>
      </c>
      <c r="G806" t="s">
        <v>17</v>
      </c>
      <c r="H806">
        <v>1</v>
      </c>
      <c r="I806" s="2">
        <v>60</v>
      </c>
      <c r="J806" s="2">
        <f t="shared" si="37"/>
        <v>60</v>
      </c>
      <c r="K806" s="2" t="str">
        <f t="shared" si="38"/>
        <v>Sale</v>
      </c>
      <c r="L806" t="s">
        <v>8</v>
      </c>
    </row>
    <row r="807" spans="1:12" x14ac:dyDescent="0.25">
      <c r="A807">
        <v>5805</v>
      </c>
      <c r="B807">
        <v>108</v>
      </c>
      <c r="C807" s="5" t="str">
        <f>IFERROR(_xlfn.XLOOKUP(B807, Customers_raw!A:A, Customers_raw!B:B), "Unknown Customer")</f>
        <v>Charles Perez</v>
      </c>
      <c r="D807" s="1">
        <v>45785</v>
      </c>
      <c r="E807" s="1" t="str">
        <f t="shared" si="36"/>
        <v>2025-05</v>
      </c>
      <c r="F807" t="s">
        <v>16</v>
      </c>
      <c r="G807" t="s">
        <v>10</v>
      </c>
      <c r="H807">
        <v>3</v>
      </c>
      <c r="I807" s="2">
        <v>28</v>
      </c>
      <c r="J807" s="2">
        <f t="shared" si="37"/>
        <v>84</v>
      </c>
      <c r="K807" s="2" t="str">
        <f t="shared" si="38"/>
        <v>Sale</v>
      </c>
      <c r="L807" t="s">
        <v>27</v>
      </c>
    </row>
    <row r="808" spans="1:12" x14ac:dyDescent="0.25">
      <c r="A808">
        <v>5806</v>
      </c>
      <c r="B808">
        <v>49</v>
      </c>
      <c r="C808" s="5" t="str">
        <f>IFERROR(_xlfn.XLOOKUP(B808, Customers_raw!A:A, Customers_raw!B:B), "Unknown Customer")</f>
        <v>Steven Smith</v>
      </c>
      <c r="D808" s="1">
        <v>45819</v>
      </c>
      <c r="E808" s="1" t="str">
        <f t="shared" si="36"/>
        <v>2025-06</v>
      </c>
      <c r="F808" t="s">
        <v>21</v>
      </c>
      <c r="G808" t="s">
        <v>17</v>
      </c>
      <c r="H808">
        <v>2</v>
      </c>
      <c r="I808" s="2">
        <v>60</v>
      </c>
      <c r="J808" s="2">
        <f t="shared" si="37"/>
        <v>120</v>
      </c>
      <c r="K808" s="2" t="str">
        <f t="shared" si="38"/>
        <v>Sale</v>
      </c>
      <c r="L808" t="s">
        <v>8</v>
      </c>
    </row>
    <row r="809" spans="1:12" x14ac:dyDescent="0.25">
      <c r="A809">
        <v>5807</v>
      </c>
      <c r="B809">
        <v>70</v>
      </c>
      <c r="C809" s="5" t="str">
        <f>IFERROR(_xlfn.XLOOKUP(B809, Customers_raw!A:A, Customers_raw!B:B), "Unknown Customer")</f>
        <v>Karen Perez</v>
      </c>
      <c r="D809" s="1">
        <v>45850</v>
      </c>
      <c r="E809" s="1" t="str">
        <f t="shared" si="36"/>
        <v>2025-07</v>
      </c>
      <c r="F809" t="s">
        <v>15</v>
      </c>
      <c r="G809" t="s">
        <v>7</v>
      </c>
      <c r="H809">
        <v>2</v>
      </c>
      <c r="I809" s="2">
        <v>67</v>
      </c>
      <c r="J809" s="2">
        <f t="shared" si="37"/>
        <v>134</v>
      </c>
      <c r="K809" s="2" t="str">
        <f t="shared" si="38"/>
        <v>Sale</v>
      </c>
      <c r="L809" t="s">
        <v>8</v>
      </c>
    </row>
    <row r="810" spans="1:12" x14ac:dyDescent="0.25">
      <c r="A810">
        <v>5808</v>
      </c>
      <c r="B810">
        <v>94</v>
      </c>
      <c r="C810" s="5" t="str">
        <f>IFERROR(_xlfn.XLOOKUP(B810, Customers_raw!A:A, Customers_raw!B:B), "Unknown Customer")</f>
        <v>Kenneth Jones</v>
      </c>
      <c r="D810" s="1">
        <v>45916</v>
      </c>
      <c r="E810" s="1" t="str">
        <f t="shared" si="36"/>
        <v>2025-09</v>
      </c>
      <c r="F810" t="s">
        <v>14</v>
      </c>
      <c r="G810" t="s">
        <v>7</v>
      </c>
      <c r="H810">
        <v>1</v>
      </c>
      <c r="I810" s="2">
        <v>58</v>
      </c>
      <c r="J810" s="2">
        <f t="shared" si="37"/>
        <v>58</v>
      </c>
      <c r="K810" s="2" t="str">
        <f t="shared" si="38"/>
        <v>Sale</v>
      </c>
      <c r="L810" t="s">
        <v>8</v>
      </c>
    </row>
    <row r="811" spans="1:12" x14ac:dyDescent="0.25">
      <c r="A811">
        <v>5809</v>
      </c>
      <c r="B811">
        <v>78</v>
      </c>
      <c r="C811" s="5" t="str">
        <f>IFERROR(_xlfn.XLOOKUP(B811, Customers_raw!A:A, Customers_raw!B:B), "Unknown Customer")</f>
        <v>Sandra Garcia</v>
      </c>
      <c r="D811" s="1">
        <v>45850</v>
      </c>
      <c r="E811" s="1" t="str">
        <f t="shared" si="36"/>
        <v>2025-07</v>
      </c>
      <c r="F811" t="s">
        <v>14</v>
      </c>
      <c r="G811" t="s">
        <v>7</v>
      </c>
      <c r="H811">
        <v>3</v>
      </c>
      <c r="I811" s="2">
        <v>52</v>
      </c>
      <c r="J811" s="2">
        <f t="shared" si="37"/>
        <v>156</v>
      </c>
      <c r="K811" s="2" t="str">
        <f t="shared" si="38"/>
        <v>Sale</v>
      </c>
      <c r="L811" t="s">
        <v>5</v>
      </c>
    </row>
    <row r="812" spans="1:12" x14ac:dyDescent="0.25">
      <c r="A812">
        <v>5810</v>
      </c>
      <c r="B812">
        <v>74</v>
      </c>
      <c r="C812" s="5" t="str">
        <f>IFERROR(_xlfn.XLOOKUP(B812, Customers_raw!A:A, Customers_raw!B:B), "Unknown Customer")</f>
        <v>Betty Moore</v>
      </c>
      <c r="D812" s="1">
        <v>45851</v>
      </c>
      <c r="E812" s="1" t="str">
        <f t="shared" si="36"/>
        <v>2025-07</v>
      </c>
      <c r="F812" t="s">
        <v>13</v>
      </c>
      <c r="G812" t="s">
        <v>7</v>
      </c>
      <c r="H812">
        <v>1</v>
      </c>
      <c r="I812" s="2">
        <v>35</v>
      </c>
      <c r="J812" s="2">
        <f t="shared" si="37"/>
        <v>35</v>
      </c>
      <c r="K812" s="2" t="str">
        <f t="shared" si="38"/>
        <v>Sale</v>
      </c>
      <c r="L812" t="s">
        <v>5</v>
      </c>
    </row>
    <row r="813" spans="1:12" x14ac:dyDescent="0.25">
      <c r="A813">
        <v>5811</v>
      </c>
      <c r="B813">
        <v>40</v>
      </c>
      <c r="C813" s="5" t="str">
        <f>IFERROR(_xlfn.XLOOKUP(B813, Customers_raw!A:A, Customers_raw!B:B), "Unknown Customer")</f>
        <v>Jennifer Ramirez</v>
      </c>
      <c r="D813" s="1">
        <v>45662</v>
      </c>
      <c r="E813" s="1" t="str">
        <f t="shared" si="36"/>
        <v>2025-01</v>
      </c>
      <c r="F813" t="s">
        <v>15</v>
      </c>
      <c r="G813" t="s">
        <v>7</v>
      </c>
      <c r="H813">
        <v>2</v>
      </c>
      <c r="I813" s="2">
        <v>67</v>
      </c>
      <c r="J813" s="2">
        <f t="shared" si="37"/>
        <v>134</v>
      </c>
      <c r="K813" s="2" t="str">
        <f t="shared" si="38"/>
        <v>Sale</v>
      </c>
      <c r="L813" t="s">
        <v>23</v>
      </c>
    </row>
    <row r="814" spans="1:12" x14ac:dyDescent="0.25">
      <c r="A814">
        <v>5812</v>
      </c>
      <c r="B814">
        <v>82</v>
      </c>
      <c r="C814" s="5" t="str">
        <f>IFERROR(_xlfn.XLOOKUP(B814, Customers_raw!A:A, Customers_raw!B:B), "Unknown Customer")</f>
        <v>Thomas Ramirez</v>
      </c>
      <c r="D814" s="1">
        <v>45955</v>
      </c>
      <c r="E814" s="1" t="str">
        <f t="shared" si="36"/>
        <v>2025-10</v>
      </c>
      <c r="F814" t="s">
        <v>19</v>
      </c>
      <c r="G814" t="s">
        <v>17</v>
      </c>
      <c r="H814">
        <v>2</v>
      </c>
      <c r="I814" s="2">
        <v>19</v>
      </c>
      <c r="J814" s="2">
        <f t="shared" si="37"/>
        <v>38</v>
      </c>
      <c r="K814" s="2" t="str">
        <f t="shared" si="38"/>
        <v>Sale</v>
      </c>
      <c r="L814" t="s">
        <v>5</v>
      </c>
    </row>
    <row r="815" spans="1:12" x14ac:dyDescent="0.25">
      <c r="A815">
        <v>5813</v>
      </c>
      <c r="B815">
        <v>38</v>
      </c>
      <c r="C815" s="5" t="str">
        <f>IFERROR(_xlfn.XLOOKUP(B815, Customers_raw!A:A, Customers_raw!B:B), "Unknown Customer")</f>
        <v>Jennifer Davis</v>
      </c>
      <c r="D815" s="1">
        <v>45665</v>
      </c>
      <c r="E815" s="1" t="str">
        <f t="shared" si="36"/>
        <v>2025-01</v>
      </c>
      <c r="F815" t="s">
        <v>22</v>
      </c>
      <c r="G815" t="s">
        <v>17</v>
      </c>
      <c r="H815">
        <v>1</v>
      </c>
      <c r="I815" s="2">
        <v>21</v>
      </c>
      <c r="J815" s="2">
        <f t="shared" si="37"/>
        <v>21</v>
      </c>
      <c r="K815" s="2" t="str">
        <f t="shared" si="38"/>
        <v>Sale</v>
      </c>
      <c r="L815" t="s">
        <v>5</v>
      </c>
    </row>
    <row r="816" spans="1:12" x14ac:dyDescent="0.25">
      <c r="A816">
        <v>5814</v>
      </c>
      <c r="B816">
        <v>22</v>
      </c>
      <c r="C816" s="5" t="str">
        <f>IFERROR(_xlfn.XLOOKUP(B816, Customers_raw!A:A, Customers_raw!B:B), "Unknown Customer")</f>
        <v>Joseph Thompson</v>
      </c>
      <c r="D816" s="1">
        <v>45693</v>
      </c>
      <c r="E816" s="1" t="str">
        <f t="shared" si="36"/>
        <v>2025-02</v>
      </c>
      <c r="F816" t="s">
        <v>18</v>
      </c>
      <c r="G816" t="s">
        <v>6</v>
      </c>
      <c r="H816">
        <v>1</v>
      </c>
      <c r="I816" s="2">
        <v>92</v>
      </c>
      <c r="J816" s="2">
        <f t="shared" si="37"/>
        <v>92</v>
      </c>
      <c r="K816" s="2" t="str">
        <f t="shared" si="38"/>
        <v>Sale</v>
      </c>
      <c r="L816" t="s">
        <v>27</v>
      </c>
    </row>
    <row r="817" spans="1:12" x14ac:dyDescent="0.25">
      <c r="A817">
        <v>5815</v>
      </c>
      <c r="B817">
        <v>76</v>
      </c>
      <c r="C817" s="5" t="str">
        <f>IFERROR(_xlfn.XLOOKUP(B817, Customers_raw!A:A, Customers_raw!B:B), "Unknown Customer")</f>
        <v>Thomas Anderson</v>
      </c>
      <c r="D817" s="1">
        <v>45709</v>
      </c>
      <c r="E817" s="1" t="str">
        <f t="shared" si="36"/>
        <v>2025-02</v>
      </c>
      <c r="F817" t="s">
        <v>20</v>
      </c>
      <c r="G817" t="s">
        <v>10</v>
      </c>
      <c r="H817">
        <v>1</v>
      </c>
      <c r="I817" s="2">
        <v>68</v>
      </c>
      <c r="J817" s="2">
        <f t="shared" si="37"/>
        <v>68</v>
      </c>
      <c r="K817" s="2" t="str">
        <f t="shared" si="38"/>
        <v>Sale</v>
      </c>
      <c r="L817" t="s">
        <v>27</v>
      </c>
    </row>
    <row r="818" spans="1:12" x14ac:dyDescent="0.25">
      <c r="A818">
        <v>5816</v>
      </c>
      <c r="B818">
        <v>103</v>
      </c>
      <c r="C818" s="5" t="str">
        <f>IFERROR(_xlfn.XLOOKUP(B818, Customers_raw!A:A, Customers_raw!B:B), "Unknown Customer")</f>
        <v>Mark Wilson</v>
      </c>
      <c r="D818" s="1">
        <v>45747</v>
      </c>
      <c r="E818" s="1" t="str">
        <f t="shared" si="36"/>
        <v>2025-03</v>
      </c>
      <c r="F818" t="s">
        <v>13</v>
      </c>
      <c r="G818" t="s">
        <v>7</v>
      </c>
      <c r="H818">
        <v>1</v>
      </c>
      <c r="I818" s="2">
        <v>29</v>
      </c>
      <c r="J818" s="2">
        <f t="shared" si="37"/>
        <v>29</v>
      </c>
      <c r="K818" s="2" t="str">
        <f t="shared" si="38"/>
        <v>Sale</v>
      </c>
      <c r="L818" t="s">
        <v>8</v>
      </c>
    </row>
    <row r="819" spans="1:12" x14ac:dyDescent="0.25">
      <c r="A819">
        <v>5817</v>
      </c>
      <c r="B819">
        <v>7</v>
      </c>
      <c r="C819" s="5" t="str">
        <f>IFERROR(_xlfn.XLOOKUP(B819, Customers_raw!A:A, Customers_raw!B:B), "Unknown Customer")</f>
        <v>Emily Ramirez</v>
      </c>
      <c r="D819" s="1">
        <v>45741</v>
      </c>
      <c r="E819" s="1" t="str">
        <f t="shared" si="36"/>
        <v>2025-03</v>
      </c>
      <c r="F819" t="s">
        <v>12</v>
      </c>
      <c r="G819" t="s">
        <v>10</v>
      </c>
      <c r="H819">
        <v>2</v>
      </c>
      <c r="I819" s="2">
        <v>25</v>
      </c>
      <c r="J819" s="2">
        <f t="shared" si="37"/>
        <v>50</v>
      </c>
      <c r="K819" s="2" t="str">
        <f t="shared" si="38"/>
        <v>Sale</v>
      </c>
      <c r="L819" t="s">
        <v>5</v>
      </c>
    </row>
    <row r="820" spans="1:12" x14ac:dyDescent="0.25">
      <c r="A820">
        <v>5818</v>
      </c>
      <c r="B820">
        <v>43</v>
      </c>
      <c r="C820" s="5" t="str">
        <f>IFERROR(_xlfn.XLOOKUP(B820, Customers_raw!A:A, Customers_raw!B:B), "Unknown Customer")</f>
        <v>Sandra Clark</v>
      </c>
      <c r="D820" s="1">
        <v>45737</v>
      </c>
      <c r="E820" s="1" t="str">
        <f t="shared" si="36"/>
        <v>2025-03</v>
      </c>
      <c r="F820" t="s">
        <v>12</v>
      </c>
      <c r="G820" t="s">
        <v>10</v>
      </c>
      <c r="H820">
        <v>1</v>
      </c>
      <c r="I820" s="2">
        <v>22</v>
      </c>
      <c r="J820" s="2">
        <f t="shared" si="37"/>
        <v>22</v>
      </c>
      <c r="K820" s="2" t="str">
        <f t="shared" si="38"/>
        <v>Sale</v>
      </c>
      <c r="L820" t="s">
        <v>27</v>
      </c>
    </row>
    <row r="821" spans="1:12" x14ac:dyDescent="0.25">
      <c r="A821">
        <v>5819</v>
      </c>
      <c r="B821">
        <v>57</v>
      </c>
      <c r="C821" s="5" t="str">
        <f>IFERROR(_xlfn.XLOOKUP(B821, Customers_raw!A:A, Customers_raw!B:B), "Unknown Customer")</f>
        <v>Karen Clark</v>
      </c>
      <c r="D821" s="1">
        <v>45893</v>
      </c>
      <c r="E821" s="1" t="str">
        <f t="shared" si="36"/>
        <v>2025-08</v>
      </c>
      <c r="F821" t="s">
        <v>12</v>
      </c>
      <c r="G821" t="s">
        <v>10</v>
      </c>
      <c r="H821">
        <v>2</v>
      </c>
      <c r="I821" s="2">
        <v>22.047244094488189</v>
      </c>
      <c r="J821" s="2">
        <f t="shared" si="37"/>
        <v>44.094488188976378</v>
      </c>
      <c r="K821" s="2" t="str">
        <f t="shared" si="38"/>
        <v>Sale</v>
      </c>
      <c r="L821" t="s">
        <v>5</v>
      </c>
    </row>
    <row r="822" spans="1:12" x14ac:dyDescent="0.25">
      <c r="A822">
        <v>5820</v>
      </c>
      <c r="B822">
        <v>30</v>
      </c>
      <c r="C822" s="5" t="str">
        <f>IFERROR(_xlfn.XLOOKUP(B822, Customers_raw!A:A, Customers_raw!B:B), "Unknown Customer")</f>
        <v>Sandra Taylor</v>
      </c>
      <c r="D822" s="1">
        <v>45685</v>
      </c>
      <c r="E822" s="1" t="str">
        <f t="shared" si="36"/>
        <v>2025-01</v>
      </c>
      <c r="F822" t="s">
        <v>16</v>
      </c>
      <c r="G822" t="s">
        <v>10</v>
      </c>
      <c r="H822">
        <v>1</v>
      </c>
      <c r="I822" s="2">
        <v>28</v>
      </c>
      <c r="J822" s="2">
        <f t="shared" si="37"/>
        <v>28</v>
      </c>
      <c r="K822" s="2" t="str">
        <f t="shared" si="38"/>
        <v>Sale</v>
      </c>
      <c r="L822" t="s">
        <v>27</v>
      </c>
    </row>
    <row r="823" spans="1:12" x14ac:dyDescent="0.25">
      <c r="A823">
        <v>5821</v>
      </c>
      <c r="B823">
        <v>24</v>
      </c>
      <c r="C823" s="5" t="str">
        <f>IFERROR(_xlfn.XLOOKUP(B823, Customers_raw!A:A, Customers_raw!B:B), "Unknown Customer")</f>
        <v>Joshua Hernandez</v>
      </c>
      <c r="D823" s="1">
        <v>46019</v>
      </c>
      <c r="E823" s="1" t="str">
        <f t="shared" si="36"/>
        <v>2025-12</v>
      </c>
      <c r="F823" t="s">
        <v>11</v>
      </c>
      <c r="G823" t="s">
        <v>6</v>
      </c>
      <c r="H823">
        <v>3</v>
      </c>
      <c r="I823" s="2">
        <v>17.804347826086957</v>
      </c>
      <c r="J823" s="2">
        <f t="shared" si="37"/>
        <v>53.413043478260875</v>
      </c>
      <c r="K823" s="2" t="str">
        <f t="shared" si="38"/>
        <v>Sale</v>
      </c>
      <c r="L823" t="s">
        <v>5</v>
      </c>
    </row>
    <row r="824" spans="1:12" x14ac:dyDescent="0.25">
      <c r="A824">
        <v>5822</v>
      </c>
      <c r="B824">
        <v>104</v>
      </c>
      <c r="C824" s="5" t="str">
        <f>IFERROR(_xlfn.XLOOKUP(B824, Customers_raw!A:A, Customers_raw!B:B), "Unknown Customer")</f>
        <v>Christopher Brown</v>
      </c>
      <c r="D824" s="1">
        <v>45967</v>
      </c>
      <c r="E824" s="1" t="str">
        <f t="shared" si="36"/>
        <v>2025-11</v>
      </c>
      <c r="F824" t="s">
        <v>18</v>
      </c>
      <c r="G824" t="s">
        <v>6</v>
      </c>
      <c r="H824">
        <v>1</v>
      </c>
      <c r="I824" s="2">
        <v>92</v>
      </c>
      <c r="J824" s="2">
        <f t="shared" si="37"/>
        <v>92</v>
      </c>
      <c r="K824" s="2" t="str">
        <f t="shared" si="38"/>
        <v>Sale</v>
      </c>
      <c r="L824" t="s">
        <v>27</v>
      </c>
    </row>
    <row r="825" spans="1:12" x14ac:dyDescent="0.25">
      <c r="A825">
        <v>5823</v>
      </c>
      <c r="B825">
        <v>89</v>
      </c>
      <c r="C825" s="5" t="str">
        <f>IFERROR(_xlfn.XLOOKUP(B825, Customers_raw!A:A, Customers_raw!B:B), "Unknown Customer")</f>
        <v>Andrew Thompson</v>
      </c>
      <c r="D825" s="1">
        <v>45668</v>
      </c>
      <c r="E825" s="1" t="str">
        <f t="shared" si="36"/>
        <v>2025-01</v>
      </c>
      <c r="F825" t="s">
        <v>19</v>
      </c>
      <c r="G825" t="s">
        <v>17</v>
      </c>
      <c r="H825">
        <v>1</v>
      </c>
      <c r="I825" s="2">
        <v>19</v>
      </c>
      <c r="J825" s="2">
        <f t="shared" si="37"/>
        <v>19</v>
      </c>
      <c r="K825" s="2" t="str">
        <f t="shared" si="38"/>
        <v>Sale</v>
      </c>
      <c r="L825" t="s">
        <v>5</v>
      </c>
    </row>
    <row r="826" spans="1:12" x14ac:dyDescent="0.25">
      <c r="A826">
        <v>5824</v>
      </c>
      <c r="B826">
        <v>13</v>
      </c>
      <c r="C826" s="5" t="str">
        <f>IFERROR(_xlfn.XLOOKUP(B826, Customers_raw!A:A, Customers_raw!B:B), "Unknown Customer")</f>
        <v>Anthony Johnson</v>
      </c>
      <c r="D826" s="1">
        <v>45802</v>
      </c>
      <c r="E826" s="1" t="str">
        <f t="shared" si="36"/>
        <v>2025-05</v>
      </c>
      <c r="F826" t="s">
        <v>19</v>
      </c>
      <c r="G826" t="s">
        <v>17</v>
      </c>
      <c r="H826">
        <v>1</v>
      </c>
      <c r="I826" s="2">
        <v>19</v>
      </c>
      <c r="J826" s="2">
        <f t="shared" si="37"/>
        <v>19</v>
      </c>
      <c r="K826" s="2" t="str">
        <f t="shared" si="38"/>
        <v>Sale</v>
      </c>
      <c r="L826" t="s">
        <v>8</v>
      </c>
    </row>
    <row r="827" spans="1:12" x14ac:dyDescent="0.25">
      <c r="A827">
        <v>5825</v>
      </c>
      <c r="B827">
        <v>45</v>
      </c>
      <c r="C827" s="5" t="str">
        <f>IFERROR(_xlfn.XLOOKUP(B827, Customers_raw!A:A, Customers_raw!B:B), "Unknown Customer")</f>
        <v>Michael Moore</v>
      </c>
      <c r="D827" s="1">
        <v>45750</v>
      </c>
      <c r="E827" s="1" t="str">
        <f t="shared" si="36"/>
        <v>2025-04</v>
      </c>
      <c r="F827" t="s">
        <v>14</v>
      </c>
      <c r="G827" t="s">
        <v>7</v>
      </c>
      <c r="H827">
        <v>1</v>
      </c>
      <c r="I827" s="2">
        <v>52</v>
      </c>
      <c r="J827" s="2">
        <f t="shared" si="37"/>
        <v>52</v>
      </c>
      <c r="K827" s="2" t="str">
        <f t="shared" si="38"/>
        <v>Sale</v>
      </c>
      <c r="L827" t="s">
        <v>23</v>
      </c>
    </row>
    <row r="828" spans="1:12" x14ac:dyDescent="0.25">
      <c r="A828">
        <v>5826</v>
      </c>
      <c r="B828">
        <v>52</v>
      </c>
      <c r="C828" s="5" t="str">
        <f>IFERROR(_xlfn.XLOOKUP(B828, Customers_raw!A:A, Customers_raw!B:B), "Unknown Customer")</f>
        <v>Sarah Johnson</v>
      </c>
      <c r="D828" s="1">
        <v>45722</v>
      </c>
      <c r="E828" s="1" t="str">
        <f t="shared" si="36"/>
        <v>2025-03</v>
      </c>
      <c r="F828" t="s">
        <v>12</v>
      </c>
      <c r="G828" t="s">
        <v>10</v>
      </c>
      <c r="H828">
        <v>2</v>
      </c>
      <c r="I828" s="2">
        <v>19</v>
      </c>
      <c r="J828" s="2">
        <f t="shared" si="37"/>
        <v>38</v>
      </c>
      <c r="K828" s="2" t="str">
        <f t="shared" si="38"/>
        <v>Sale</v>
      </c>
      <c r="L828" t="s">
        <v>8</v>
      </c>
    </row>
    <row r="829" spans="1:12" x14ac:dyDescent="0.25">
      <c r="A829">
        <v>5827</v>
      </c>
      <c r="B829">
        <v>4</v>
      </c>
      <c r="C829" s="5" t="str">
        <f>IFERROR(_xlfn.XLOOKUP(B829, Customers_raw!A:A, Customers_raw!B:B), "Unknown Customer")</f>
        <v>Joshua Brown</v>
      </c>
      <c r="D829" s="1">
        <v>45832</v>
      </c>
      <c r="E829" s="1" t="str">
        <f t="shared" si="36"/>
        <v>2025-06</v>
      </c>
      <c r="F829" t="s">
        <v>14</v>
      </c>
      <c r="G829" t="s">
        <v>7</v>
      </c>
      <c r="H829">
        <v>1</v>
      </c>
      <c r="I829" s="2">
        <v>58</v>
      </c>
      <c r="J829" s="2">
        <f t="shared" si="37"/>
        <v>58</v>
      </c>
      <c r="K829" s="2" t="str">
        <f t="shared" si="38"/>
        <v>Sale</v>
      </c>
      <c r="L829" t="s">
        <v>8</v>
      </c>
    </row>
    <row r="830" spans="1:12" x14ac:dyDescent="0.25">
      <c r="A830">
        <v>5828</v>
      </c>
      <c r="B830">
        <v>69</v>
      </c>
      <c r="C830" s="5" t="str">
        <f>IFERROR(_xlfn.XLOOKUP(B830, Customers_raw!A:A, Customers_raw!B:B), "Unknown Customer")</f>
        <v>Jessica Brown</v>
      </c>
      <c r="D830" s="1">
        <v>46016</v>
      </c>
      <c r="E830" s="1" t="str">
        <f t="shared" si="36"/>
        <v>2025-12</v>
      </c>
      <c r="F830" t="s">
        <v>11</v>
      </c>
      <c r="G830" t="s">
        <v>6</v>
      </c>
      <c r="H830">
        <v>2</v>
      </c>
      <c r="I830" s="2">
        <v>15</v>
      </c>
      <c r="J830" s="2">
        <f t="shared" si="37"/>
        <v>30</v>
      </c>
      <c r="K830" s="2" t="str">
        <f t="shared" si="38"/>
        <v>Sale</v>
      </c>
      <c r="L830" t="s">
        <v>5</v>
      </c>
    </row>
    <row r="831" spans="1:12" x14ac:dyDescent="0.25">
      <c r="A831">
        <v>5829</v>
      </c>
      <c r="B831">
        <v>38</v>
      </c>
      <c r="C831" s="5" t="str">
        <f>IFERROR(_xlfn.XLOOKUP(B831, Customers_raw!A:A, Customers_raw!B:B), "Unknown Customer")</f>
        <v>Jennifer Davis</v>
      </c>
      <c r="D831" s="1">
        <v>45718</v>
      </c>
      <c r="E831" s="1" t="str">
        <f t="shared" si="36"/>
        <v>2025-03</v>
      </c>
      <c r="F831" t="s">
        <v>19</v>
      </c>
      <c r="G831" t="s">
        <v>17</v>
      </c>
      <c r="H831">
        <v>2</v>
      </c>
      <c r="I831" s="2">
        <v>19</v>
      </c>
      <c r="J831" s="2">
        <f t="shared" si="37"/>
        <v>38</v>
      </c>
      <c r="K831" s="2" t="str">
        <f t="shared" si="38"/>
        <v>Sale</v>
      </c>
      <c r="L831" t="s">
        <v>27</v>
      </c>
    </row>
    <row r="832" spans="1:12" x14ac:dyDescent="0.25">
      <c r="A832">
        <v>5830</v>
      </c>
      <c r="B832">
        <v>90</v>
      </c>
      <c r="C832" s="5" t="str">
        <f>IFERROR(_xlfn.XLOOKUP(B832, Customers_raw!A:A, Customers_raw!B:B), "Unknown Customer")</f>
        <v>John Harris</v>
      </c>
      <c r="D832" s="1">
        <v>45756</v>
      </c>
      <c r="E832" s="1" t="str">
        <f t="shared" si="36"/>
        <v>2025-04</v>
      </c>
      <c r="F832" t="s">
        <v>22</v>
      </c>
      <c r="G832" t="s">
        <v>17</v>
      </c>
      <c r="H832">
        <v>2</v>
      </c>
      <c r="I832" s="2">
        <v>27</v>
      </c>
      <c r="J832" s="2">
        <f t="shared" si="37"/>
        <v>54</v>
      </c>
      <c r="K832" s="2" t="str">
        <f t="shared" si="38"/>
        <v>Sale</v>
      </c>
      <c r="L832" t="s">
        <v>8</v>
      </c>
    </row>
    <row r="833" spans="1:12" x14ac:dyDescent="0.25">
      <c r="A833">
        <v>5831</v>
      </c>
      <c r="B833">
        <v>9</v>
      </c>
      <c r="C833" s="5" t="str">
        <f>IFERROR(_xlfn.XLOOKUP(B833, Customers_raw!A:A, Customers_raw!B:B), "Unknown Customer")</f>
        <v>Andrew Anderson</v>
      </c>
      <c r="D833" s="1">
        <v>45885</v>
      </c>
      <c r="E833" s="1" t="str">
        <f t="shared" si="36"/>
        <v>2025-08</v>
      </c>
      <c r="F833" t="s">
        <v>21</v>
      </c>
      <c r="G833" t="s">
        <v>17</v>
      </c>
      <c r="H833">
        <v>1</v>
      </c>
      <c r="I833" s="2">
        <v>60</v>
      </c>
      <c r="J833" s="2">
        <f t="shared" si="37"/>
        <v>60</v>
      </c>
      <c r="K833" s="2" t="str">
        <f t="shared" si="38"/>
        <v>Sale</v>
      </c>
      <c r="L833" t="s">
        <v>8</v>
      </c>
    </row>
    <row r="834" spans="1:12" x14ac:dyDescent="0.25">
      <c r="A834">
        <v>5832</v>
      </c>
      <c r="B834">
        <v>30</v>
      </c>
      <c r="C834" s="5" t="str">
        <f>IFERROR(_xlfn.XLOOKUP(B834, Customers_raw!A:A, Customers_raw!B:B), "Unknown Customer")</f>
        <v>Sandra Taylor</v>
      </c>
      <c r="D834" s="1">
        <v>46016</v>
      </c>
      <c r="E834" s="1" t="str">
        <f t="shared" si="36"/>
        <v>2025-12</v>
      </c>
      <c r="F834" t="s">
        <v>15</v>
      </c>
      <c r="G834" t="s">
        <v>7</v>
      </c>
      <c r="H834">
        <v>2</v>
      </c>
      <c r="I834" s="2">
        <v>70</v>
      </c>
      <c r="J834" s="2">
        <f t="shared" si="37"/>
        <v>140</v>
      </c>
      <c r="K834" s="2" t="str">
        <f t="shared" si="38"/>
        <v>Sale</v>
      </c>
      <c r="L834" t="s">
        <v>8</v>
      </c>
    </row>
    <row r="835" spans="1:12" x14ac:dyDescent="0.25">
      <c r="A835">
        <v>5833</v>
      </c>
      <c r="B835">
        <v>57</v>
      </c>
      <c r="C835" s="5" t="str">
        <f>IFERROR(_xlfn.XLOOKUP(B835, Customers_raw!A:A, Customers_raw!B:B), "Unknown Customer")</f>
        <v>Karen Clark</v>
      </c>
      <c r="D835" s="1">
        <v>45833</v>
      </c>
      <c r="E835" s="1" t="str">
        <f t="shared" ref="E835:E898" si="39">TEXT(D:D,"YYYY-MM")</f>
        <v>2025-06</v>
      </c>
      <c r="F835" t="s">
        <v>14</v>
      </c>
      <c r="G835" t="s">
        <v>7</v>
      </c>
      <c r="H835">
        <v>3</v>
      </c>
      <c r="I835" s="2">
        <v>52</v>
      </c>
      <c r="J835" s="2">
        <f t="shared" ref="J835:J898" si="40">H835*I835</f>
        <v>156</v>
      </c>
      <c r="K835" s="2" t="str">
        <f t="shared" ref="K835:K898" si="41">IF(H835&lt;0,"Return","Sale")</f>
        <v>Sale</v>
      </c>
      <c r="L835" t="s">
        <v>8</v>
      </c>
    </row>
    <row r="836" spans="1:12" x14ac:dyDescent="0.25">
      <c r="A836">
        <v>5834</v>
      </c>
      <c r="B836">
        <v>85</v>
      </c>
      <c r="C836" s="5" t="str">
        <f>IFERROR(_xlfn.XLOOKUP(B836, Customers_raw!A:A, Customers_raw!B:B), "Unknown Customer")</f>
        <v>Elizabeth Martinez</v>
      </c>
      <c r="D836" s="1">
        <v>45844</v>
      </c>
      <c r="E836" s="1" t="str">
        <f t="shared" si="39"/>
        <v>2025-07</v>
      </c>
      <c r="F836" t="s">
        <v>20</v>
      </c>
      <c r="G836" t="s">
        <v>10</v>
      </c>
      <c r="H836">
        <v>2</v>
      </c>
      <c r="I836" s="2">
        <v>65</v>
      </c>
      <c r="J836" s="2">
        <f t="shared" si="40"/>
        <v>130</v>
      </c>
      <c r="K836" s="2" t="str">
        <f t="shared" si="41"/>
        <v>Sale</v>
      </c>
      <c r="L836" t="s">
        <v>8</v>
      </c>
    </row>
    <row r="837" spans="1:12" x14ac:dyDescent="0.25">
      <c r="A837">
        <v>5835</v>
      </c>
      <c r="B837">
        <v>107</v>
      </c>
      <c r="C837" s="5" t="str">
        <f>IFERROR(_xlfn.XLOOKUP(B837, Customers_raw!A:A, Customers_raw!B:B), "Unknown Customer")</f>
        <v>Lisa Walker</v>
      </c>
      <c r="D837" s="1">
        <v>45805</v>
      </c>
      <c r="E837" s="1" t="str">
        <f t="shared" si="39"/>
        <v>2025-05</v>
      </c>
      <c r="F837" t="s">
        <v>13</v>
      </c>
      <c r="G837" t="s">
        <v>7</v>
      </c>
      <c r="H837">
        <v>2</v>
      </c>
      <c r="I837" s="2">
        <v>35</v>
      </c>
      <c r="J837" s="2">
        <f t="shared" si="40"/>
        <v>70</v>
      </c>
      <c r="K837" s="2" t="str">
        <f t="shared" si="41"/>
        <v>Sale</v>
      </c>
      <c r="L837" t="s">
        <v>23</v>
      </c>
    </row>
    <row r="838" spans="1:12" x14ac:dyDescent="0.25">
      <c r="A838">
        <v>5836</v>
      </c>
      <c r="B838">
        <v>82</v>
      </c>
      <c r="C838" s="5" t="str">
        <f>IFERROR(_xlfn.XLOOKUP(B838, Customers_raw!A:A, Customers_raw!B:B), "Unknown Customer")</f>
        <v>Thomas Ramirez</v>
      </c>
      <c r="D838" s="1">
        <v>45901</v>
      </c>
      <c r="E838" s="1" t="str">
        <f t="shared" si="39"/>
        <v>2025-09</v>
      </c>
      <c r="F838" t="s">
        <v>15</v>
      </c>
      <c r="G838" t="s">
        <v>7</v>
      </c>
      <c r="H838">
        <v>3</v>
      </c>
      <c r="I838" s="2">
        <v>67</v>
      </c>
      <c r="J838" s="2">
        <f t="shared" si="40"/>
        <v>201</v>
      </c>
      <c r="K838" s="2" t="str">
        <f t="shared" si="41"/>
        <v>Sale</v>
      </c>
      <c r="L838" t="s">
        <v>5</v>
      </c>
    </row>
    <row r="839" spans="1:12" x14ac:dyDescent="0.25">
      <c r="A839">
        <v>5837</v>
      </c>
      <c r="B839">
        <v>57</v>
      </c>
      <c r="C839" s="5" t="str">
        <f>IFERROR(_xlfn.XLOOKUP(B839, Customers_raw!A:A, Customers_raw!B:B), "Unknown Customer")</f>
        <v>Karen Clark</v>
      </c>
      <c r="D839" s="1">
        <v>45876</v>
      </c>
      <c r="E839" s="1" t="str">
        <f t="shared" si="39"/>
        <v>2025-08</v>
      </c>
      <c r="F839" t="s">
        <v>9</v>
      </c>
      <c r="G839" t="s">
        <v>6</v>
      </c>
      <c r="H839">
        <v>2</v>
      </c>
      <c r="I839" s="2">
        <v>45</v>
      </c>
      <c r="J839" s="2">
        <f t="shared" si="40"/>
        <v>90</v>
      </c>
      <c r="K839" s="2" t="str">
        <f t="shared" si="41"/>
        <v>Sale</v>
      </c>
      <c r="L839" t="s">
        <v>5</v>
      </c>
    </row>
    <row r="840" spans="1:12" x14ac:dyDescent="0.25">
      <c r="A840">
        <v>5838</v>
      </c>
      <c r="B840">
        <v>103</v>
      </c>
      <c r="C840" s="5" t="str">
        <f>IFERROR(_xlfn.XLOOKUP(B840, Customers_raw!A:A, Customers_raw!B:B), "Unknown Customer")</f>
        <v>Mark Wilson</v>
      </c>
      <c r="D840" s="1">
        <v>45705</v>
      </c>
      <c r="E840" s="1" t="str">
        <f t="shared" si="39"/>
        <v>2025-02</v>
      </c>
      <c r="F840" t="s">
        <v>22</v>
      </c>
      <c r="G840" t="s">
        <v>17</v>
      </c>
      <c r="H840">
        <v>3</v>
      </c>
      <c r="I840" s="2">
        <v>24</v>
      </c>
      <c r="J840" s="2">
        <f t="shared" si="40"/>
        <v>72</v>
      </c>
      <c r="K840" s="2" t="str">
        <f t="shared" si="41"/>
        <v>Sale</v>
      </c>
      <c r="L840" t="s">
        <v>27</v>
      </c>
    </row>
    <row r="841" spans="1:12" x14ac:dyDescent="0.25">
      <c r="A841">
        <v>5839</v>
      </c>
      <c r="B841">
        <v>54</v>
      </c>
      <c r="C841" s="5" t="str">
        <f>IFERROR(_xlfn.XLOOKUP(B841, Customers_raw!A:A, Customers_raw!B:B), "Unknown Customer")</f>
        <v>Donald Moore</v>
      </c>
      <c r="D841" s="1">
        <v>45953</v>
      </c>
      <c r="E841" s="1" t="str">
        <f t="shared" si="39"/>
        <v>2025-10</v>
      </c>
      <c r="F841" t="s">
        <v>11</v>
      </c>
      <c r="G841" t="s">
        <v>6</v>
      </c>
      <c r="H841">
        <v>3</v>
      </c>
      <c r="I841" s="2">
        <v>18</v>
      </c>
      <c r="J841" s="2">
        <f t="shared" si="40"/>
        <v>54</v>
      </c>
      <c r="K841" s="2" t="str">
        <f t="shared" si="41"/>
        <v>Sale</v>
      </c>
      <c r="L841" t="s">
        <v>8</v>
      </c>
    </row>
    <row r="842" spans="1:12" x14ac:dyDescent="0.25">
      <c r="A842">
        <v>5840</v>
      </c>
      <c r="B842">
        <v>29</v>
      </c>
      <c r="C842" s="5" t="str">
        <f>IFERROR(_xlfn.XLOOKUP(B842, Customers_raw!A:A, Customers_raw!B:B), "Unknown Customer")</f>
        <v>Thomas Lopez</v>
      </c>
      <c r="D842" s="1">
        <v>45815</v>
      </c>
      <c r="E842" s="1" t="str">
        <f t="shared" si="39"/>
        <v>2025-06</v>
      </c>
      <c r="F842" t="s">
        <v>12</v>
      </c>
      <c r="G842" t="s">
        <v>10</v>
      </c>
      <c r="H842">
        <v>2</v>
      </c>
      <c r="I842" s="2">
        <v>22</v>
      </c>
      <c r="J842" s="2">
        <f t="shared" si="40"/>
        <v>44</v>
      </c>
      <c r="K842" s="2" t="str">
        <f t="shared" si="41"/>
        <v>Sale</v>
      </c>
      <c r="L842" t="s">
        <v>27</v>
      </c>
    </row>
    <row r="843" spans="1:12" x14ac:dyDescent="0.25">
      <c r="A843">
        <v>5841</v>
      </c>
      <c r="B843">
        <v>54</v>
      </c>
      <c r="C843" s="5" t="str">
        <f>IFERROR(_xlfn.XLOOKUP(B843, Customers_raw!A:A, Customers_raw!B:B), "Unknown Customer")</f>
        <v>Donald Moore</v>
      </c>
      <c r="D843" s="1">
        <v>45745</v>
      </c>
      <c r="E843" s="1" t="str">
        <f t="shared" si="39"/>
        <v>2025-03</v>
      </c>
      <c r="F843" t="s">
        <v>22</v>
      </c>
      <c r="G843" t="s">
        <v>17</v>
      </c>
      <c r="H843">
        <v>3</v>
      </c>
      <c r="I843" s="2">
        <v>23.742857142857144</v>
      </c>
      <c r="J843" s="2">
        <f t="shared" si="40"/>
        <v>71.228571428571428</v>
      </c>
      <c r="K843" s="2" t="str">
        <f t="shared" si="41"/>
        <v>Sale</v>
      </c>
      <c r="L843" t="s">
        <v>5</v>
      </c>
    </row>
    <row r="844" spans="1:12" x14ac:dyDescent="0.25">
      <c r="A844">
        <v>5842</v>
      </c>
      <c r="B844">
        <v>33</v>
      </c>
      <c r="C844" s="5" t="str">
        <f>IFERROR(_xlfn.XLOOKUP(B844, Customers_raw!A:A, Customers_raw!B:B), "Unknown Customer")</f>
        <v>Jennifer White</v>
      </c>
      <c r="D844" s="1">
        <v>45967</v>
      </c>
      <c r="E844" s="1" t="str">
        <f t="shared" si="39"/>
        <v>2025-11</v>
      </c>
      <c r="F844" t="s">
        <v>14</v>
      </c>
      <c r="G844" t="s">
        <v>7</v>
      </c>
      <c r="H844">
        <v>3</v>
      </c>
      <c r="I844" s="2">
        <v>55</v>
      </c>
      <c r="J844" s="2">
        <f t="shared" si="40"/>
        <v>165</v>
      </c>
      <c r="K844" s="2" t="str">
        <f t="shared" si="41"/>
        <v>Sale</v>
      </c>
      <c r="L844" t="s">
        <v>27</v>
      </c>
    </row>
    <row r="845" spans="1:12" x14ac:dyDescent="0.25">
      <c r="A845">
        <v>5843</v>
      </c>
      <c r="B845">
        <v>66</v>
      </c>
      <c r="C845" s="5" t="str">
        <f>IFERROR(_xlfn.XLOOKUP(B845, Customers_raw!A:A, Customers_raw!B:B), "Unknown Customer")</f>
        <v>Barbara Anderson</v>
      </c>
      <c r="D845" s="1">
        <v>45996</v>
      </c>
      <c r="E845" s="1" t="str">
        <f t="shared" si="39"/>
        <v>2025-12</v>
      </c>
      <c r="F845" t="s">
        <v>9</v>
      </c>
      <c r="G845" t="s">
        <v>6</v>
      </c>
      <c r="H845">
        <v>1</v>
      </c>
      <c r="I845" s="2">
        <v>42</v>
      </c>
      <c r="J845" s="2">
        <f t="shared" si="40"/>
        <v>42</v>
      </c>
      <c r="K845" s="2" t="str">
        <f t="shared" si="41"/>
        <v>Sale</v>
      </c>
      <c r="L845" t="s">
        <v>8</v>
      </c>
    </row>
    <row r="846" spans="1:12" x14ac:dyDescent="0.25">
      <c r="A846">
        <v>5844</v>
      </c>
      <c r="B846">
        <v>82</v>
      </c>
      <c r="C846" s="5" t="str">
        <f>IFERROR(_xlfn.XLOOKUP(B846, Customers_raw!A:A, Customers_raw!B:B), "Unknown Customer")</f>
        <v>Thomas Ramirez</v>
      </c>
      <c r="D846" s="1">
        <v>45693</v>
      </c>
      <c r="E846" s="1" t="str">
        <f t="shared" si="39"/>
        <v>2025-02</v>
      </c>
      <c r="F846" t="s">
        <v>9</v>
      </c>
      <c r="G846" t="s">
        <v>6</v>
      </c>
      <c r="H846">
        <v>1</v>
      </c>
      <c r="I846" s="2">
        <v>45</v>
      </c>
      <c r="J846" s="2">
        <f t="shared" si="40"/>
        <v>45</v>
      </c>
      <c r="K846" s="2" t="str">
        <f t="shared" si="41"/>
        <v>Sale</v>
      </c>
      <c r="L846" t="s">
        <v>27</v>
      </c>
    </row>
    <row r="847" spans="1:12" x14ac:dyDescent="0.25">
      <c r="A847">
        <v>5845</v>
      </c>
      <c r="B847">
        <v>10</v>
      </c>
      <c r="C847" s="5" t="str">
        <f>IFERROR(_xlfn.XLOOKUP(B847, Customers_raw!A:A, Customers_raw!B:B), "Unknown Customer")</f>
        <v>Karen Davis</v>
      </c>
      <c r="D847" s="1">
        <v>45691</v>
      </c>
      <c r="E847" s="1" t="str">
        <f t="shared" si="39"/>
        <v>2025-02</v>
      </c>
      <c r="F847" t="s">
        <v>16</v>
      </c>
      <c r="G847" t="s">
        <v>10</v>
      </c>
      <c r="H847">
        <v>3</v>
      </c>
      <c r="I847" s="2">
        <v>28</v>
      </c>
      <c r="J847" s="2">
        <f t="shared" si="40"/>
        <v>84</v>
      </c>
      <c r="K847" s="2" t="str">
        <f t="shared" si="41"/>
        <v>Sale</v>
      </c>
      <c r="L847" t="s">
        <v>8</v>
      </c>
    </row>
    <row r="848" spans="1:12" x14ac:dyDescent="0.25">
      <c r="A848">
        <v>5846</v>
      </c>
      <c r="B848">
        <v>20</v>
      </c>
      <c r="C848" s="5" t="str">
        <f>IFERROR(_xlfn.XLOOKUP(B848, Customers_raw!A:A, Customers_raw!B:B), "Unknown Customer")</f>
        <v>David Ramirez</v>
      </c>
      <c r="D848" s="1">
        <v>45753</v>
      </c>
      <c r="E848" s="1" t="str">
        <f t="shared" si="39"/>
        <v>2025-04</v>
      </c>
      <c r="F848" t="s">
        <v>15</v>
      </c>
      <c r="G848" t="s">
        <v>7</v>
      </c>
      <c r="H848">
        <v>1</v>
      </c>
      <c r="I848" s="2">
        <v>70</v>
      </c>
      <c r="J848" s="2">
        <f t="shared" si="40"/>
        <v>70</v>
      </c>
      <c r="K848" s="2" t="str">
        <f t="shared" si="41"/>
        <v>Sale</v>
      </c>
      <c r="L848" t="s">
        <v>5</v>
      </c>
    </row>
    <row r="849" spans="1:12" x14ac:dyDescent="0.25">
      <c r="A849">
        <v>5847</v>
      </c>
      <c r="B849">
        <v>55</v>
      </c>
      <c r="C849" s="5" t="str">
        <f>IFERROR(_xlfn.XLOOKUP(B849, Customers_raw!A:A, Customers_raw!B:B), "Unknown Customer")</f>
        <v>Thomas Walker</v>
      </c>
      <c r="D849" s="1">
        <v>45721</v>
      </c>
      <c r="E849" s="1" t="str">
        <f t="shared" si="39"/>
        <v>2025-03</v>
      </c>
      <c r="F849" t="s">
        <v>9</v>
      </c>
      <c r="G849" t="s">
        <v>6</v>
      </c>
      <c r="H849">
        <v>1</v>
      </c>
      <c r="I849" s="2">
        <v>45</v>
      </c>
      <c r="J849" s="2">
        <f t="shared" si="40"/>
        <v>45</v>
      </c>
      <c r="K849" s="2" t="str">
        <f t="shared" si="41"/>
        <v>Sale</v>
      </c>
      <c r="L849" t="s">
        <v>5</v>
      </c>
    </row>
    <row r="850" spans="1:12" x14ac:dyDescent="0.25">
      <c r="A850">
        <v>5848</v>
      </c>
      <c r="B850">
        <v>52</v>
      </c>
      <c r="C850" s="5" t="str">
        <f>IFERROR(_xlfn.XLOOKUP(B850, Customers_raw!A:A, Customers_raw!B:B), "Unknown Customer")</f>
        <v>Sarah Johnson</v>
      </c>
      <c r="D850" s="1">
        <v>45800</v>
      </c>
      <c r="E850" s="1" t="str">
        <f t="shared" si="39"/>
        <v>2025-05</v>
      </c>
      <c r="F850" t="s">
        <v>22</v>
      </c>
      <c r="G850" t="s">
        <v>17</v>
      </c>
      <c r="H850">
        <v>2</v>
      </c>
      <c r="I850" s="2">
        <v>24</v>
      </c>
      <c r="J850" s="2">
        <f t="shared" si="40"/>
        <v>48</v>
      </c>
      <c r="K850" s="2" t="str">
        <f t="shared" si="41"/>
        <v>Sale</v>
      </c>
      <c r="L850" t="s">
        <v>8</v>
      </c>
    </row>
    <row r="851" spans="1:12" x14ac:dyDescent="0.25">
      <c r="A851">
        <v>5849</v>
      </c>
      <c r="B851">
        <v>24</v>
      </c>
      <c r="C851" s="5" t="str">
        <f>IFERROR(_xlfn.XLOOKUP(B851, Customers_raw!A:A, Customers_raw!B:B), "Unknown Customer")</f>
        <v>Joshua Hernandez</v>
      </c>
      <c r="D851" s="1">
        <v>45890</v>
      </c>
      <c r="E851" s="1" t="str">
        <f t="shared" si="39"/>
        <v>2025-08</v>
      </c>
      <c r="F851" t="s">
        <v>20</v>
      </c>
      <c r="G851" t="s">
        <v>10</v>
      </c>
      <c r="H851">
        <v>1</v>
      </c>
      <c r="I851" s="2">
        <v>68</v>
      </c>
      <c r="J851" s="2">
        <f t="shared" si="40"/>
        <v>68</v>
      </c>
      <c r="K851" s="2" t="str">
        <f t="shared" si="41"/>
        <v>Sale</v>
      </c>
      <c r="L851" t="s">
        <v>27</v>
      </c>
    </row>
    <row r="852" spans="1:12" x14ac:dyDescent="0.25">
      <c r="A852">
        <v>5850</v>
      </c>
      <c r="B852">
        <v>9</v>
      </c>
      <c r="C852" s="5" t="str">
        <f>IFERROR(_xlfn.XLOOKUP(B852, Customers_raw!A:A, Customers_raw!B:B), "Unknown Customer")</f>
        <v>Andrew Anderson</v>
      </c>
      <c r="D852" s="1">
        <v>45783</v>
      </c>
      <c r="E852" s="1" t="str">
        <f t="shared" si="39"/>
        <v>2025-05</v>
      </c>
      <c r="F852" t="s">
        <v>9</v>
      </c>
      <c r="G852" t="s">
        <v>6</v>
      </c>
      <c r="H852">
        <v>3</v>
      </c>
      <c r="I852" s="2">
        <v>45</v>
      </c>
      <c r="J852" s="2">
        <f t="shared" si="40"/>
        <v>135</v>
      </c>
      <c r="K852" s="2" t="str">
        <f t="shared" si="41"/>
        <v>Sale</v>
      </c>
      <c r="L852" t="s">
        <v>5</v>
      </c>
    </row>
    <row r="853" spans="1:12" x14ac:dyDescent="0.25">
      <c r="A853">
        <v>5851</v>
      </c>
      <c r="B853">
        <v>104</v>
      </c>
      <c r="C853" s="5" t="str">
        <f>IFERROR(_xlfn.XLOOKUP(B853, Customers_raw!A:A, Customers_raw!B:B), "Unknown Customer")</f>
        <v>Christopher Brown</v>
      </c>
      <c r="D853" s="1">
        <v>46001</v>
      </c>
      <c r="E853" s="1" t="str">
        <f t="shared" si="39"/>
        <v>2025-12</v>
      </c>
      <c r="F853" t="s">
        <v>12</v>
      </c>
      <c r="G853" t="s">
        <v>10</v>
      </c>
      <c r="H853">
        <v>2</v>
      </c>
      <c r="I853" s="2">
        <v>22</v>
      </c>
      <c r="J853" s="2">
        <f t="shared" si="40"/>
        <v>44</v>
      </c>
      <c r="K853" s="2" t="str">
        <f t="shared" si="41"/>
        <v>Sale</v>
      </c>
      <c r="L853" t="s">
        <v>8</v>
      </c>
    </row>
    <row r="854" spans="1:12" x14ac:dyDescent="0.25">
      <c r="A854">
        <v>5852</v>
      </c>
      <c r="B854">
        <v>2</v>
      </c>
      <c r="C854" s="5" t="str">
        <f>IFERROR(_xlfn.XLOOKUP(B854, Customers_raw!A:A, Customers_raw!B:B), "Unknown Customer")</f>
        <v>Michael Lopez</v>
      </c>
      <c r="D854" s="1">
        <v>46011</v>
      </c>
      <c r="E854" s="1" t="str">
        <f t="shared" si="39"/>
        <v>2025-12</v>
      </c>
      <c r="F854" t="s">
        <v>13</v>
      </c>
      <c r="G854" t="s">
        <v>7</v>
      </c>
      <c r="H854">
        <v>3</v>
      </c>
      <c r="I854" s="2">
        <v>32</v>
      </c>
      <c r="J854" s="2">
        <f t="shared" si="40"/>
        <v>96</v>
      </c>
      <c r="K854" s="2" t="str">
        <f t="shared" si="41"/>
        <v>Sale</v>
      </c>
      <c r="L854" t="s">
        <v>27</v>
      </c>
    </row>
    <row r="855" spans="1:12" x14ac:dyDescent="0.25">
      <c r="A855">
        <v>5853</v>
      </c>
      <c r="B855">
        <v>74</v>
      </c>
      <c r="C855" s="5" t="str">
        <f>IFERROR(_xlfn.XLOOKUP(B855, Customers_raw!A:A, Customers_raw!B:B), "Unknown Customer")</f>
        <v>Betty Moore</v>
      </c>
      <c r="D855" s="1">
        <v>45770</v>
      </c>
      <c r="E855" s="1" t="str">
        <f t="shared" si="39"/>
        <v>2025-04</v>
      </c>
      <c r="F855" t="s">
        <v>19</v>
      </c>
      <c r="G855" t="s">
        <v>17</v>
      </c>
      <c r="H855">
        <v>1</v>
      </c>
      <c r="I855" s="2">
        <v>19</v>
      </c>
      <c r="J855" s="2">
        <f t="shared" si="40"/>
        <v>19</v>
      </c>
      <c r="K855" s="2" t="str">
        <f t="shared" si="41"/>
        <v>Sale</v>
      </c>
      <c r="L855" t="s">
        <v>27</v>
      </c>
    </row>
    <row r="856" spans="1:12" x14ac:dyDescent="0.25">
      <c r="A856">
        <v>5854</v>
      </c>
      <c r="B856">
        <v>46</v>
      </c>
      <c r="C856" s="5" t="str">
        <f>IFERROR(_xlfn.XLOOKUP(B856, Customers_raw!A:A, Customers_raw!B:B), "Unknown Customer")</f>
        <v>Mary Rodriguez</v>
      </c>
      <c r="D856" s="1">
        <v>45851</v>
      </c>
      <c r="E856" s="1" t="str">
        <f t="shared" si="39"/>
        <v>2025-07</v>
      </c>
      <c r="F856" t="s">
        <v>19</v>
      </c>
      <c r="G856" t="s">
        <v>17</v>
      </c>
      <c r="H856">
        <v>1</v>
      </c>
      <c r="I856" s="2">
        <v>22</v>
      </c>
      <c r="J856" s="2">
        <f t="shared" si="40"/>
        <v>22</v>
      </c>
      <c r="K856" s="2" t="str">
        <f t="shared" si="41"/>
        <v>Sale</v>
      </c>
      <c r="L856" t="s">
        <v>5</v>
      </c>
    </row>
    <row r="857" spans="1:12" x14ac:dyDescent="0.25">
      <c r="A857">
        <v>5855</v>
      </c>
      <c r="B857">
        <v>99</v>
      </c>
      <c r="C857" s="5" t="str">
        <f>IFERROR(_xlfn.XLOOKUP(B857, Customers_raw!A:A, Customers_raw!B:B), "Unknown Customer")</f>
        <v>Steven Thomas</v>
      </c>
      <c r="D857" s="1">
        <v>45967</v>
      </c>
      <c r="E857" s="1" t="str">
        <f t="shared" si="39"/>
        <v>2025-11</v>
      </c>
      <c r="F857" t="s">
        <v>22</v>
      </c>
      <c r="G857" t="s">
        <v>17</v>
      </c>
      <c r="H857">
        <v>1</v>
      </c>
      <c r="I857" s="2">
        <v>24</v>
      </c>
      <c r="J857" s="2">
        <f t="shared" si="40"/>
        <v>24</v>
      </c>
      <c r="K857" s="2" t="str">
        <f t="shared" si="41"/>
        <v>Sale</v>
      </c>
      <c r="L857" t="s">
        <v>8</v>
      </c>
    </row>
    <row r="858" spans="1:12" x14ac:dyDescent="0.25">
      <c r="A858">
        <v>5856</v>
      </c>
      <c r="B858">
        <v>5</v>
      </c>
      <c r="C858" s="5" t="str">
        <f>IFERROR(_xlfn.XLOOKUP(B858, Customers_raw!A:A, Customers_raw!B:B), "Unknown Customer")</f>
        <v>Joshua Martin</v>
      </c>
      <c r="D858" s="1">
        <v>45769</v>
      </c>
      <c r="E858" s="1" t="str">
        <f t="shared" si="39"/>
        <v>2025-04</v>
      </c>
      <c r="F858" t="s">
        <v>13</v>
      </c>
      <c r="G858" t="s">
        <v>7</v>
      </c>
      <c r="H858">
        <v>2</v>
      </c>
      <c r="I858" s="2">
        <v>29</v>
      </c>
      <c r="J858" s="2">
        <f t="shared" si="40"/>
        <v>58</v>
      </c>
      <c r="K858" s="2" t="str">
        <f t="shared" si="41"/>
        <v>Sale</v>
      </c>
      <c r="L858" t="s">
        <v>23</v>
      </c>
    </row>
    <row r="859" spans="1:12" x14ac:dyDescent="0.25">
      <c r="A859">
        <v>5857</v>
      </c>
      <c r="B859">
        <v>86</v>
      </c>
      <c r="C859" s="5" t="str">
        <f>IFERROR(_xlfn.XLOOKUP(B859, Customers_raw!A:A, Customers_raw!B:B), "Unknown Customer")</f>
        <v>Steven Jones</v>
      </c>
      <c r="D859" s="1">
        <v>45994</v>
      </c>
      <c r="E859" s="1" t="str">
        <f t="shared" si="39"/>
        <v>2025-12</v>
      </c>
      <c r="F859" t="s">
        <v>19</v>
      </c>
      <c r="G859" t="s">
        <v>17</v>
      </c>
      <c r="H859">
        <v>3</v>
      </c>
      <c r="I859" s="2">
        <v>22</v>
      </c>
      <c r="J859" s="2">
        <f t="shared" si="40"/>
        <v>66</v>
      </c>
      <c r="K859" s="2" t="str">
        <f t="shared" si="41"/>
        <v>Sale</v>
      </c>
      <c r="L859" t="s">
        <v>23</v>
      </c>
    </row>
    <row r="860" spans="1:12" x14ac:dyDescent="0.25">
      <c r="A860">
        <v>5858</v>
      </c>
      <c r="B860">
        <v>69</v>
      </c>
      <c r="C860" s="5" t="str">
        <f>IFERROR(_xlfn.XLOOKUP(B860, Customers_raw!A:A, Customers_raw!B:B), "Unknown Customer")</f>
        <v>Jessica Brown</v>
      </c>
      <c r="D860" s="1">
        <v>45964</v>
      </c>
      <c r="E860" s="1" t="str">
        <f t="shared" si="39"/>
        <v>2025-11</v>
      </c>
      <c r="F860" t="s">
        <v>13</v>
      </c>
      <c r="G860" t="s">
        <v>7</v>
      </c>
      <c r="H860">
        <v>3</v>
      </c>
      <c r="I860" s="2">
        <v>32</v>
      </c>
      <c r="J860" s="2">
        <f t="shared" si="40"/>
        <v>96</v>
      </c>
      <c r="K860" s="2" t="str">
        <f t="shared" si="41"/>
        <v>Sale</v>
      </c>
      <c r="L860" t="s">
        <v>5</v>
      </c>
    </row>
    <row r="861" spans="1:12" x14ac:dyDescent="0.25">
      <c r="A861">
        <v>5859</v>
      </c>
      <c r="B861">
        <v>3</v>
      </c>
      <c r="C861" s="5" t="str">
        <f>IFERROR(_xlfn.XLOOKUP(B861, Customers_raw!A:A, Customers_raw!B:B), "Unknown Customer")</f>
        <v>Anthony Williams</v>
      </c>
      <c r="D861" s="1">
        <v>45663</v>
      </c>
      <c r="E861" s="1" t="str">
        <f t="shared" si="39"/>
        <v>2025-01</v>
      </c>
      <c r="F861" t="s">
        <v>12</v>
      </c>
      <c r="G861" t="s">
        <v>10</v>
      </c>
      <c r="H861">
        <v>3</v>
      </c>
      <c r="I861" s="2">
        <v>22</v>
      </c>
      <c r="J861" s="2">
        <f t="shared" si="40"/>
        <v>66</v>
      </c>
      <c r="K861" s="2" t="str">
        <f t="shared" si="41"/>
        <v>Sale</v>
      </c>
      <c r="L861" t="s">
        <v>27</v>
      </c>
    </row>
    <row r="862" spans="1:12" x14ac:dyDescent="0.25">
      <c r="A862">
        <v>5860</v>
      </c>
      <c r="B862">
        <v>53</v>
      </c>
      <c r="C862" s="5" t="str">
        <f>IFERROR(_xlfn.XLOOKUP(B862, Customers_raw!A:A, Customers_raw!B:B), "Unknown Customer")</f>
        <v>John Thomas</v>
      </c>
      <c r="D862" s="1">
        <v>45804</v>
      </c>
      <c r="E862" s="1" t="str">
        <f t="shared" si="39"/>
        <v>2025-05</v>
      </c>
      <c r="F862" t="s">
        <v>19</v>
      </c>
      <c r="G862" t="s">
        <v>17</v>
      </c>
      <c r="H862">
        <v>1</v>
      </c>
      <c r="I862" s="2">
        <v>22</v>
      </c>
      <c r="J862" s="2">
        <f t="shared" si="40"/>
        <v>22</v>
      </c>
      <c r="K862" s="2" t="str">
        <f t="shared" si="41"/>
        <v>Sale</v>
      </c>
      <c r="L862" t="s">
        <v>5</v>
      </c>
    </row>
    <row r="863" spans="1:12" x14ac:dyDescent="0.25">
      <c r="A863">
        <v>5861</v>
      </c>
      <c r="B863">
        <v>33</v>
      </c>
      <c r="C863" s="5" t="str">
        <f>IFERROR(_xlfn.XLOOKUP(B863, Customers_raw!A:A, Customers_raw!B:B), "Unknown Customer")</f>
        <v>Jennifer White</v>
      </c>
      <c r="D863" s="1">
        <v>45869</v>
      </c>
      <c r="E863" s="1" t="str">
        <f t="shared" si="39"/>
        <v>2025-07</v>
      </c>
      <c r="F863" t="s">
        <v>15</v>
      </c>
      <c r="G863" t="s">
        <v>7</v>
      </c>
      <c r="H863">
        <v>3</v>
      </c>
      <c r="I863" s="2">
        <v>70</v>
      </c>
      <c r="J863" s="2">
        <f t="shared" si="40"/>
        <v>210</v>
      </c>
      <c r="K863" s="2" t="str">
        <f t="shared" si="41"/>
        <v>Sale</v>
      </c>
      <c r="L863" t="s">
        <v>5</v>
      </c>
    </row>
    <row r="864" spans="1:12" x14ac:dyDescent="0.25">
      <c r="A864">
        <v>5862</v>
      </c>
      <c r="B864">
        <v>85</v>
      </c>
      <c r="C864" s="5" t="str">
        <f>IFERROR(_xlfn.XLOOKUP(B864, Customers_raw!A:A, Customers_raw!B:B), "Unknown Customer")</f>
        <v>Elizabeth Martinez</v>
      </c>
      <c r="D864" s="1">
        <v>45664</v>
      </c>
      <c r="E864" s="1" t="str">
        <f t="shared" si="39"/>
        <v>2025-01</v>
      </c>
      <c r="F864" t="s">
        <v>19</v>
      </c>
      <c r="G864" t="s">
        <v>17</v>
      </c>
      <c r="H864">
        <v>1</v>
      </c>
      <c r="I864" s="2">
        <v>19</v>
      </c>
      <c r="J864" s="2">
        <f t="shared" si="40"/>
        <v>19</v>
      </c>
      <c r="K864" s="2" t="str">
        <f t="shared" si="41"/>
        <v>Sale</v>
      </c>
      <c r="L864" t="s">
        <v>8</v>
      </c>
    </row>
    <row r="865" spans="1:12" x14ac:dyDescent="0.25">
      <c r="A865">
        <v>5863</v>
      </c>
      <c r="B865">
        <v>34</v>
      </c>
      <c r="C865" s="5" t="str">
        <f>IFERROR(_xlfn.XLOOKUP(B865, Customers_raw!A:A, Customers_raw!B:B), "Unknown Customer")</f>
        <v>Joseph Jackson</v>
      </c>
      <c r="D865" s="1">
        <v>45670</v>
      </c>
      <c r="E865" s="1" t="str">
        <f t="shared" si="39"/>
        <v>2025-01</v>
      </c>
      <c r="F865" t="s">
        <v>11</v>
      </c>
      <c r="G865" t="s">
        <v>6</v>
      </c>
      <c r="H865">
        <v>1</v>
      </c>
      <c r="I865" s="2">
        <v>15</v>
      </c>
      <c r="J865" s="2">
        <f t="shared" si="40"/>
        <v>15</v>
      </c>
      <c r="K865" s="2" t="str">
        <f t="shared" si="41"/>
        <v>Sale</v>
      </c>
      <c r="L865" t="s">
        <v>23</v>
      </c>
    </row>
    <row r="866" spans="1:12" x14ac:dyDescent="0.25">
      <c r="A866">
        <v>5864</v>
      </c>
      <c r="B866">
        <v>28</v>
      </c>
      <c r="C866" s="5" t="str">
        <f>IFERROR(_xlfn.XLOOKUP(B866, Customers_raw!A:A, Customers_raw!B:B), "Unknown Customer")</f>
        <v>Michael Lopez</v>
      </c>
      <c r="D866" s="1">
        <v>45660</v>
      </c>
      <c r="E866" s="1" t="str">
        <f t="shared" si="39"/>
        <v>2025-01</v>
      </c>
      <c r="F866" t="s">
        <v>11</v>
      </c>
      <c r="G866" t="s">
        <v>6</v>
      </c>
      <c r="H866">
        <v>1</v>
      </c>
      <c r="I866" s="2">
        <v>15</v>
      </c>
      <c r="J866" s="2">
        <f t="shared" si="40"/>
        <v>15</v>
      </c>
      <c r="K866" s="2" t="str">
        <f t="shared" si="41"/>
        <v>Sale</v>
      </c>
      <c r="L866" t="s">
        <v>8</v>
      </c>
    </row>
    <row r="867" spans="1:12" x14ac:dyDescent="0.25">
      <c r="A867">
        <v>5865</v>
      </c>
      <c r="B867">
        <v>33</v>
      </c>
      <c r="C867" s="5" t="str">
        <f>IFERROR(_xlfn.XLOOKUP(B867, Customers_raw!A:A, Customers_raw!B:B), "Unknown Customer")</f>
        <v>Jennifer White</v>
      </c>
      <c r="D867" s="1">
        <v>45954</v>
      </c>
      <c r="E867" s="1" t="str">
        <f t="shared" si="39"/>
        <v>2025-10</v>
      </c>
      <c r="F867" t="s">
        <v>12</v>
      </c>
      <c r="G867" t="s">
        <v>10</v>
      </c>
      <c r="H867">
        <v>-2</v>
      </c>
      <c r="I867" s="2">
        <v>22</v>
      </c>
      <c r="J867" s="2">
        <f t="shared" si="40"/>
        <v>-44</v>
      </c>
      <c r="K867" s="2" t="str">
        <f t="shared" si="41"/>
        <v>Return</v>
      </c>
      <c r="L867" t="s">
        <v>23</v>
      </c>
    </row>
    <row r="868" spans="1:12" x14ac:dyDescent="0.25">
      <c r="A868">
        <v>5866</v>
      </c>
      <c r="B868">
        <v>54</v>
      </c>
      <c r="C868" s="5" t="str">
        <f>IFERROR(_xlfn.XLOOKUP(B868, Customers_raw!A:A, Customers_raw!B:B), "Unknown Customer")</f>
        <v>Donald Moore</v>
      </c>
      <c r="D868" s="1">
        <v>45792</v>
      </c>
      <c r="E868" s="1" t="str">
        <f t="shared" si="39"/>
        <v>2025-05</v>
      </c>
      <c r="F868" t="s">
        <v>21</v>
      </c>
      <c r="G868" t="s">
        <v>17</v>
      </c>
      <c r="H868">
        <v>2</v>
      </c>
      <c r="I868" s="2">
        <v>60</v>
      </c>
      <c r="J868" s="2">
        <f t="shared" si="40"/>
        <v>120</v>
      </c>
      <c r="K868" s="2" t="str">
        <f t="shared" si="41"/>
        <v>Sale</v>
      </c>
      <c r="L868" t="s">
        <v>27</v>
      </c>
    </row>
    <row r="869" spans="1:12" x14ac:dyDescent="0.25">
      <c r="A869">
        <v>5867</v>
      </c>
      <c r="B869">
        <v>82</v>
      </c>
      <c r="C869" s="5" t="str">
        <f>IFERROR(_xlfn.XLOOKUP(B869, Customers_raw!A:A, Customers_raw!B:B), "Unknown Customer")</f>
        <v>Thomas Ramirez</v>
      </c>
      <c r="D869" s="1">
        <v>45969</v>
      </c>
      <c r="E869" s="1" t="str">
        <f t="shared" si="39"/>
        <v>2025-11</v>
      </c>
      <c r="F869" t="s">
        <v>18</v>
      </c>
      <c r="G869" t="s">
        <v>6</v>
      </c>
      <c r="H869">
        <v>1</v>
      </c>
      <c r="I869" s="2">
        <v>89</v>
      </c>
      <c r="J869" s="2">
        <f t="shared" si="40"/>
        <v>89</v>
      </c>
      <c r="K869" s="2" t="str">
        <f t="shared" si="41"/>
        <v>Sale</v>
      </c>
      <c r="L869" t="s">
        <v>27</v>
      </c>
    </row>
    <row r="870" spans="1:12" x14ac:dyDescent="0.25">
      <c r="A870">
        <v>5868</v>
      </c>
      <c r="B870">
        <v>90</v>
      </c>
      <c r="C870" s="5" t="str">
        <f>IFERROR(_xlfn.XLOOKUP(B870, Customers_raw!A:A, Customers_raw!B:B), "Unknown Customer")</f>
        <v>John Harris</v>
      </c>
      <c r="D870" s="1">
        <v>45779</v>
      </c>
      <c r="E870" s="1" t="str">
        <f t="shared" si="39"/>
        <v>2025-05</v>
      </c>
      <c r="F870" t="s">
        <v>15</v>
      </c>
      <c r="G870" t="s">
        <v>7</v>
      </c>
      <c r="H870">
        <v>2</v>
      </c>
      <c r="I870" s="2">
        <v>70</v>
      </c>
      <c r="J870" s="2">
        <f t="shared" si="40"/>
        <v>140</v>
      </c>
      <c r="K870" s="2" t="str">
        <f t="shared" si="41"/>
        <v>Sale</v>
      </c>
      <c r="L870" t="s">
        <v>5</v>
      </c>
    </row>
    <row r="871" spans="1:12" x14ac:dyDescent="0.25">
      <c r="A871">
        <v>5869</v>
      </c>
      <c r="B871">
        <v>86</v>
      </c>
      <c r="C871" s="5" t="str">
        <f>IFERROR(_xlfn.XLOOKUP(B871, Customers_raw!A:A, Customers_raw!B:B), "Unknown Customer")</f>
        <v>Steven Jones</v>
      </c>
      <c r="D871" s="1">
        <v>45756</v>
      </c>
      <c r="E871" s="1" t="str">
        <f t="shared" si="39"/>
        <v>2025-04</v>
      </c>
      <c r="F871" t="s">
        <v>16</v>
      </c>
      <c r="G871" t="s">
        <v>10</v>
      </c>
      <c r="H871">
        <v>2</v>
      </c>
      <c r="I871" s="2">
        <v>31</v>
      </c>
      <c r="J871" s="2">
        <f t="shared" si="40"/>
        <v>62</v>
      </c>
      <c r="K871" s="2" t="str">
        <f t="shared" si="41"/>
        <v>Sale</v>
      </c>
      <c r="L871" t="s">
        <v>8</v>
      </c>
    </row>
    <row r="872" spans="1:12" x14ac:dyDescent="0.25">
      <c r="A872">
        <v>5870</v>
      </c>
      <c r="B872">
        <v>92</v>
      </c>
      <c r="C872" s="5" t="str">
        <f>IFERROR(_xlfn.XLOOKUP(B872, Customers_raw!A:A, Customers_raw!B:B), "Unknown Customer")</f>
        <v>Joseph Harris</v>
      </c>
      <c r="D872" s="1">
        <v>45679</v>
      </c>
      <c r="E872" s="1" t="str">
        <f t="shared" si="39"/>
        <v>2025-01</v>
      </c>
      <c r="F872" t="s">
        <v>11</v>
      </c>
      <c r="G872" t="s">
        <v>6</v>
      </c>
      <c r="H872">
        <v>1</v>
      </c>
      <c r="I872" s="2">
        <v>18</v>
      </c>
      <c r="J872" s="2">
        <f t="shared" si="40"/>
        <v>18</v>
      </c>
      <c r="K872" s="2" t="str">
        <f t="shared" si="41"/>
        <v>Sale</v>
      </c>
      <c r="L872" t="s">
        <v>27</v>
      </c>
    </row>
    <row r="873" spans="1:12" x14ac:dyDescent="0.25">
      <c r="A873">
        <v>5871</v>
      </c>
      <c r="B873">
        <v>66</v>
      </c>
      <c r="C873" s="5" t="str">
        <f>IFERROR(_xlfn.XLOOKUP(B873, Customers_raw!A:A, Customers_raw!B:B), "Unknown Customer")</f>
        <v>Barbara Anderson</v>
      </c>
      <c r="D873" s="1">
        <v>45747</v>
      </c>
      <c r="E873" s="1" t="str">
        <f t="shared" si="39"/>
        <v>2025-03</v>
      </c>
      <c r="F873" t="s">
        <v>15</v>
      </c>
      <c r="G873" t="s">
        <v>7</v>
      </c>
      <c r="H873">
        <v>2</v>
      </c>
      <c r="I873" s="2">
        <v>73</v>
      </c>
      <c r="J873" s="2">
        <f t="shared" si="40"/>
        <v>146</v>
      </c>
      <c r="K873" s="2" t="str">
        <f t="shared" si="41"/>
        <v>Sale</v>
      </c>
      <c r="L873" t="s">
        <v>27</v>
      </c>
    </row>
    <row r="874" spans="1:12" x14ac:dyDescent="0.25">
      <c r="A874">
        <v>5872</v>
      </c>
      <c r="B874">
        <v>39</v>
      </c>
      <c r="C874" s="5" t="str">
        <f>IFERROR(_xlfn.XLOOKUP(B874, Customers_raw!A:A, Customers_raw!B:B), "Unknown Customer")</f>
        <v>Donald Lee</v>
      </c>
      <c r="D874" s="1">
        <v>45956</v>
      </c>
      <c r="E874" s="1" t="str">
        <f t="shared" si="39"/>
        <v>2025-10</v>
      </c>
      <c r="F874" t="s">
        <v>9</v>
      </c>
      <c r="G874" t="s">
        <v>6</v>
      </c>
      <c r="H874">
        <v>2</v>
      </c>
      <c r="I874" s="2">
        <v>42</v>
      </c>
      <c r="J874" s="2">
        <f t="shared" si="40"/>
        <v>84</v>
      </c>
      <c r="K874" s="2" t="str">
        <f t="shared" si="41"/>
        <v>Sale</v>
      </c>
      <c r="L874" t="s">
        <v>8</v>
      </c>
    </row>
    <row r="875" spans="1:12" x14ac:dyDescent="0.25">
      <c r="A875">
        <v>5873</v>
      </c>
      <c r="B875">
        <v>27</v>
      </c>
      <c r="C875" s="5" t="str">
        <f>IFERROR(_xlfn.XLOOKUP(B875, Customers_raw!A:A, Customers_raw!B:B), "Unknown Customer")</f>
        <v>Nancy Lee</v>
      </c>
      <c r="D875" s="1">
        <v>45962</v>
      </c>
      <c r="E875" s="1" t="str">
        <f t="shared" si="39"/>
        <v>2025-11</v>
      </c>
      <c r="F875" t="s">
        <v>11</v>
      </c>
      <c r="G875" t="s">
        <v>6</v>
      </c>
      <c r="H875">
        <v>2</v>
      </c>
      <c r="I875" s="2">
        <v>18</v>
      </c>
      <c r="J875" s="2">
        <f t="shared" si="40"/>
        <v>36</v>
      </c>
      <c r="K875" s="2" t="str">
        <f t="shared" si="41"/>
        <v>Sale</v>
      </c>
      <c r="L875" t="s">
        <v>5</v>
      </c>
    </row>
    <row r="876" spans="1:12" x14ac:dyDescent="0.25">
      <c r="A876">
        <v>5874</v>
      </c>
      <c r="B876">
        <v>109</v>
      </c>
      <c r="C876" s="5" t="str">
        <f>IFERROR(_xlfn.XLOOKUP(B876, Customers_raw!A:A, Customers_raw!B:B), "Unknown Customer")</f>
        <v>Richard Sanchez</v>
      </c>
      <c r="D876" s="1">
        <v>45772</v>
      </c>
      <c r="E876" s="1" t="str">
        <f t="shared" si="39"/>
        <v>2025-04</v>
      </c>
      <c r="F876" t="s">
        <v>13</v>
      </c>
      <c r="G876" t="s">
        <v>7</v>
      </c>
      <c r="H876">
        <v>1</v>
      </c>
      <c r="I876" s="2">
        <v>32</v>
      </c>
      <c r="J876" s="2">
        <f t="shared" si="40"/>
        <v>32</v>
      </c>
      <c r="K876" s="2" t="str">
        <f t="shared" si="41"/>
        <v>Sale</v>
      </c>
      <c r="L876" t="s">
        <v>27</v>
      </c>
    </row>
    <row r="877" spans="1:12" x14ac:dyDescent="0.25">
      <c r="A877">
        <v>5875</v>
      </c>
      <c r="B877">
        <v>93</v>
      </c>
      <c r="C877" s="5" t="str">
        <f>IFERROR(_xlfn.XLOOKUP(B877, Customers_raw!A:A, Customers_raw!B:B), "Unknown Customer")</f>
        <v>Charles Sanchez</v>
      </c>
      <c r="D877" s="1">
        <v>45997</v>
      </c>
      <c r="E877" s="1" t="str">
        <f t="shared" si="39"/>
        <v>2025-12</v>
      </c>
      <c r="F877" t="s">
        <v>22</v>
      </c>
      <c r="G877" t="s">
        <v>17</v>
      </c>
      <c r="H877">
        <v>3</v>
      </c>
      <c r="I877" s="2">
        <v>21</v>
      </c>
      <c r="J877" s="2">
        <f t="shared" si="40"/>
        <v>63</v>
      </c>
      <c r="K877" s="2" t="str">
        <f t="shared" si="41"/>
        <v>Sale</v>
      </c>
      <c r="L877" t="s">
        <v>27</v>
      </c>
    </row>
    <row r="878" spans="1:12" x14ac:dyDescent="0.25">
      <c r="A878">
        <v>5876</v>
      </c>
      <c r="B878">
        <v>6</v>
      </c>
      <c r="C878" s="5" t="str">
        <f>IFERROR(_xlfn.XLOOKUP(B878, Customers_raw!A:A, Customers_raw!B:B), "Unknown Customer")</f>
        <v>David Martinez</v>
      </c>
      <c r="D878" s="1">
        <v>45978</v>
      </c>
      <c r="E878" s="1" t="str">
        <f t="shared" si="39"/>
        <v>2025-11</v>
      </c>
      <c r="F878" t="s">
        <v>18</v>
      </c>
      <c r="G878" t="s">
        <v>6</v>
      </c>
      <c r="H878">
        <v>2</v>
      </c>
      <c r="I878" s="2">
        <v>89</v>
      </c>
      <c r="J878" s="2">
        <f t="shared" si="40"/>
        <v>178</v>
      </c>
      <c r="K878" s="2" t="str">
        <f t="shared" si="41"/>
        <v>Sale</v>
      </c>
      <c r="L878" t="s">
        <v>5</v>
      </c>
    </row>
    <row r="879" spans="1:12" x14ac:dyDescent="0.25">
      <c r="A879">
        <v>5877</v>
      </c>
      <c r="B879">
        <v>105</v>
      </c>
      <c r="C879" s="5" t="str">
        <f>IFERROR(_xlfn.XLOOKUP(B879, Customers_raw!A:A, Customers_raw!B:B), "Unknown Customer")</f>
        <v>Betty Brown</v>
      </c>
      <c r="D879" s="1">
        <v>45670</v>
      </c>
      <c r="E879" s="1" t="str">
        <f t="shared" si="39"/>
        <v>2025-01</v>
      </c>
      <c r="F879" t="s">
        <v>15</v>
      </c>
      <c r="G879" t="s">
        <v>7</v>
      </c>
      <c r="H879">
        <v>2</v>
      </c>
      <c r="I879" s="2">
        <v>70</v>
      </c>
      <c r="J879" s="2">
        <f t="shared" si="40"/>
        <v>140</v>
      </c>
      <c r="K879" s="2" t="str">
        <f t="shared" si="41"/>
        <v>Sale</v>
      </c>
      <c r="L879" t="s">
        <v>5</v>
      </c>
    </row>
    <row r="880" spans="1:12" x14ac:dyDescent="0.25">
      <c r="A880">
        <v>5878</v>
      </c>
      <c r="B880">
        <v>87</v>
      </c>
      <c r="C880" s="5" t="str">
        <f>IFERROR(_xlfn.XLOOKUP(B880, Customers_raw!A:A, Customers_raw!B:B), "Unknown Customer")</f>
        <v>Joseph Williams</v>
      </c>
      <c r="D880" s="1">
        <v>45875</v>
      </c>
      <c r="E880" s="1" t="str">
        <f t="shared" si="39"/>
        <v>2025-08</v>
      </c>
      <c r="F880" t="s">
        <v>21</v>
      </c>
      <c r="G880" t="s">
        <v>17</v>
      </c>
      <c r="H880">
        <v>3</v>
      </c>
      <c r="I880" s="2">
        <v>57</v>
      </c>
      <c r="J880" s="2">
        <f t="shared" si="40"/>
        <v>171</v>
      </c>
      <c r="K880" s="2" t="str">
        <f t="shared" si="41"/>
        <v>Sale</v>
      </c>
      <c r="L880" t="s">
        <v>27</v>
      </c>
    </row>
    <row r="881" spans="1:12" x14ac:dyDescent="0.25">
      <c r="A881">
        <v>5879</v>
      </c>
      <c r="B881">
        <v>91</v>
      </c>
      <c r="C881" s="5" t="str">
        <f>IFERROR(_xlfn.XLOOKUP(B881, Customers_raw!A:A, Customers_raw!B:B), "Unknown Customer")</f>
        <v>Donald Rodriguez</v>
      </c>
      <c r="D881" s="1">
        <v>45680</v>
      </c>
      <c r="E881" s="1" t="str">
        <f t="shared" si="39"/>
        <v>2025-01</v>
      </c>
      <c r="F881" t="s">
        <v>19</v>
      </c>
      <c r="G881" t="s">
        <v>17</v>
      </c>
      <c r="H881">
        <v>1</v>
      </c>
      <c r="I881" s="2">
        <v>22</v>
      </c>
      <c r="J881" s="2">
        <f t="shared" si="40"/>
        <v>22</v>
      </c>
      <c r="K881" s="2" t="str">
        <f t="shared" si="41"/>
        <v>Sale</v>
      </c>
      <c r="L881" t="s">
        <v>27</v>
      </c>
    </row>
    <row r="882" spans="1:12" x14ac:dyDescent="0.25">
      <c r="A882">
        <v>5880</v>
      </c>
      <c r="B882">
        <v>85</v>
      </c>
      <c r="C882" s="5" t="str">
        <f>IFERROR(_xlfn.XLOOKUP(B882, Customers_raw!A:A, Customers_raw!B:B), "Unknown Customer")</f>
        <v>Elizabeth Martinez</v>
      </c>
      <c r="D882" s="1">
        <v>45798</v>
      </c>
      <c r="E882" s="1" t="str">
        <f t="shared" si="39"/>
        <v>2025-05</v>
      </c>
      <c r="F882" t="s">
        <v>18</v>
      </c>
      <c r="G882" t="s">
        <v>6</v>
      </c>
      <c r="H882">
        <v>2</v>
      </c>
      <c r="I882" s="2">
        <v>92</v>
      </c>
      <c r="J882" s="2">
        <f t="shared" si="40"/>
        <v>184</v>
      </c>
      <c r="K882" s="2" t="str">
        <f t="shared" si="41"/>
        <v>Sale</v>
      </c>
      <c r="L882" t="s">
        <v>5</v>
      </c>
    </row>
    <row r="883" spans="1:12" x14ac:dyDescent="0.25">
      <c r="A883">
        <v>5881</v>
      </c>
      <c r="B883">
        <v>18</v>
      </c>
      <c r="C883" s="5" t="str">
        <f>IFERROR(_xlfn.XLOOKUP(B883, Customers_raw!A:A, Customers_raw!B:B), "Unknown Customer")</f>
        <v>Susan Sanchez</v>
      </c>
      <c r="D883" s="1">
        <v>45764</v>
      </c>
      <c r="E883" s="1" t="str">
        <f t="shared" si="39"/>
        <v>2025-04</v>
      </c>
      <c r="F883" t="s">
        <v>13</v>
      </c>
      <c r="G883" t="s">
        <v>7</v>
      </c>
      <c r="H883">
        <v>1</v>
      </c>
      <c r="I883" s="2">
        <v>32</v>
      </c>
      <c r="J883" s="2">
        <f t="shared" si="40"/>
        <v>32</v>
      </c>
      <c r="K883" s="2" t="str">
        <f t="shared" si="41"/>
        <v>Sale</v>
      </c>
      <c r="L883" t="s">
        <v>27</v>
      </c>
    </row>
    <row r="884" spans="1:12" x14ac:dyDescent="0.25">
      <c r="A884">
        <v>5882</v>
      </c>
      <c r="B884">
        <v>63</v>
      </c>
      <c r="C884" s="5" t="str">
        <f>IFERROR(_xlfn.XLOOKUP(B884, Customers_raw!A:A, Customers_raw!B:B), "Unknown Customer")</f>
        <v>Joseph Robinson</v>
      </c>
      <c r="D884" s="1">
        <v>45843</v>
      </c>
      <c r="E884" s="1" t="str">
        <f t="shared" si="39"/>
        <v>2025-07</v>
      </c>
      <c r="F884" t="s">
        <v>14</v>
      </c>
      <c r="G884" t="s">
        <v>7</v>
      </c>
      <c r="H884">
        <v>2</v>
      </c>
      <c r="I884" s="2">
        <v>55</v>
      </c>
      <c r="J884" s="2">
        <f t="shared" si="40"/>
        <v>110</v>
      </c>
      <c r="K884" s="2" t="str">
        <f t="shared" si="41"/>
        <v>Sale</v>
      </c>
      <c r="L884" t="s">
        <v>27</v>
      </c>
    </row>
    <row r="885" spans="1:12" x14ac:dyDescent="0.25">
      <c r="A885">
        <v>5883</v>
      </c>
      <c r="B885">
        <v>14</v>
      </c>
      <c r="C885" s="5" t="str">
        <f>IFERROR(_xlfn.XLOOKUP(B885, Customers_raw!A:A, Customers_raw!B:B), "Unknown Customer")</f>
        <v>Christopher Hernandez</v>
      </c>
      <c r="D885" s="1">
        <v>45957</v>
      </c>
      <c r="E885" s="1" t="str">
        <f t="shared" si="39"/>
        <v>2025-10</v>
      </c>
      <c r="F885" t="s">
        <v>13</v>
      </c>
      <c r="G885" t="s">
        <v>7</v>
      </c>
      <c r="H885">
        <v>2</v>
      </c>
      <c r="I885" s="2">
        <v>32</v>
      </c>
      <c r="J885" s="2">
        <f t="shared" si="40"/>
        <v>64</v>
      </c>
      <c r="K885" s="2" t="str">
        <f t="shared" si="41"/>
        <v>Sale</v>
      </c>
      <c r="L885" t="s">
        <v>27</v>
      </c>
    </row>
    <row r="886" spans="1:12" x14ac:dyDescent="0.25">
      <c r="A886">
        <v>5884</v>
      </c>
      <c r="B886">
        <v>19</v>
      </c>
      <c r="C886" s="5" t="str">
        <f>IFERROR(_xlfn.XLOOKUP(B886, Customers_raw!A:A, Customers_raw!B:B), "Unknown Customer")</f>
        <v>Ashley Williams</v>
      </c>
      <c r="D886" s="1">
        <v>45864</v>
      </c>
      <c r="E886" s="1" t="str">
        <f t="shared" si="39"/>
        <v>2025-07</v>
      </c>
      <c r="F886" t="s">
        <v>15</v>
      </c>
      <c r="G886" t="s">
        <v>7</v>
      </c>
      <c r="H886">
        <v>2</v>
      </c>
      <c r="I886" s="2">
        <v>70</v>
      </c>
      <c r="J886" s="2">
        <f t="shared" si="40"/>
        <v>140</v>
      </c>
      <c r="K886" s="2" t="str">
        <f t="shared" si="41"/>
        <v>Sale</v>
      </c>
      <c r="L886" t="s">
        <v>8</v>
      </c>
    </row>
    <row r="887" spans="1:12" x14ac:dyDescent="0.25">
      <c r="A887">
        <v>5885</v>
      </c>
      <c r="B887">
        <v>31</v>
      </c>
      <c r="C887" s="5" t="str">
        <f>IFERROR(_xlfn.XLOOKUP(B887, Customers_raw!A:A, Customers_raw!B:B), "Unknown Customer")</f>
        <v>Nancy Harris</v>
      </c>
      <c r="D887" s="1">
        <v>45893</v>
      </c>
      <c r="E887" s="1" t="str">
        <f t="shared" si="39"/>
        <v>2025-08</v>
      </c>
      <c r="F887" t="s">
        <v>12</v>
      </c>
      <c r="G887" t="s">
        <v>10</v>
      </c>
      <c r="H887">
        <v>2</v>
      </c>
      <c r="I887" s="2">
        <v>19</v>
      </c>
      <c r="J887" s="2">
        <f t="shared" si="40"/>
        <v>38</v>
      </c>
      <c r="K887" s="2" t="str">
        <f t="shared" si="41"/>
        <v>Sale</v>
      </c>
      <c r="L887" t="s">
        <v>27</v>
      </c>
    </row>
    <row r="888" spans="1:12" x14ac:dyDescent="0.25">
      <c r="A888">
        <v>5886</v>
      </c>
      <c r="B888">
        <v>28</v>
      </c>
      <c r="C888" s="5" t="str">
        <f>IFERROR(_xlfn.XLOOKUP(B888, Customers_raw!A:A, Customers_raw!B:B), "Unknown Customer")</f>
        <v>Michael Lopez</v>
      </c>
      <c r="D888" s="1">
        <v>45666</v>
      </c>
      <c r="E888" s="1" t="str">
        <f t="shared" si="39"/>
        <v>2025-01</v>
      </c>
      <c r="F888" t="s">
        <v>20</v>
      </c>
      <c r="G888" t="s">
        <v>10</v>
      </c>
      <c r="H888">
        <v>1</v>
      </c>
      <c r="I888" s="2">
        <v>65</v>
      </c>
      <c r="J888" s="2">
        <f t="shared" si="40"/>
        <v>65</v>
      </c>
      <c r="K888" s="2" t="str">
        <f t="shared" si="41"/>
        <v>Sale</v>
      </c>
      <c r="L888" t="s">
        <v>8</v>
      </c>
    </row>
    <row r="889" spans="1:12" x14ac:dyDescent="0.25">
      <c r="A889">
        <v>5887</v>
      </c>
      <c r="B889">
        <v>7</v>
      </c>
      <c r="C889" s="5" t="str">
        <f>IFERROR(_xlfn.XLOOKUP(B889, Customers_raw!A:A, Customers_raw!B:B), "Unknown Customer")</f>
        <v>Emily Ramirez</v>
      </c>
      <c r="D889" s="1">
        <v>45750</v>
      </c>
      <c r="E889" s="1" t="str">
        <f t="shared" si="39"/>
        <v>2025-04</v>
      </c>
      <c r="F889" t="s">
        <v>14</v>
      </c>
      <c r="G889" t="s">
        <v>7</v>
      </c>
      <c r="H889">
        <v>1</v>
      </c>
      <c r="I889" s="2">
        <v>55</v>
      </c>
      <c r="J889" s="2">
        <f t="shared" si="40"/>
        <v>55</v>
      </c>
      <c r="K889" s="2" t="str">
        <f t="shared" si="41"/>
        <v>Sale</v>
      </c>
      <c r="L889" t="s">
        <v>8</v>
      </c>
    </row>
    <row r="890" spans="1:12" x14ac:dyDescent="0.25">
      <c r="A890">
        <v>5888</v>
      </c>
      <c r="B890">
        <v>39</v>
      </c>
      <c r="C890" s="5" t="str">
        <f>IFERROR(_xlfn.XLOOKUP(B890, Customers_raw!A:A, Customers_raw!B:B), "Unknown Customer")</f>
        <v>Donald Lee</v>
      </c>
      <c r="D890" s="1">
        <v>45982</v>
      </c>
      <c r="E890" s="1" t="str">
        <f t="shared" si="39"/>
        <v>2025-11</v>
      </c>
      <c r="F890" t="s">
        <v>19</v>
      </c>
      <c r="G890" t="s">
        <v>17</v>
      </c>
      <c r="H890">
        <v>1</v>
      </c>
      <c r="I890" s="2">
        <v>22</v>
      </c>
      <c r="J890" s="2">
        <f t="shared" si="40"/>
        <v>22</v>
      </c>
      <c r="K890" s="2" t="str">
        <f t="shared" si="41"/>
        <v>Sale</v>
      </c>
      <c r="L890" t="s">
        <v>8</v>
      </c>
    </row>
    <row r="891" spans="1:12" x14ac:dyDescent="0.25">
      <c r="A891">
        <v>5889</v>
      </c>
      <c r="B891">
        <v>22</v>
      </c>
      <c r="C891" s="5" t="str">
        <f>IFERROR(_xlfn.XLOOKUP(B891, Customers_raw!A:A, Customers_raw!B:B), "Unknown Customer")</f>
        <v>Joseph Thompson</v>
      </c>
      <c r="D891" s="1">
        <v>45834</v>
      </c>
      <c r="E891" s="1" t="str">
        <f t="shared" si="39"/>
        <v>2025-06</v>
      </c>
      <c r="F891" t="s">
        <v>16</v>
      </c>
      <c r="G891" t="s">
        <v>10</v>
      </c>
      <c r="H891">
        <v>1</v>
      </c>
      <c r="I891" s="2">
        <v>25</v>
      </c>
      <c r="J891" s="2">
        <f t="shared" si="40"/>
        <v>25</v>
      </c>
      <c r="K891" s="2" t="str">
        <f t="shared" si="41"/>
        <v>Sale</v>
      </c>
      <c r="L891" t="s">
        <v>8</v>
      </c>
    </row>
    <row r="892" spans="1:12" x14ac:dyDescent="0.25">
      <c r="A892">
        <v>5890</v>
      </c>
      <c r="B892">
        <v>14</v>
      </c>
      <c r="C892" s="5" t="str">
        <f>IFERROR(_xlfn.XLOOKUP(B892, Customers_raw!A:A, Customers_raw!B:B), "Unknown Customer")</f>
        <v>Christopher Hernandez</v>
      </c>
      <c r="D892" s="1">
        <v>45829</v>
      </c>
      <c r="E892" s="1" t="str">
        <f t="shared" si="39"/>
        <v>2025-06</v>
      </c>
      <c r="F892" t="s">
        <v>12</v>
      </c>
      <c r="G892" t="s">
        <v>10</v>
      </c>
      <c r="H892">
        <v>3</v>
      </c>
      <c r="I892" s="2">
        <v>19</v>
      </c>
      <c r="J892" s="2">
        <f t="shared" si="40"/>
        <v>57</v>
      </c>
      <c r="K892" s="2" t="str">
        <f t="shared" si="41"/>
        <v>Sale</v>
      </c>
      <c r="L892" t="s">
        <v>27</v>
      </c>
    </row>
    <row r="893" spans="1:12" x14ac:dyDescent="0.25">
      <c r="A893">
        <v>5891</v>
      </c>
      <c r="B893">
        <v>1</v>
      </c>
      <c r="C893" s="5" t="str">
        <f>IFERROR(_xlfn.XLOOKUP(B893, Customers_raw!A:A, Customers_raw!B:B), "Unknown Customer")</f>
        <v>Christopher Jones</v>
      </c>
      <c r="D893" s="1">
        <v>45953</v>
      </c>
      <c r="E893" s="1" t="str">
        <f t="shared" si="39"/>
        <v>2025-10</v>
      </c>
      <c r="F893" t="s">
        <v>13</v>
      </c>
      <c r="G893" t="s">
        <v>7</v>
      </c>
      <c r="H893">
        <v>2</v>
      </c>
      <c r="I893" s="2">
        <v>32.154639175257735</v>
      </c>
      <c r="J893" s="2">
        <f t="shared" si="40"/>
        <v>64.30927835051547</v>
      </c>
      <c r="K893" s="2" t="str">
        <f t="shared" si="41"/>
        <v>Sale</v>
      </c>
      <c r="L893" t="s">
        <v>8</v>
      </c>
    </row>
    <row r="894" spans="1:12" x14ac:dyDescent="0.25">
      <c r="A894">
        <v>5892</v>
      </c>
      <c r="B894">
        <v>81</v>
      </c>
      <c r="C894" s="5" t="str">
        <f>IFERROR(_xlfn.XLOOKUP(B894, Customers_raw!A:A, Customers_raw!B:B), "Unknown Customer")</f>
        <v>Sarah Moore</v>
      </c>
      <c r="D894" s="1">
        <v>45749</v>
      </c>
      <c r="E894" s="1" t="str">
        <f t="shared" si="39"/>
        <v>2025-04</v>
      </c>
      <c r="F894" t="s">
        <v>14</v>
      </c>
      <c r="G894" t="s">
        <v>7</v>
      </c>
      <c r="H894">
        <v>1</v>
      </c>
      <c r="I894" s="2">
        <v>58</v>
      </c>
      <c r="J894" s="2">
        <f t="shared" si="40"/>
        <v>58</v>
      </c>
      <c r="K894" s="2" t="str">
        <f t="shared" si="41"/>
        <v>Sale</v>
      </c>
      <c r="L894" t="s">
        <v>27</v>
      </c>
    </row>
    <row r="895" spans="1:12" x14ac:dyDescent="0.25">
      <c r="A895">
        <v>5893</v>
      </c>
      <c r="B895">
        <v>51</v>
      </c>
      <c r="C895" s="5" t="str">
        <f>IFERROR(_xlfn.XLOOKUP(B895, Customers_raw!A:A, Customers_raw!B:B), "Unknown Customer")</f>
        <v>Patricia Hernandez</v>
      </c>
      <c r="D895" s="1">
        <v>45846</v>
      </c>
      <c r="E895" s="1" t="str">
        <f t="shared" si="39"/>
        <v>2025-07</v>
      </c>
      <c r="F895" t="s">
        <v>20</v>
      </c>
      <c r="G895" t="s">
        <v>10</v>
      </c>
      <c r="H895">
        <v>1</v>
      </c>
      <c r="I895" s="2">
        <v>65</v>
      </c>
      <c r="J895" s="2">
        <f t="shared" si="40"/>
        <v>65</v>
      </c>
      <c r="K895" s="2" t="str">
        <f t="shared" si="41"/>
        <v>Sale</v>
      </c>
      <c r="L895" t="s">
        <v>8</v>
      </c>
    </row>
    <row r="896" spans="1:12" x14ac:dyDescent="0.25">
      <c r="A896">
        <v>5894</v>
      </c>
      <c r="B896">
        <v>3</v>
      </c>
      <c r="C896" s="5" t="str">
        <f>IFERROR(_xlfn.XLOOKUP(B896, Customers_raw!A:A, Customers_raw!B:B), "Unknown Customer")</f>
        <v>Anthony Williams</v>
      </c>
      <c r="D896" s="1">
        <v>45716</v>
      </c>
      <c r="E896" s="1" t="str">
        <f t="shared" si="39"/>
        <v>2025-02</v>
      </c>
      <c r="F896" t="s">
        <v>11</v>
      </c>
      <c r="G896" t="s">
        <v>6</v>
      </c>
      <c r="H896">
        <v>2</v>
      </c>
      <c r="I896" s="2">
        <v>18</v>
      </c>
      <c r="J896" s="2">
        <f t="shared" si="40"/>
        <v>36</v>
      </c>
      <c r="K896" s="2" t="str">
        <f t="shared" si="41"/>
        <v>Sale</v>
      </c>
      <c r="L896" t="s">
        <v>5</v>
      </c>
    </row>
    <row r="897" spans="1:12" x14ac:dyDescent="0.25">
      <c r="A897">
        <v>5895</v>
      </c>
      <c r="B897">
        <v>5</v>
      </c>
      <c r="C897" s="5" t="str">
        <f>IFERROR(_xlfn.XLOOKUP(B897, Customers_raw!A:A, Customers_raw!B:B), "Unknown Customer")</f>
        <v>Joshua Martin</v>
      </c>
      <c r="D897" s="1">
        <v>45947</v>
      </c>
      <c r="E897" s="1" t="str">
        <f t="shared" si="39"/>
        <v>2025-10</v>
      </c>
      <c r="F897" t="s">
        <v>9</v>
      </c>
      <c r="G897" t="s">
        <v>6</v>
      </c>
      <c r="H897">
        <v>1</v>
      </c>
      <c r="I897" s="2">
        <v>42</v>
      </c>
      <c r="J897" s="2">
        <f t="shared" si="40"/>
        <v>42</v>
      </c>
      <c r="K897" s="2" t="str">
        <f t="shared" si="41"/>
        <v>Sale</v>
      </c>
      <c r="L897" t="s">
        <v>8</v>
      </c>
    </row>
    <row r="898" spans="1:12" x14ac:dyDescent="0.25">
      <c r="A898">
        <v>5896</v>
      </c>
      <c r="B898">
        <v>87</v>
      </c>
      <c r="C898" s="5" t="str">
        <f>IFERROR(_xlfn.XLOOKUP(B898, Customers_raw!A:A, Customers_raw!B:B), "Unknown Customer")</f>
        <v>Joseph Williams</v>
      </c>
      <c r="D898" s="1">
        <v>45687</v>
      </c>
      <c r="E898" s="1" t="str">
        <f t="shared" si="39"/>
        <v>2025-01</v>
      </c>
      <c r="F898" t="s">
        <v>11</v>
      </c>
      <c r="G898" t="s">
        <v>6</v>
      </c>
      <c r="H898">
        <v>3</v>
      </c>
      <c r="I898" s="2">
        <v>18</v>
      </c>
      <c r="J898" s="2">
        <f t="shared" si="40"/>
        <v>54</v>
      </c>
      <c r="K898" s="2" t="str">
        <f t="shared" si="41"/>
        <v>Sale</v>
      </c>
      <c r="L898" t="s">
        <v>5</v>
      </c>
    </row>
    <row r="899" spans="1:12" x14ac:dyDescent="0.25">
      <c r="A899">
        <v>5897</v>
      </c>
      <c r="B899">
        <v>45</v>
      </c>
      <c r="C899" s="5" t="str">
        <f>IFERROR(_xlfn.XLOOKUP(B899, Customers_raw!A:A, Customers_raw!B:B), "Unknown Customer")</f>
        <v>Michael Moore</v>
      </c>
      <c r="D899" s="1">
        <v>45885</v>
      </c>
      <c r="E899" s="1" t="str">
        <f t="shared" ref="E899:E962" si="42">TEXT(D:D,"YYYY-MM")</f>
        <v>2025-08</v>
      </c>
      <c r="F899" t="s">
        <v>13</v>
      </c>
      <c r="G899" t="s">
        <v>7</v>
      </c>
      <c r="H899">
        <v>1</v>
      </c>
      <c r="I899" s="2">
        <v>32</v>
      </c>
      <c r="J899" s="2">
        <f t="shared" ref="J899:J962" si="43">H899*I899</f>
        <v>32</v>
      </c>
      <c r="K899" s="2" t="str">
        <f t="shared" ref="K899:K962" si="44">IF(H899&lt;0,"Return","Sale")</f>
        <v>Sale</v>
      </c>
      <c r="L899" t="s">
        <v>8</v>
      </c>
    </row>
    <row r="900" spans="1:12" x14ac:dyDescent="0.25">
      <c r="A900">
        <v>5898</v>
      </c>
      <c r="B900">
        <v>45</v>
      </c>
      <c r="C900" s="5" t="str">
        <f>IFERROR(_xlfn.XLOOKUP(B900, Customers_raw!A:A, Customers_raw!B:B), "Unknown Customer")</f>
        <v>Michael Moore</v>
      </c>
      <c r="D900" s="1">
        <v>46019</v>
      </c>
      <c r="E900" s="1" t="str">
        <f t="shared" si="42"/>
        <v>2025-12</v>
      </c>
      <c r="F900" t="s">
        <v>21</v>
      </c>
      <c r="G900" t="s">
        <v>17</v>
      </c>
      <c r="H900">
        <v>1</v>
      </c>
      <c r="I900" s="2">
        <v>57</v>
      </c>
      <c r="J900" s="2">
        <f t="shared" si="43"/>
        <v>57</v>
      </c>
      <c r="K900" s="2" t="str">
        <f t="shared" si="44"/>
        <v>Sale</v>
      </c>
      <c r="L900" t="s">
        <v>8</v>
      </c>
    </row>
    <row r="901" spans="1:12" x14ac:dyDescent="0.25">
      <c r="A901">
        <v>5899</v>
      </c>
      <c r="B901">
        <v>93</v>
      </c>
      <c r="C901" s="5" t="str">
        <f>IFERROR(_xlfn.XLOOKUP(B901, Customers_raw!A:A, Customers_raw!B:B), "Unknown Customer")</f>
        <v>Charles Sanchez</v>
      </c>
      <c r="D901" s="1">
        <v>45850</v>
      </c>
      <c r="E901" s="1" t="str">
        <f t="shared" si="42"/>
        <v>2025-07</v>
      </c>
      <c r="F901" t="s">
        <v>13</v>
      </c>
      <c r="G901" t="s">
        <v>7</v>
      </c>
      <c r="H901">
        <v>2</v>
      </c>
      <c r="I901" s="2">
        <v>32</v>
      </c>
      <c r="J901" s="2">
        <f t="shared" si="43"/>
        <v>64</v>
      </c>
      <c r="K901" s="2" t="str">
        <f t="shared" si="44"/>
        <v>Sale</v>
      </c>
      <c r="L901" t="s">
        <v>8</v>
      </c>
    </row>
    <row r="902" spans="1:12" x14ac:dyDescent="0.25">
      <c r="A902">
        <v>5900</v>
      </c>
      <c r="B902">
        <v>53</v>
      </c>
      <c r="C902" s="5" t="str">
        <f>IFERROR(_xlfn.XLOOKUP(B902, Customers_raw!A:A, Customers_raw!B:B), "Unknown Customer")</f>
        <v>John Thomas</v>
      </c>
      <c r="D902" s="1">
        <v>45915</v>
      </c>
      <c r="E902" s="1" t="str">
        <f t="shared" si="42"/>
        <v>2025-09</v>
      </c>
      <c r="F902" t="s">
        <v>9</v>
      </c>
      <c r="G902" t="s">
        <v>6</v>
      </c>
      <c r="H902">
        <v>2</v>
      </c>
      <c r="I902" s="2">
        <v>45</v>
      </c>
      <c r="J902" s="2">
        <f t="shared" si="43"/>
        <v>90</v>
      </c>
      <c r="K902" s="2" t="str">
        <f t="shared" si="44"/>
        <v>Sale</v>
      </c>
      <c r="L902" t="s">
        <v>27</v>
      </c>
    </row>
    <row r="903" spans="1:12" x14ac:dyDescent="0.25">
      <c r="A903">
        <v>5901</v>
      </c>
      <c r="B903">
        <v>74</v>
      </c>
      <c r="C903" s="5" t="str">
        <f>IFERROR(_xlfn.XLOOKUP(B903, Customers_raw!A:A, Customers_raw!B:B), "Unknown Customer")</f>
        <v>Betty Moore</v>
      </c>
      <c r="D903" s="1">
        <v>45704</v>
      </c>
      <c r="E903" s="1" t="str">
        <f t="shared" si="42"/>
        <v>2025-02</v>
      </c>
      <c r="F903" t="s">
        <v>11</v>
      </c>
      <c r="G903" t="s">
        <v>6</v>
      </c>
      <c r="H903">
        <v>2</v>
      </c>
      <c r="I903" s="2">
        <v>18</v>
      </c>
      <c r="J903" s="2">
        <f t="shared" si="43"/>
        <v>36</v>
      </c>
      <c r="K903" s="2" t="str">
        <f t="shared" si="44"/>
        <v>Sale</v>
      </c>
      <c r="L903" t="s">
        <v>5</v>
      </c>
    </row>
    <row r="904" spans="1:12" x14ac:dyDescent="0.25">
      <c r="A904">
        <v>5902</v>
      </c>
      <c r="B904">
        <v>9</v>
      </c>
      <c r="C904" s="5" t="str">
        <f>IFERROR(_xlfn.XLOOKUP(B904, Customers_raw!A:A, Customers_raw!B:B), "Unknown Customer")</f>
        <v>Andrew Anderson</v>
      </c>
      <c r="D904" s="1">
        <v>45968</v>
      </c>
      <c r="E904" s="1" t="str">
        <f t="shared" si="42"/>
        <v>2025-11</v>
      </c>
      <c r="F904" t="s">
        <v>11</v>
      </c>
      <c r="G904" t="s">
        <v>6</v>
      </c>
      <c r="H904">
        <v>1</v>
      </c>
      <c r="I904" s="2">
        <v>18</v>
      </c>
      <c r="J904" s="2">
        <f t="shared" si="43"/>
        <v>18</v>
      </c>
      <c r="K904" s="2" t="str">
        <f t="shared" si="44"/>
        <v>Sale</v>
      </c>
      <c r="L904" t="s">
        <v>5</v>
      </c>
    </row>
    <row r="905" spans="1:12" x14ac:dyDescent="0.25">
      <c r="A905">
        <v>5903</v>
      </c>
      <c r="B905" t="s">
        <v>23</v>
      </c>
      <c r="C905" s="5" t="str">
        <f>IFERROR(_xlfn.XLOOKUP(B905, Customers_raw!A:A, Customers_raw!B:B), "Unknown Customer")</f>
        <v>Unknown Customer</v>
      </c>
      <c r="D905" s="1">
        <v>45675</v>
      </c>
      <c r="E905" s="1" t="str">
        <f t="shared" si="42"/>
        <v>2025-01</v>
      </c>
      <c r="F905" t="s">
        <v>11</v>
      </c>
      <c r="G905" t="s">
        <v>6</v>
      </c>
      <c r="H905">
        <v>1</v>
      </c>
      <c r="I905" s="2">
        <v>18</v>
      </c>
      <c r="J905" s="2">
        <f t="shared" si="43"/>
        <v>18</v>
      </c>
      <c r="K905" s="2" t="str">
        <f t="shared" si="44"/>
        <v>Sale</v>
      </c>
      <c r="L905" t="s">
        <v>27</v>
      </c>
    </row>
    <row r="906" spans="1:12" x14ac:dyDescent="0.25">
      <c r="A906">
        <v>5904</v>
      </c>
      <c r="B906">
        <v>90</v>
      </c>
      <c r="C906" s="5" t="str">
        <f>IFERROR(_xlfn.XLOOKUP(B906, Customers_raw!A:A, Customers_raw!B:B), "Unknown Customer")</f>
        <v>John Harris</v>
      </c>
      <c r="D906" s="1">
        <v>45932</v>
      </c>
      <c r="E906" s="1" t="str">
        <f t="shared" si="42"/>
        <v>2025-10</v>
      </c>
      <c r="F906" t="s">
        <v>18</v>
      </c>
      <c r="G906" t="s">
        <v>6</v>
      </c>
      <c r="H906">
        <v>2</v>
      </c>
      <c r="I906" s="2">
        <v>89</v>
      </c>
      <c r="J906" s="2">
        <f t="shared" si="43"/>
        <v>178</v>
      </c>
      <c r="K906" s="2" t="str">
        <f t="shared" si="44"/>
        <v>Sale</v>
      </c>
      <c r="L906" t="s">
        <v>8</v>
      </c>
    </row>
    <row r="907" spans="1:12" x14ac:dyDescent="0.25">
      <c r="A907">
        <v>5905</v>
      </c>
      <c r="B907">
        <v>101</v>
      </c>
      <c r="C907" s="5" t="str">
        <f>IFERROR(_xlfn.XLOOKUP(B907, Customers_raw!A:A, Customers_raw!B:B), "Unknown Customer")</f>
        <v>David Lee</v>
      </c>
      <c r="D907" s="1">
        <v>45737</v>
      </c>
      <c r="E907" s="1" t="str">
        <f t="shared" si="42"/>
        <v>2025-03</v>
      </c>
      <c r="F907" t="s">
        <v>19</v>
      </c>
      <c r="G907" t="s">
        <v>17</v>
      </c>
      <c r="H907">
        <v>1</v>
      </c>
      <c r="I907" s="2">
        <v>19.095238095238095</v>
      </c>
      <c r="J907" s="2">
        <f t="shared" si="43"/>
        <v>19.095238095238095</v>
      </c>
      <c r="K907" s="2" t="str">
        <f t="shared" si="44"/>
        <v>Sale</v>
      </c>
      <c r="L907" t="s">
        <v>27</v>
      </c>
    </row>
    <row r="908" spans="1:12" x14ac:dyDescent="0.25">
      <c r="A908">
        <v>5906</v>
      </c>
      <c r="B908">
        <v>25</v>
      </c>
      <c r="C908" s="5" t="str">
        <f>IFERROR(_xlfn.XLOOKUP(B908, Customers_raw!A:A, Customers_raw!B:B), "Unknown Customer")</f>
        <v>Emily Wilson</v>
      </c>
      <c r="D908" s="1">
        <v>45725</v>
      </c>
      <c r="E908" s="1" t="str">
        <f t="shared" si="42"/>
        <v>2025-03</v>
      </c>
      <c r="F908" t="s">
        <v>13</v>
      </c>
      <c r="G908" t="s">
        <v>7</v>
      </c>
      <c r="H908">
        <v>3</v>
      </c>
      <c r="I908" s="2">
        <v>32</v>
      </c>
      <c r="J908" s="2">
        <f t="shared" si="43"/>
        <v>96</v>
      </c>
      <c r="K908" s="2" t="str">
        <f t="shared" si="44"/>
        <v>Sale</v>
      </c>
      <c r="L908" t="s">
        <v>5</v>
      </c>
    </row>
    <row r="909" spans="1:12" x14ac:dyDescent="0.25">
      <c r="A909">
        <v>5907</v>
      </c>
      <c r="B909">
        <v>52</v>
      </c>
      <c r="C909" s="5" t="str">
        <f>IFERROR(_xlfn.XLOOKUP(B909, Customers_raw!A:A, Customers_raw!B:B), "Unknown Customer")</f>
        <v>Sarah Johnson</v>
      </c>
      <c r="D909" s="1">
        <v>45860</v>
      </c>
      <c r="E909" s="1" t="str">
        <f t="shared" si="42"/>
        <v>2025-07</v>
      </c>
      <c r="F909" t="s">
        <v>13</v>
      </c>
      <c r="G909" t="s">
        <v>7</v>
      </c>
      <c r="H909">
        <v>1</v>
      </c>
      <c r="I909" s="2">
        <v>29</v>
      </c>
      <c r="J909" s="2">
        <f t="shared" si="43"/>
        <v>29</v>
      </c>
      <c r="K909" s="2" t="str">
        <f t="shared" si="44"/>
        <v>Sale</v>
      </c>
      <c r="L909" t="s">
        <v>27</v>
      </c>
    </row>
    <row r="910" spans="1:12" x14ac:dyDescent="0.25">
      <c r="A910">
        <v>5908</v>
      </c>
      <c r="B910">
        <v>68</v>
      </c>
      <c r="C910" s="5" t="str">
        <f>IFERROR(_xlfn.XLOOKUP(B910, Customers_raw!A:A, Customers_raw!B:B), "Unknown Customer")</f>
        <v>James Hernandez</v>
      </c>
      <c r="D910" s="1">
        <v>46007</v>
      </c>
      <c r="E910" s="1" t="str">
        <f t="shared" si="42"/>
        <v>2025-12</v>
      </c>
      <c r="F910" t="s">
        <v>11</v>
      </c>
      <c r="G910" t="s">
        <v>6</v>
      </c>
      <c r="H910">
        <v>2</v>
      </c>
      <c r="I910" s="2">
        <v>18</v>
      </c>
      <c r="J910" s="2">
        <f t="shared" si="43"/>
        <v>36</v>
      </c>
      <c r="K910" s="2" t="str">
        <f t="shared" si="44"/>
        <v>Sale</v>
      </c>
      <c r="L910" t="s">
        <v>5</v>
      </c>
    </row>
    <row r="911" spans="1:12" x14ac:dyDescent="0.25">
      <c r="A911">
        <v>5909</v>
      </c>
      <c r="B911">
        <v>90</v>
      </c>
      <c r="C911" s="5" t="str">
        <f>IFERROR(_xlfn.XLOOKUP(B911, Customers_raw!A:A, Customers_raw!B:B), "Unknown Customer")</f>
        <v>John Harris</v>
      </c>
      <c r="D911" s="1">
        <v>45920</v>
      </c>
      <c r="E911" s="1" t="str">
        <f t="shared" si="42"/>
        <v>2025-09</v>
      </c>
      <c r="F911" t="s">
        <v>13</v>
      </c>
      <c r="G911" t="s">
        <v>7</v>
      </c>
      <c r="H911">
        <v>1</v>
      </c>
      <c r="I911" s="2">
        <v>32</v>
      </c>
      <c r="J911" s="2">
        <f t="shared" si="43"/>
        <v>32</v>
      </c>
      <c r="K911" s="2" t="str">
        <f t="shared" si="44"/>
        <v>Sale</v>
      </c>
      <c r="L911" t="s">
        <v>5</v>
      </c>
    </row>
    <row r="912" spans="1:12" x14ac:dyDescent="0.25">
      <c r="A912">
        <v>5910</v>
      </c>
      <c r="B912">
        <v>99</v>
      </c>
      <c r="C912" s="5" t="str">
        <f>IFERROR(_xlfn.XLOOKUP(B912, Customers_raw!A:A, Customers_raw!B:B), "Unknown Customer")</f>
        <v>Steven Thomas</v>
      </c>
      <c r="D912" s="1">
        <v>45793</v>
      </c>
      <c r="E912" s="1" t="str">
        <f t="shared" si="42"/>
        <v>2025-05</v>
      </c>
      <c r="F912" t="s">
        <v>15</v>
      </c>
      <c r="G912" t="s">
        <v>7</v>
      </c>
      <c r="H912">
        <v>1</v>
      </c>
      <c r="I912" s="2">
        <v>70</v>
      </c>
      <c r="J912" s="2">
        <f t="shared" si="43"/>
        <v>70</v>
      </c>
      <c r="K912" s="2" t="str">
        <f t="shared" si="44"/>
        <v>Sale</v>
      </c>
      <c r="L912" t="s">
        <v>5</v>
      </c>
    </row>
    <row r="913" spans="1:12" x14ac:dyDescent="0.25">
      <c r="A913">
        <v>5911</v>
      </c>
      <c r="B913">
        <v>12</v>
      </c>
      <c r="C913" s="5" t="str">
        <f>IFERROR(_xlfn.XLOOKUP(B913, Customers_raw!A:A, Customers_raw!B:B), "Unknown Customer")</f>
        <v>Linda Moore</v>
      </c>
      <c r="D913" s="1">
        <v>45713</v>
      </c>
      <c r="E913" s="1" t="str">
        <f t="shared" si="42"/>
        <v>2025-02</v>
      </c>
      <c r="F913" t="s">
        <v>9</v>
      </c>
      <c r="G913" t="s">
        <v>6</v>
      </c>
      <c r="H913">
        <v>2</v>
      </c>
      <c r="I913" s="2">
        <v>45</v>
      </c>
      <c r="J913" s="2">
        <f t="shared" si="43"/>
        <v>90</v>
      </c>
      <c r="K913" s="2" t="str">
        <f t="shared" si="44"/>
        <v>Sale</v>
      </c>
      <c r="L913" t="s">
        <v>23</v>
      </c>
    </row>
    <row r="914" spans="1:12" x14ac:dyDescent="0.25">
      <c r="A914">
        <v>5912</v>
      </c>
      <c r="B914">
        <v>106</v>
      </c>
      <c r="C914" s="5" t="str">
        <f>IFERROR(_xlfn.XLOOKUP(B914, Customers_raw!A:A, Customers_raw!B:B), "Unknown Customer")</f>
        <v>Thomas Lopez</v>
      </c>
      <c r="D914" s="1">
        <v>45835</v>
      </c>
      <c r="E914" s="1" t="str">
        <f t="shared" si="42"/>
        <v>2025-06</v>
      </c>
      <c r="F914" t="s">
        <v>18</v>
      </c>
      <c r="G914" t="s">
        <v>6</v>
      </c>
      <c r="H914">
        <v>3</v>
      </c>
      <c r="I914" s="2">
        <v>92</v>
      </c>
      <c r="J914" s="2">
        <f t="shared" si="43"/>
        <v>276</v>
      </c>
      <c r="K914" s="2" t="str">
        <f t="shared" si="44"/>
        <v>Sale</v>
      </c>
      <c r="L914" t="s">
        <v>27</v>
      </c>
    </row>
    <row r="915" spans="1:12" x14ac:dyDescent="0.25">
      <c r="A915">
        <v>5913</v>
      </c>
      <c r="B915">
        <v>6</v>
      </c>
      <c r="C915" s="5" t="str">
        <f>IFERROR(_xlfn.XLOOKUP(B915, Customers_raw!A:A, Customers_raw!B:B), "Unknown Customer")</f>
        <v>David Martinez</v>
      </c>
      <c r="D915" s="1">
        <v>45742</v>
      </c>
      <c r="E915" s="1" t="str">
        <f t="shared" si="42"/>
        <v>2025-03</v>
      </c>
      <c r="F915" t="s">
        <v>16</v>
      </c>
      <c r="G915" t="s">
        <v>10</v>
      </c>
      <c r="H915">
        <v>2</v>
      </c>
      <c r="I915" s="2">
        <v>25</v>
      </c>
      <c r="J915" s="2">
        <f t="shared" si="43"/>
        <v>50</v>
      </c>
      <c r="K915" s="2" t="str">
        <f t="shared" si="44"/>
        <v>Sale</v>
      </c>
      <c r="L915" t="s">
        <v>27</v>
      </c>
    </row>
    <row r="916" spans="1:12" x14ac:dyDescent="0.25">
      <c r="A916">
        <v>5914</v>
      </c>
      <c r="B916">
        <v>31</v>
      </c>
      <c r="C916" s="5" t="str">
        <f>IFERROR(_xlfn.XLOOKUP(B916, Customers_raw!A:A, Customers_raw!B:B), "Unknown Customer")</f>
        <v>Nancy Harris</v>
      </c>
      <c r="D916" s="1">
        <v>45818</v>
      </c>
      <c r="E916" s="1" t="str">
        <f t="shared" si="42"/>
        <v>2025-06</v>
      </c>
      <c r="F916" t="s">
        <v>13</v>
      </c>
      <c r="G916" t="s">
        <v>7</v>
      </c>
      <c r="H916">
        <v>2</v>
      </c>
      <c r="I916" s="2">
        <v>29</v>
      </c>
      <c r="J916" s="2">
        <f t="shared" si="43"/>
        <v>58</v>
      </c>
      <c r="K916" s="2" t="str">
        <f t="shared" si="44"/>
        <v>Sale</v>
      </c>
      <c r="L916" t="s">
        <v>8</v>
      </c>
    </row>
    <row r="917" spans="1:12" x14ac:dyDescent="0.25">
      <c r="A917">
        <v>5915</v>
      </c>
      <c r="B917">
        <v>51</v>
      </c>
      <c r="C917" s="5" t="str">
        <f>IFERROR(_xlfn.XLOOKUP(B917, Customers_raw!A:A, Customers_raw!B:B), "Unknown Customer")</f>
        <v>Patricia Hernandez</v>
      </c>
      <c r="D917" s="1">
        <v>45695</v>
      </c>
      <c r="E917" s="1" t="str">
        <f t="shared" si="42"/>
        <v>2025-02</v>
      </c>
      <c r="F917" t="s">
        <v>22</v>
      </c>
      <c r="G917" t="s">
        <v>17</v>
      </c>
      <c r="H917">
        <v>3</v>
      </c>
      <c r="I917" s="2">
        <v>23.742857142857144</v>
      </c>
      <c r="J917" s="2">
        <f t="shared" si="43"/>
        <v>71.228571428571428</v>
      </c>
      <c r="K917" s="2" t="str">
        <f t="shared" si="44"/>
        <v>Sale</v>
      </c>
      <c r="L917" t="s">
        <v>27</v>
      </c>
    </row>
    <row r="918" spans="1:12" x14ac:dyDescent="0.25">
      <c r="A918">
        <v>5916</v>
      </c>
      <c r="B918">
        <v>83</v>
      </c>
      <c r="C918" s="5" t="str">
        <f>IFERROR(_xlfn.XLOOKUP(B918, Customers_raw!A:A, Customers_raw!B:B), "Unknown Customer")</f>
        <v>Mary Martinez</v>
      </c>
      <c r="D918" s="1">
        <v>46007</v>
      </c>
      <c r="E918" s="1" t="str">
        <f t="shared" si="42"/>
        <v>2025-12</v>
      </c>
      <c r="F918" t="s">
        <v>19</v>
      </c>
      <c r="G918" t="s">
        <v>17</v>
      </c>
      <c r="H918">
        <v>1</v>
      </c>
      <c r="I918" s="2">
        <v>19</v>
      </c>
      <c r="J918" s="2">
        <f t="shared" si="43"/>
        <v>19</v>
      </c>
      <c r="K918" s="2" t="str">
        <f t="shared" si="44"/>
        <v>Sale</v>
      </c>
      <c r="L918" t="s">
        <v>27</v>
      </c>
    </row>
    <row r="919" spans="1:12" x14ac:dyDescent="0.25">
      <c r="A919">
        <v>5917</v>
      </c>
      <c r="B919">
        <v>100</v>
      </c>
      <c r="C919" s="5" t="str">
        <f>IFERROR(_xlfn.XLOOKUP(B919, Customers_raw!A:A, Customers_raw!B:B), "Unknown Customer")</f>
        <v>Susan Williams</v>
      </c>
      <c r="D919" s="1">
        <v>45701</v>
      </c>
      <c r="E919" s="1" t="str">
        <f t="shared" si="42"/>
        <v>2025-02</v>
      </c>
      <c r="F919" t="s">
        <v>16</v>
      </c>
      <c r="G919" t="s">
        <v>10</v>
      </c>
      <c r="H919">
        <v>1</v>
      </c>
      <c r="I919" s="2">
        <v>31</v>
      </c>
      <c r="J919" s="2">
        <f t="shared" si="43"/>
        <v>31</v>
      </c>
      <c r="K919" s="2" t="str">
        <f t="shared" si="44"/>
        <v>Sale</v>
      </c>
      <c r="L919" t="s">
        <v>5</v>
      </c>
    </row>
    <row r="920" spans="1:12" x14ac:dyDescent="0.25">
      <c r="A920">
        <v>5918</v>
      </c>
      <c r="B920">
        <v>35</v>
      </c>
      <c r="C920" s="5" t="str">
        <f>IFERROR(_xlfn.XLOOKUP(B920, Customers_raw!A:A, Customers_raw!B:B), "Unknown Customer")</f>
        <v>Richard Clark</v>
      </c>
      <c r="D920" s="1">
        <v>45978</v>
      </c>
      <c r="E920" s="1" t="str">
        <f t="shared" si="42"/>
        <v>2025-11</v>
      </c>
      <c r="F920" t="s">
        <v>9</v>
      </c>
      <c r="G920" t="s">
        <v>6</v>
      </c>
      <c r="H920">
        <v>1</v>
      </c>
      <c r="I920" s="2">
        <v>48</v>
      </c>
      <c r="J920" s="2">
        <f t="shared" si="43"/>
        <v>48</v>
      </c>
      <c r="K920" s="2" t="str">
        <f t="shared" si="44"/>
        <v>Sale</v>
      </c>
      <c r="L920" t="s">
        <v>27</v>
      </c>
    </row>
    <row r="921" spans="1:12" x14ac:dyDescent="0.25">
      <c r="A921">
        <v>5919</v>
      </c>
      <c r="B921">
        <v>74</v>
      </c>
      <c r="C921" s="5" t="str">
        <f>IFERROR(_xlfn.XLOOKUP(B921, Customers_raw!A:A, Customers_raw!B:B), "Unknown Customer")</f>
        <v>Betty Moore</v>
      </c>
      <c r="D921" s="1">
        <v>45941</v>
      </c>
      <c r="E921" s="1" t="str">
        <f t="shared" si="42"/>
        <v>2025-10</v>
      </c>
      <c r="F921" t="s">
        <v>12</v>
      </c>
      <c r="G921" t="s">
        <v>10</v>
      </c>
      <c r="H921">
        <v>1</v>
      </c>
      <c r="I921" s="2">
        <v>22</v>
      </c>
      <c r="J921" s="2">
        <f t="shared" si="43"/>
        <v>22</v>
      </c>
      <c r="K921" s="2" t="str">
        <f t="shared" si="44"/>
        <v>Sale</v>
      </c>
      <c r="L921" t="s">
        <v>27</v>
      </c>
    </row>
    <row r="922" spans="1:12" x14ac:dyDescent="0.25">
      <c r="A922">
        <v>5920</v>
      </c>
      <c r="B922">
        <v>71</v>
      </c>
      <c r="C922" s="5" t="str">
        <f>IFERROR(_xlfn.XLOOKUP(B922, Customers_raw!A:A, Customers_raw!B:B), "Unknown Customer")</f>
        <v>Barbara Rodriguez</v>
      </c>
      <c r="D922" s="1">
        <v>45724</v>
      </c>
      <c r="E922" s="1" t="str">
        <f t="shared" si="42"/>
        <v>2025-03</v>
      </c>
      <c r="F922" t="s">
        <v>19</v>
      </c>
      <c r="G922" t="s">
        <v>17</v>
      </c>
      <c r="H922">
        <v>1</v>
      </c>
      <c r="I922" s="2">
        <v>16</v>
      </c>
      <c r="J922" s="2">
        <f t="shared" si="43"/>
        <v>16</v>
      </c>
      <c r="K922" s="2" t="str">
        <f t="shared" si="44"/>
        <v>Sale</v>
      </c>
      <c r="L922" t="s">
        <v>8</v>
      </c>
    </row>
    <row r="923" spans="1:12" x14ac:dyDescent="0.25">
      <c r="A923">
        <v>5921</v>
      </c>
      <c r="B923">
        <v>84</v>
      </c>
      <c r="C923" s="5" t="str">
        <f>IFERROR(_xlfn.XLOOKUP(B923, Customers_raw!A:A, Customers_raw!B:B), "Unknown Customer")</f>
        <v>Kimberly Lewis</v>
      </c>
      <c r="D923" s="1">
        <v>45731</v>
      </c>
      <c r="E923" s="1" t="str">
        <f t="shared" si="42"/>
        <v>2025-03</v>
      </c>
      <c r="F923" t="s">
        <v>11</v>
      </c>
      <c r="G923" t="s">
        <v>6</v>
      </c>
      <c r="H923">
        <v>2</v>
      </c>
      <c r="I923" s="2">
        <v>15</v>
      </c>
      <c r="J923" s="2">
        <f t="shared" si="43"/>
        <v>30</v>
      </c>
      <c r="K923" s="2" t="str">
        <f t="shared" si="44"/>
        <v>Sale</v>
      </c>
      <c r="L923" t="s">
        <v>5</v>
      </c>
    </row>
    <row r="924" spans="1:12" x14ac:dyDescent="0.25">
      <c r="A924">
        <v>5922</v>
      </c>
      <c r="B924">
        <v>38</v>
      </c>
      <c r="C924" s="5" t="str">
        <f>IFERROR(_xlfn.XLOOKUP(B924, Customers_raw!A:A, Customers_raw!B:B), "Unknown Customer")</f>
        <v>Jennifer Davis</v>
      </c>
      <c r="D924" s="1">
        <v>45713</v>
      </c>
      <c r="E924" s="1" t="str">
        <f t="shared" si="42"/>
        <v>2025-02</v>
      </c>
      <c r="F924" t="s">
        <v>19</v>
      </c>
      <c r="G924" t="s">
        <v>17</v>
      </c>
      <c r="H924">
        <v>2</v>
      </c>
      <c r="I924" s="2">
        <v>19</v>
      </c>
      <c r="J924" s="2">
        <f t="shared" si="43"/>
        <v>38</v>
      </c>
      <c r="K924" s="2" t="str">
        <f t="shared" si="44"/>
        <v>Sale</v>
      </c>
      <c r="L924" t="s">
        <v>5</v>
      </c>
    </row>
    <row r="925" spans="1:12" x14ac:dyDescent="0.25">
      <c r="A925">
        <v>5923</v>
      </c>
      <c r="B925">
        <v>23</v>
      </c>
      <c r="C925" s="5" t="str">
        <f>IFERROR(_xlfn.XLOOKUP(B925, Customers_raw!A:A, Customers_raw!B:B), "Unknown Customer")</f>
        <v>Thomas Martinez</v>
      </c>
      <c r="D925" s="1">
        <v>45887</v>
      </c>
      <c r="E925" s="1" t="str">
        <f t="shared" si="42"/>
        <v>2025-08</v>
      </c>
      <c r="F925" t="s">
        <v>20</v>
      </c>
      <c r="G925" t="s">
        <v>10</v>
      </c>
      <c r="H925">
        <v>2</v>
      </c>
      <c r="I925" s="2">
        <v>65</v>
      </c>
      <c r="J925" s="2">
        <f t="shared" si="43"/>
        <v>130</v>
      </c>
      <c r="K925" s="2" t="str">
        <f t="shared" si="44"/>
        <v>Sale</v>
      </c>
      <c r="L925" t="s">
        <v>5</v>
      </c>
    </row>
    <row r="926" spans="1:12" x14ac:dyDescent="0.25">
      <c r="A926">
        <v>5924</v>
      </c>
      <c r="B926">
        <v>50</v>
      </c>
      <c r="C926" s="5" t="str">
        <f>IFERROR(_xlfn.XLOOKUP(B926, Customers_raw!A:A, Customers_raw!B:B), "Unknown Customer")</f>
        <v>Elizabeth Garcia</v>
      </c>
      <c r="D926" s="1">
        <v>45940</v>
      </c>
      <c r="E926" s="1" t="str">
        <f t="shared" si="42"/>
        <v>2025-10</v>
      </c>
      <c r="F926" t="s">
        <v>20</v>
      </c>
      <c r="G926" t="s">
        <v>10</v>
      </c>
      <c r="H926">
        <v>2</v>
      </c>
      <c r="I926" s="2">
        <v>65</v>
      </c>
      <c r="J926" s="2">
        <f t="shared" si="43"/>
        <v>130</v>
      </c>
      <c r="K926" s="2" t="str">
        <f t="shared" si="44"/>
        <v>Sale</v>
      </c>
      <c r="L926" t="s">
        <v>8</v>
      </c>
    </row>
    <row r="927" spans="1:12" x14ac:dyDescent="0.25">
      <c r="A927">
        <v>5925</v>
      </c>
      <c r="B927">
        <v>68</v>
      </c>
      <c r="C927" s="5" t="str">
        <f>IFERROR(_xlfn.XLOOKUP(B927, Customers_raw!A:A, Customers_raw!B:B), "Unknown Customer")</f>
        <v>James Hernandez</v>
      </c>
      <c r="D927" s="1">
        <v>45849</v>
      </c>
      <c r="E927" s="1" t="str">
        <f t="shared" si="42"/>
        <v>2025-07</v>
      </c>
      <c r="F927" t="s">
        <v>11</v>
      </c>
      <c r="G927" t="s">
        <v>6</v>
      </c>
      <c r="H927">
        <v>3</v>
      </c>
      <c r="I927" s="2">
        <v>15</v>
      </c>
      <c r="J927" s="2">
        <f t="shared" si="43"/>
        <v>45</v>
      </c>
      <c r="K927" s="2" t="str">
        <f t="shared" si="44"/>
        <v>Sale</v>
      </c>
      <c r="L927" t="s">
        <v>27</v>
      </c>
    </row>
    <row r="928" spans="1:12" x14ac:dyDescent="0.25">
      <c r="A928">
        <v>5926</v>
      </c>
      <c r="B928">
        <v>33</v>
      </c>
      <c r="C928" s="5" t="str">
        <f>IFERROR(_xlfn.XLOOKUP(B928, Customers_raw!A:A, Customers_raw!B:B), "Unknown Customer")</f>
        <v>Jennifer White</v>
      </c>
      <c r="D928" s="1">
        <v>45707</v>
      </c>
      <c r="E928" s="1" t="str">
        <f t="shared" si="42"/>
        <v>2025-02</v>
      </c>
      <c r="F928" t="s">
        <v>21</v>
      </c>
      <c r="G928" t="s">
        <v>17</v>
      </c>
      <c r="H928">
        <v>1</v>
      </c>
      <c r="I928" s="2">
        <v>60</v>
      </c>
      <c r="J928" s="2">
        <f t="shared" si="43"/>
        <v>60</v>
      </c>
      <c r="K928" s="2" t="str">
        <f t="shared" si="44"/>
        <v>Sale</v>
      </c>
      <c r="L928" t="s">
        <v>27</v>
      </c>
    </row>
    <row r="929" spans="1:12" x14ac:dyDescent="0.25">
      <c r="A929">
        <v>5927</v>
      </c>
      <c r="B929">
        <v>13</v>
      </c>
      <c r="C929" s="5" t="str">
        <f>IFERROR(_xlfn.XLOOKUP(B929, Customers_raw!A:A, Customers_raw!B:B), "Unknown Customer")</f>
        <v>Anthony Johnson</v>
      </c>
      <c r="D929" s="1">
        <v>45720</v>
      </c>
      <c r="E929" s="1" t="str">
        <f t="shared" si="42"/>
        <v>2025-03</v>
      </c>
      <c r="F929" t="s">
        <v>12</v>
      </c>
      <c r="G929" t="s">
        <v>10</v>
      </c>
      <c r="H929">
        <v>1</v>
      </c>
      <c r="I929" s="2">
        <v>22</v>
      </c>
      <c r="J929" s="2">
        <f t="shared" si="43"/>
        <v>22</v>
      </c>
      <c r="K929" s="2" t="str">
        <f t="shared" si="44"/>
        <v>Sale</v>
      </c>
      <c r="L929" t="s">
        <v>23</v>
      </c>
    </row>
    <row r="930" spans="1:12" x14ac:dyDescent="0.25">
      <c r="A930">
        <v>5928</v>
      </c>
      <c r="B930">
        <v>98</v>
      </c>
      <c r="C930" s="5" t="str">
        <f>IFERROR(_xlfn.XLOOKUP(B930, Customers_raw!A:A, Customers_raw!B:B), "Unknown Customer")</f>
        <v>Karen Williams</v>
      </c>
      <c r="D930" s="1">
        <v>46012</v>
      </c>
      <c r="E930" s="1" t="str">
        <f t="shared" si="42"/>
        <v>2025-12</v>
      </c>
      <c r="F930" t="s">
        <v>18</v>
      </c>
      <c r="G930" t="s">
        <v>6</v>
      </c>
      <c r="H930">
        <v>1</v>
      </c>
      <c r="I930" s="2">
        <v>89</v>
      </c>
      <c r="J930" s="2">
        <f t="shared" si="43"/>
        <v>89</v>
      </c>
      <c r="K930" s="2" t="str">
        <f t="shared" si="44"/>
        <v>Sale</v>
      </c>
      <c r="L930" t="s">
        <v>8</v>
      </c>
    </row>
    <row r="931" spans="1:12" x14ac:dyDescent="0.25">
      <c r="A931">
        <v>5929</v>
      </c>
      <c r="B931">
        <v>59</v>
      </c>
      <c r="C931" s="5" t="str">
        <f>IFERROR(_xlfn.XLOOKUP(B931, Customers_raw!A:A, Customers_raw!B:B), "Unknown Customer")</f>
        <v>Betty Robinson</v>
      </c>
      <c r="D931" s="1">
        <v>45680</v>
      </c>
      <c r="E931" s="1" t="str">
        <f t="shared" si="42"/>
        <v>2025-01</v>
      </c>
      <c r="F931" t="s">
        <v>22</v>
      </c>
      <c r="G931" t="s">
        <v>17</v>
      </c>
      <c r="H931">
        <v>1</v>
      </c>
      <c r="I931" s="2">
        <v>24</v>
      </c>
      <c r="J931" s="2">
        <f t="shared" si="43"/>
        <v>24</v>
      </c>
      <c r="K931" s="2" t="str">
        <f t="shared" si="44"/>
        <v>Sale</v>
      </c>
      <c r="L931" t="s">
        <v>5</v>
      </c>
    </row>
    <row r="932" spans="1:12" x14ac:dyDescent="0.25">
      <c r="A932">
        <v>5930</v>
      </c>
      <c r="B932">
        <v>41</v>
      </c>
      <c r="C932" s="5" t="str">
        <f>IFERROR(_xlfn.XLOOKUP(B932, Customers_raw!A:A, Customers_raw!B:B), "Unknown Customer")</f>
        <v>Margaret Clark</v>
      </c>
      <c r="D932" s="1">
        <v>45838</v>
      </c>
      <c r="E932" s="1" t="str">
        <f t="shared" si="42"/>
        <v>2025-06</v>
      </c>
      <c r="F932" t="s">
        <v>16</v>
      </c>
      <c r="G932" t="s">
        <v>10</v>
      </c>
      <c r="H932">
        <v>3</v>
      </c>
      <c r="I932" s="2">
        <v>28</v>
      </c>
      <c r="J932" s="2">
        <f t="shared" si="43"/>
        <v>84</v>
      </c>
      <c r="K932" s="2" t="str">
        <f t="shared" si="44"/>
        <v>Sale</v>
      </c>
      <c r="L932" t="s">
        <v>8</v>
      </c>
    </row>
    <row r="933" spans="1:12" x14ac:dyDescent="0.25">
      <c r="A933">
        <v>5931</v>
      </c>
      <c r="B933">
        <v>36</v>
      </c>
      <c r="C933" s="5" t="str">
        <f>IFERROR(_xlfn.XLOOKUP(B933, Customers_raw!A:A, Customers_raw!B:B), "Unknown Customer")</f>
        <v>Daniel Harris</v>
      </c>
      <c r="D933" s="1">
        <v>45810</v>
      </c>
      <c r="E933" s="1" t="str">
        <f t="shared" si="42"/>
        <v>2025-06</v>
      </c>
      <c r="F933" t="s">
        <v>20</v>
      </c>
      <c r="G933" t="s">
        <v>10</v>
      </c>
      <c r="H933">
        <v>3</v>
      </c>
      <c r="I933" s="2">
        <v>62</v>
      </c>
      <c r="J933" s="2">
        <f t="shared" si="43"/>
        <v>186</v>
      </c>
      <c r="K933" s="2" t="str">
        <f t="shared" si="44"/>
        <v>Sale</v>
      </c>
      <c r="L933" t="s">
        <v>5</v>
      </c>
    </row>
    <row r="934" spans="1:12" x14ac:dyDescent="0.25">
      <c r="A934">
        <v>5932</v>
      </c>
      <c r="B934">
        <v>56</v>
      </c>
      <c r="C934" s="5" t="str">
        <f>IFERROR(_xlfn.XLOOKUP(B934, Customers_raw!A:A, Customers_raw!B:B), "Unknown Customer")</f>
        <v>Mark Hernandez</v>
      </c>
      <c r="D934" s="1">
        <v>45678</v>
      </c>
      <c r="E934" s="1" t="str">
        <f t="shared" si="42"/>
        <v>2025-01</v>
      </c>
      <c r="F934" t="s">
        <v>16</v>
      </c>
      <c r="G934" t="s">
        <v>10</v>
      </c>
      <c r="H934">
        <v>2</v>
      </c>
      <c r="I934" s="2">
        <v>31</v>
      </c>
      <c r="J934" s="2">
        <f t="shared" si="43"/>
        <v>62</v>
      </c>
      <c r="K934" s="2" t="str">
        <f t="shared" si="44"/>
        <v>Sale</v>
      </c>
      <c r="L934" t="s">
        <v>27</v>
      </c>
    </row>
    <row r="935" spans="1:12" x14ac:dyDescent="0.25">
      <c r="A935">
        <v>5933</v>
      </c>
      <c r="B935">
        <v>69</v>
      </c>
      <c r="C935" s="5" t="str">
        <f>IFERROR(_xlfn.XLOOKUP(B935, Customers_raw!A:A, Customers_raw!B:B), "Unknown Customer")</f>
        <v>Jessica Brown</v>
      </c>
      <c r="D935" s="1">
        <v>45726</v>
      </c>
      <c r="E935" s="1" t="str">
        <f t="shared" si="42"/>
        <v>2025-03</v>
      </c>
      <c r="F935" t="s">
        <v>12</v>
      </c>
      <c r="G935" t="s">
        <v>10</v>
      </c>
      <c r="H935">
        <v>-1</v>
      </c>
      <c r="I935" s="2">
        <v>22</v>
      </c>
      <c r="J935" s="2">
        <f t="shared" si="43"/>
        <v>-22</v>
      </c>
      <c r="K935" s="2" t="str">
        <f t="shared" si="44"/>
        <v>Return</v>
      </c>
      <c r="L935" t="s">
        <v>5</v>
      </c>
    </row>
    <row r="936" spans="1:12" x14ac:dyDescent="0.25">
      <c r="A936">
        <v>5934</v>
      </c>
      <c r="B936">
        <v>80</v>
      </c>
      <c r="C936" s="5" t="str">
        <f>IFERROR(_xlfn.XLOOKUP(B936, Customers_raw!A:A, Customers_raw!B:B), "Unknown Customer")</f>
        <v>Susan Lopez</v>
      </c>
      <c r="D936" s="1">
        <v>45658</v>
      </c>
      <c r="E936" s="1" t="str">
        <f t="shared" si="42"/>
        <v>2025-01</v>
      </c>
      <c r="F936" t="s">
        <v>19</v>
      </c>
      <c r="G936" t="s">
        <v>17</v>
      </c>
      <c r="H936">
        <v>1</v>
      </c>
      <c r="I936" s="2">
        <v>19</v>
      </c>
      <c r="J936" s="2">
        <f t="shared" si="43"/>
        <v>19</v>
      </c>
      <c r="K936" s="2" t="str">
        <f t="shared" si="44"/>
        <v>Sale</v>
      </c>
      <c r="L936" t="s">
        <v>27</v>
      </c>
    </row>
    <row r="937" spans="1:12" x14ac:dyDescent="0.25">
      <c r="A937">
        <v>5935</v>
      </c>
      <c r="B937">
        <v>49</v>
      </c>
      <c r="C937" s="5" t="str">
        <f>IFERROR(_xlfn.XLOOKUP(B937, Customers_raw!A:A, Customers_raw!B:B), "Unknown Customer")</f>
        <v>Steven Smith</v>
      </c>
      <c r="D937" s="1">
        <v>45734</v>
      </c>
      <c r="E937" s="1" t="str">
        <f t="shared" si="42"/>
        <v>2025-03</v>
      </c>
      <c r="F937" t="s">
        <v>15</v>
      </c>
      <c r="G937" t="s">
        <v>7</v>
      </c>
      <c r="H937">
        <v>2</v>
      </c>
      <c r="I937" s="2">
        <v>73</v>
      </c>
      <c r="J937" s="2">
        <f t="shared" si="43"/>
        <v>146</v>
      </c>
      <c r="K937" s="2" t="str">
        <f t="shared" si="44"/>
        <v>Sale</v>
      </c>
      <c r="L937" t="s">
        <v>5</v>
      </c>
    </row>
    <row r="938" spans="1:12" x14ac:dyDescent="0.25">
      <c r="A938">
        <v>5936</v>
      </c>
      <c r="B938">
        <v>1</v>
      </c>
      <c r="C938" s="5" t="str">
        <f>IFERROR(_xlfn.XLOOKUP(B938, Customers_raw!A:A, Customers_raw!B:B), "Unknown Customer")</f>
        <v>Christopher Jones</v>
      </c>
      <c r="D938" s="1">
        <v>46006</v>
      </c>
      <c r="E938" s="1" t="str">
        <f t="shared" si="42"/>
        <v>2025-12</v>
      </c>
      <c r="F938" t="s">
        <v>9</v>
      </c>
      <c r="G938" t="s">
        <v>6</v>
      </c>
      <c r="H938">
        <v>1</v>
      </c>
      <c r="I938" s="2">
        <v>48</v>
      </c>
      <c r="J938" s="2">
        <f t="shared" si="43"/>
        <v>48</v>
      </c>
      <c r="K938" s="2" t="str">
        <f t="shared" si="44"/>
        <v>Sale</v>
      </c>
      <c r="L938" t="s">
        <v>8</v>
      </c>
    </row>
    <row r="939" spans="1:12" x14ac:dyDescent="0.25">
      <c r="A939">
        <v>5937</v>
      </c>
      <c r="B939">
        <v>47</v>
      </c>
      <c r="C939" s="5" t="str">
        <f>IFERROR(_xlfn.XLOOKUP(B939, Customers_raw!A:A, Customers_raw!B:B), "Unknown Customer")</f>
        <v>Christopher Rodriguez</v>
      </c>
      <c r="D939" s="1">
        <v>45811</v>
      </c>
      <c r="E939" s="1" t="str">
        <f t="shared" si="42"/>
        <v>2025-06</v>
      </c>
      <c r="F939" t="s">
        <v>14</v>
      </c>
      <c r="G939" t="s">
        <v>7</v>
      </c>
      <c r="H939">
        <v>1</v>
      </c>
      <c r="I939" s="2">
        <v>58</v>
      </c>
      <c r="J939" s="2">
        <f t="shared" si="43"/>
        <v>58</v>
      </c>
      <c r="K939" s="2" t="str">
        <f t="shared" si="44"/>
        <v>Sale</v>
      </c>
      <c r="L939" t="s">
        <v>5</v>
      </c>
    </row>
    <row r="940" spans="1:12" x14ac:dyDescent="0.25">
      <c r="A940">
        <v>5938</v>
      </c>
      <c r="B940">
        <v>1</v>
      </c>
      <c r="C940" s="5" t="str">
        <f>IFERROR(_xlfn.XLOOKUP(B940, Customers_raw!A:A, Customers_raw!B:B), "Unknown Customer")</f>
        <v>Christopher Jones</v>
      </c>
      <c r="D940" s="1">
        <v>46019</v>
      </c>
      <c r="E940" s="1" t="str">
        <f t="shared" si="42"/>
        <v>2025-12</v>
      </c>
      <c r="F940" t="s">
        <v>19</v>
      </c>
      <c r="G940" t="s">
        <v>17</v>
      </c>
      <c r="H940">
        <v>2</v>
      </c>
      <c r="I940" s="2">
        <v>19.095238095238095</v>
      </c>
      <c r="J940" s="2">
        <f t="shared" si="43"/>
        <v>38.19047619047619</v>
      </c>
      <c r="K940" s="2" t="str">
        <f t="shared" si="44"/>
        <v>Sale</v>
      </c>
      <c r="L940" t="s">
        <v>5</v>
      </c>
    </row>
    <row r="941" spans="1:12" x14ac:dyDescent="0.25">
      <c r="A941">
        <v>5939</v>
      </c>
      <c r="B941">
        <v>62</v>
      </c>
      <c r="C941" s="5" t="str">
        <f>IFERROR(_xlfn.XLOOKUP(B941, Customers_raw!A:A, Customers_raw!B:B), "Unknown Customer")</f>
        <v>Mary Wilson</v>
      </c>
      <c r="D941" s="1">
        <v>45861</v>
      </c>
      <c r="E941" s="1" t="str">
        <f t="shared" si="42"/>
        <v>2025-07</v>
      </c>
      <c r="F941" t="s">
        <v>19</v>
      </c>
      <c r="G941" t="s">
        <v>17</v>
      </c>
      <c r="H941">
        <v>2</v>
      </c>
      <c r="I941" s="2">
        <v>16</v>
      </c>
      <c r="J941" s="2">
        <f t="shared" si="43"/>
        <v>32</v>
      </c>
      <c r="K941" s="2" t="str">
        <f t="shared" si="44"/>
        <v>Sale</v>
      </c>
      <c r="L941" t="s">
        <v>8</v>
      </c>
    </row>
    <row r="942" spans="1:12" x14ac:dyDescent="0.25">
      <c r="A942">
        <v>5940</v>
      </c>
      <c r="B942">
        <v>16</v>
      </c>
      <c r="C942" s="5" t="str">
        <f>IFERROR(_xlfn.XLOOKUP(B942, Customers_raw!A:A, Customers_raw!B:B), "Unknown Customer")</f>
        <v>Karen Perez</v>
      </c>
      <c r="D942" s="1">
        <v>45697</v>
      </c>
      <c r="E942" s="1" t="str">
        <f t="shared" si="42"/>
        <v>2025-02</v>
      </c>
      <c r="F942" t="s">
        <v>13</v>
      </c>
      <c r="G942" t="s">
        <v>7</v>
      </c>
      <c r="H942">
        <v>2</v>
      </c>
      <c r="I942" s="2">
        <v>32</v>
      </c>
      <c r="J942" s="2">
        <f t="shared" si="43"/>
        <v>64</v>
      </c>
      <c r="K942" s="2" t="str">
        <f t="shared" si="44"/>
        <v>Sale</v>
      </c>
      <c r="L942" t="s">
        <v>5</v>
      </c>
    </row>
    <row r="943" spans="1:12" x14ac:dyDescent="0.25">
      <c r="A943">
        <v>5941</v>
      </c>
      <c r="B943">
        <v>84</v>
      </c>
      <c r="C943" s="5" t="str">
        <f>IFERROR(_xlfn.XLOOKUP(B943, Customers_raw!A:A, Customers_raw!B:B), "Unknown Customer")</f>
        <v>Kimberly Lewis</v>
      </c>
      <c r="D943" s="1">
        <v>45989</v>
      </c>
      <c r="E943" s="1" t="str">
        <f t="shared" si="42"/>
        <v>2025-11</v>
      </c>
      <c r="F943" t="s">
        <v>13</v>
      </c>
      <c r="G943" t="s">
        <v>7</v>
      </c>
      <c r="H943">
        <v>2</v>
      </c>
      <c r="I943" s="2">
        <v>35</v>
      </c>
      <c r="J943" s="2">
        <f t="shared" si="43"/>
        <v>70</v>
      </c>
      <c r="K943" s="2" t="str">
        <f t="shared" si="44"/>
        <v>Sale</v>
      </c>
      <c r="L943" t="s">
        <v>27</v>
      </c>
    </row>
    <row r="944" spans="1:12" x14ac:dyDescent="0.25">
      <c r="A944">
        <v>5942</v>
      </c>
      <c r="B944">
        <v>40</v>
      </c>
      <c r="C944" s="5" t="str">
        <f>IFERROR(_xlfn.XLOOKUP(B944, Customers_raw!A:A, Customers_raw!B:B), "Unknown Customer")</f>
        <v>Jennifer Ramirez</v>
      </c>
      <c r="D944" s="1">
        <v>45788</v>
      </c>
      <c r="E944" s="1" t="str">
        <f t="shared" si="42"/>
        <v>2025-05</v>
      </c>
      <c r="F944" t="s">
        <v>15</v>
      </c>
      <c r="G944" t="s">
        <v>7</v>
      </c>
      <c r="H944">
        <v>2</v>
      </c>
      <c r="I944" s="2">
        <v>70</v>
      </c>
      <c r="J944" s="2">
        <f t="shared" si="43"/>
        <v>140</v>
      </c>
      <c r="K944" s="2" t="str">
        <f t="shared" si="44"/>
        <v>Sale</v>
      </c>
      <c r="L944" t="s">
        <v>8</v>
      </c>
    </row>
    <row r="945" spans="1:12" x14ac:dyDescent="0.25">
      <c r="A945">
        <v>5943</v>
      </c>
      <c r="B945">
        <v>16</v>
      </c>
      <c r="C945" s="5" t="str">
        <f>IFERROR(_xlfn.XLOOKUP(B945, Customers_raw!A:A, Customers_raw!B:B), "Unknown Customer")</f>
        <v>Karen Perez</v>
      </c>
      <c r="D945" s="1">
        <v>45834</v>
      </c>
      <c r="E945" s="1" t="str">
        <f t="shared" si="42"/>
        <v>2025-06</v>
      </c>
      <c r="F945" t="s">
        <v>15</v>
      </c>
      <c r="G945" t="s">
        <v>7</v>
      </c>
      <c r="H945">
        <v>2</v>
      </c>
      <c r="I945" s="2">
        <v>70</v>
      </c>
      <c r="J945" s="2">
        <f t="shared" si="43"/>
        <v>140</v>
      </c>
      <c r="K945" s="2" t="str">
        <f t="shared" si="44"/>
        <v>Sale</v>
      </c>
      <c r="L945" t="s">
        <v>27</v>
      </c>
    </row>
    <row r="946" spans="1:12" x14ac:dyDescent="0.25">
      <c r="A946">
        <v>5944</v>
      </c>
      <c r="B946">
        <v>29</v>
      </c>
      <c r="C946" s="5" t="str">
        <f>IFERROR(_xlfn.XLOOKUP(B946, Customers_raw!A:A, Customers_raw!B:B), "Unknown Customer")</f>
        <v>Thomas Lopez</v>
      </c>
      <c r="D946" s="1">
        <v>45771</v>
      </c>
      <c r="E946" s="1" t="str">
        <f t="shared" si="42"/>
        <v>2025-04</v>
      </c>
      <c r="F946" t="s">
        <v>9</v>
      </c>
      <c r="G946" t="s">
        <v>6</v>
      </c>
      <c r="H946">
        <v>1</v>
      </c>
      <c r="I946" s="2">
        <v>45</v>
      </c>
      <c r="J946" s="2">
        <f t="shared" si="43"/>
        <v>45</v>
      </c>
      <c r="K946" s="2" t="str">
        <f t="shared" si="44"/>
        <v>Sale</v>
      </c>
      <c r="L946" t="s">
        <v>8</v>
      </c>
    </row>
    <row r="947" spans="1:12" x14ac:dyDescent="0.25">
      <c r="A947">
        <v>5945</v>
      </c>
      <c r="B947">
        <v>2</v>
      </c>
      <c r="C947" s="5" t="str">
        <f>IFERROR(_xlfn.XLOOKUP(B947, Customers_raw!A:A, Customers_raw!B:B), "Unknown Customer")</f>
        <v>Michael Lopez</v>
      </c>
      <c r="D947" s="1">
        <v>45724</v>
      </c>
      <c r="E947" s="1" t="str">
        <f t="shared" si="42"/>
        <v>2025-03</v>
      </c>
      <c r="F947" t="s">
        <v>15</v>
      </c>
      <c r="G947" t="s">
        <v>7</v>
      </c>
      <c r="H947">
        <v>3</v>
      </c>
      <c r="I947" s="2">
        <v>73</v>
      </c>
      <c r="J947" s="2">
        <f t="shared" si="43"/>
        <v>219</v>
      </c>
      <c r="K947" s="2" t="str">
        <f t="shared" si="44"/>
        <v>Sale</v>
      </c>
      <c r="L947" t="s">
        <v>5</v>
      </c>
    </row>
    <row r="948" spans="1:12" x14ac:dyDescent="0.25">
      <c r="A948">
        <v>5946</v>
      </c>
      <c r="B948">
        <v>74</v>
      </c>
      <c r="C948" s="5" t="str">
        <f>IFERROR(_xlfn.XLOOKUP(B948, Customers_raw!A:A, Customers_raw!B:B), "Unknown Customer")</f>
        <v>Betty Moore</v>
      </c>
      <c r="D948" s="1">
        <v>45981</v>
      </c>
      <c r="E948" s="1" t="str">
        <f t="shared" si="42"/>
        <v>2025-11</v>
      </c>
      <c r="F948" t="s">
        <v>19</v>
      </c>
      <c r="G948" t="s">
        <v>17</v>
      </c>
      <c r="H948">
        <v>2</v>
      </c>
      <c r="I948" s="2">
        <v>19</v>
      </c>
      <c r="J948" s="2">
        <f t="shared" si="43"/>
        <v>38</v>
      </c>
      <c r="K948" s="2" t="str">
        <f t="shared" si="44"/>
        <v>Sale</v>
      </c>
      <c r="L948" t="s">
        <v>8</v>
      </c>
    </row>
    <row r="949" spans="1:12" x14ac:dyDescent="0.25">
      <c r="A949">
        <v>5947</v>
      </c>
      <c r="B949">
        <v>6</v>
      </c>
      <c r="C949" s="5" t="str">
        <f>IFERROR(_xlfn.XLOOKUP(B949, Customers_raw!A:A, Customers_raw!B:B), "Unknown Customer")</f>
        <v>David Martinez</v>
      </c>
      <c r="D949" s="1">
        <v>45896</v>
      </c>
      <c r="E949" s="1" t="str">
        <f t="shared" si="42"/>
        <v>2025-08</v>
      </c>
      <c r="F949" t="s">
        <v>12</v>
      </c>
      <c r="G949" t="s">
        <v>10</v>
      </c>
      <c r="H949">
        <v>1</v>
      </c>
      <c r="I949" s="2">
        <v>25</v>
      </c>
      <c r="J949" s="2">
        <f t="shared" si="43"/>
        <v>25</v>
      </c>
      <c r="K949" s="2" t="str">
        <f t="shared" si="44"/>
        <v>Sale</v>
      </c>
      <c r="L949" t="s">
        <v>27</v>
      </c>
    </row>
    <row r="950" spans="1:12" x14ac:dyDescent="0.25">
      <c r="A950">
        <v>5948</v>
      </c>
      <c r="B950">
        <v>30</v>
      </c>
      <c r="C950" s="5" t="str">
        <f>IFERROR(_xlfn.XLOOKUP(B950, Customers_raw!A:A, Customers_raw!B:B), "Unknown Customer")</f>
        <v>Sandra Taylor</v>
      </c>
      <c r="D950" s="1">
        <v>45847</v>
      </c>
      <c r="E950" s="1" t="str">
        <f t="shared" si="42"/>
        <v>2025-07</v>
      </c>
      <c r="F950" t="s">
        <v>18</v>
      </c>
      <c r="G950" t="s">
        <v>6</v>
      </c>
      <c r="H950">
        <v>1</v>
      </c>
      <c r="I950" s="2">
        <v>86</v>
      </c>
      <c r="J950" s="2">
        <f t="shared" si="43"/>
        <v>86</v>
      </c>
      <c r="K950" s="2" t="str">
        <f t="shared" si="44"/>
        <v>Sale</v>
      </c>
      <c r="L950" t="s">
        <v>5</v>
      </c>
    </row>
    <row r="951" spans="1:12" x14ac:dyDescent="0.25">
      <c r="A951">
        <v>5949</v>
      </c>
      <c r="B951">
        <v>50</v>
      </c>
      <c r="C951" s="5" t="str">
        <f>IFERROR(_xlfn.XLOOKUP(B951, Customers_raw!A:A, Customers_raw!B:B), "Unknown Customer")</f>
        <v>Elizabeth Garcia</v>
      </c>
      <c r="D951" s="1">
        <v>45715</v>
      </c>
      <c r="E951" s="1" t="str">
        <f t="shared" si="42"/>
        <v>2025-02</v>
      </c>
      <c r="F951" t="s">
        <v>21</v>
      </c>
      <c r="G951" t="s">
        <v>17</v>
      </c>
      <c r="H951">
        <v>1</v>
      </c>
      <c r="I951" s="2">
        <v>60</v>
      </c>
      <c r="J951" s="2">
        <f t="shared" si="43"/>
        <v>60</v>
      </c>
      <c r="K951" s="2" t="str">
        <f t="shared" si="44"/>
        <v>Sale</v>
      </c>
      <c r="L951" t="s">
        <v>23</v>
      </c>
    </row>
    <row r="952" spans="1:12" x14ac:dyDescent="0.25">
      <c r="A952">
        <v>5950</v>
      </c>
      <c r="B952">
        <v>102</v>
      </c>
      <c r="C952" s="5" t="str">
        <f>IFERROR(_xlfn.XLOOKUP(B952, Customers_raw!A:A, Customers_raw!B:B), "Unknown Customer")</f>
        <v>Ashley Wilson</v>
      </c>
      <c r="D952" s="1">
        <v>45959</v>
      </c>
      <c r="E952" s="1" t="str">
        <f t="shared" si="42"/>
        <v>2025-10</v>
      </c>
      <c r="F952" t="s">
        <v>16</v>
      </c>
      <c r="G952" t="s">
        <v>10</v>
      </c>
      <c r="H952">
        <v>2</v>
      </c>
      <c r="I952" s="2">
        <v>28.327272727272728</v>
      </c>
      <c r="J952" s="2">
        <f t="shared" si="43"/>
        <v>56.654545454545456</v>
      </c>
      <c r="K952" s="2" t="str">
        <f t="shared" si="44"/>
        <v>Sale</v>
      </c>
      <c r="L952" t="s">
        <v>27</v>
      </c>
    </row>
    <row r="953" spans="1:12" x14ac:dyDescent="0.25">
      <c r="A953">
        <v>5951</v>
      </c>
      <c r="B953">
        <v>65</v>
      </c>
      <c r="C953" s="5" t="str">
        <f>IFERROR(_xlfn.XLOOKUP(B953, Customers_raw!A:A, Customers_raw!B:B), "Unknown Customer")</f>
        <v>Betty Jones</v>
      </c>
      <c r="D953" s="1">
        <v>45689</v>
      </c>
      <c r="E953" s="1" t="str">
        <f t="shared" si="42"/>
        <v>2025-02</v>
      </c>
      <c r="F953" t="s">
        <v>12</v>
      </c>
      <c r="G953" t="s">
        <v>10</v>
      </c>
      <c r="H953">
        <v>1</v>
      </c>
      <c r="I953" s="2">
        <v>22</v>
      </c>
      <c r="J953" s="2">
        <f t="shared" si="43"/>
        <v>22</v>
      </c>
      <c r="K953" s="2" t="str">
        <f t="shared" si="44"/>
        <v>Sale</v>
      </c>
      <c r="L953" t="s">
        <v>5</v>
      </c>
    </row>
    <row r="954" spans="1:12" x14ac:dyDescent="0.25">
      <c r="A954">
        <v>5952</v>
      </c>
      <c r="B954">
        <v>33</v>
      </c>
      <c r="C954" s="5" t="str">
        <f>IFERROR(_xlfn.XLOOKUP(B954, Customers_raw!A:A, Customers_raw!B:B), "Unknown Customer")</f>
        <v>Jennifer White</v>
      </c>
      <c r="D954" s="1">
        <v>45671</v>
      </c>
      <c r="E954" s="1" t="str">
        <f t="shared" si="42"/>
        <v>2025-01</v>
      </c>
      <c r="F954" t="s">
        <v>15</v>
      </c>
      <c r="G954" t="s">
        <v>7</v>
      </c>
      <c r="H954">
        <v>2</v>
      </c>
      <c r="I954" s="2">
        <v>70</v>
      </c>
      <c r="J954" s="2">
        <f t="shared" si="43"/>
        <v>140</v>
      </c>
      <c r="K954" s="2" t="str">
        <f t="shared" si="44"/>
        <v>Sale</v>
      </c>
      <c r="L954" t="s">
        <v>8</v>
      </c>
    </row>
    <row r="955" spans="1:12" x14ac:dyDescent="0.25">
      <c r="A955">
        <v>5953</v>
      </c>
      <c r="B955">
        <v>74</v>
      </c>
      <c r="C955" s="5" t="str">
        <f>IFERROR(_xlfn.XLOOKUP(B955, Customers_raw!A:A, Customers_raw!B:B), "Unknown Customer")</f>
        <v>Betty Moore</v>
      </c>
      <c r="D955" s="1">
        <v>46021</v>
      </c>
      <c r="E955" s="1" t="str">
        <f t="shared" si="42"/>
        <v>2025-12</v>
      </c>
      <c r="F955" t="s">
        <v>15</v>
      </c>
      <c r="G955" t="s">
        <v>7</v>
      </c>
      <c r="H955">
        <v>2</v>
      </c>
      <c r="I955" s="2">
        <v>70</v>
      </c>
      <c r="J955" s="2">
        <f t="shared" si="43"/>
        <v>140</v>
      </c>
      <c r="K955" s="2" t="str">
        <f t="shared" si="44"/>
        <v>Sale</v>
      </c>
      <c r="L955" t="s">
        <v>8</v>
      </c>
    </row>
    <row r="956" spans="1:12" x14ac:dyDescent="0.25">
      <c r="A956">
        <v>5954</v>
      </c>
      <c r="B956">
        <v>4</v>
      </c>
      <c r="C956" s="5" t="str">
        <f>IFERROR(_xlfn.XLOOKUP(B956, Customers_raw!A:A, Customers_raw!B:B), "Unknown Customer")</f>
        <v>Joshua Brown</v>
      </c>
      <c r="D956" s="1">
        <v>45788</v>
      </c>
      <c r="E956" s="1" t="str">
        <f t="shared" si="42"/>
        <v>2025-05</v>
      </c>
      <c r="F956" t="s">
        <v>18</v>
      </c>
      <c r="G956" t="s">
        <v>6</v>
      </c>
      <c r="H956">
        <v>1</v>
      </c>
      <c r="I956" s="2">
        <v>86</v>
      </c>
      <c r="J956" s="2">
        <f t="shared" si="43"/>
        <v>86</v>
      </c>
      <c r="K956" s="2" t="str">
        <f t="shared" si="44"/>
        <v>Sale</v>
      </c>
      <c r="L956" t="s">
        <v>27</v>
      </c>
    </row>
    <row r="957" spans="1:12" x14ac:dyDescent="0.25">
      <c r="A957">
        <v>5955</v>
      </c>
      <c r="B957">
        <v>71</v>
      </c>
      <c r="C957" s="5" t="str">
        <f>IFERROR(_xlfn.XLOOKUP(B957, Customers_raw!A:A, Customers_raw!B:B), "Unknown Customer")</f>
        <v>Barbara Rodriguez</v>
      </c>
      <c r="D957" s="1">
        <v>45928</v>
      </c>
      <c r="E957" s="1" t="str">
        <f t="shared" si="42"/>
        <v>2025-09</v>
      </c>
      <c r="F957" t="s">
        <v>19</v>
      </c>
      <c r="G957" t="s">
        <v>17</v>
      </c>
      <c r="H957">
        <v>1</v>
      </c>
      <c r="I957" s="2">
        <v>22</v>
      </c>
      <c r="J957" s="2">
        <f t="shared" si="43"/>
        <v>22</v>
      </c>
      <c r="K957" s="2" t="str">
        <f t="shared" si="44"/>
        <v>Sale</v>
      </c>
      <c r="L957" t="s">
        <v>27</v>
      </c>
    </row>
    <row r="958" spans="1:12" x14ac:dyDescent="0.25">
      <c r="A958">
        <v>5956</v>
      </c>
      <c r="B958">
        <v>90</v>
      </c>
      <c r="C958" s="5" t="str">
        <f>IFERROR(_xlfn.XLOOKUP(B958, Customers_raw!A:A, Customers_raw!B:B), "Unknown Customer")</f>
        <v>John Harris</v>
      </c>
      <c r="D958" s="1">
        <v>45836</v>
      </c>
      <c r="E958" s="1" t="str">
        <f t="shared" si="42"/>
        <v>2025-06</v>
      </c>
      <c r="F958" t="s">
        <v>18</v>
      </c>
      <c r="G958" t="s">
        <v>6</v>
      </c>
      <c r="H958">
        <v>1</v>
      </c>
      <c r="I958" s="2">
        <v>86</v>
      </c>
      <c r="J958" s="2">
        <f t="shared" si="43"/>
        <v>86</v>
      </c>
      <c r="K958" s="2" t="str">
        <f t="shared" si="44"/>
        <v>Sale</v>
      </c>
      <c r="L958" t="s">
        <v>8</v>
      </c>
    </row>
    <row r="959" spans="1:12" x14ac:dyDescent="0.25">
      <c r="A959">
        <v>5957</v>
      </c>
      <c r="B959">
        <v>102</v>
      </c>
      <c r="C959" s="5" t="str">
        <f>IFERROR(_xlfn.XLOOKUP(B959, Customers_raw!A:A, Customers_raw!B:B), "Unknown Customer")</f>
        <v>Ashley Wilson</v>
      </c>
      <c r="D959" s="1">
        <v>45692</v>
      </c>
      <c r="E959" s="1" t="str">
        <f t="shared" si="42"/>
        <v>2025-02</v>
      </c>
      <c r="F959" t="s">
        <v>9</v>
      </c>
      <c r="G959" t="s">
        <v>6</v>
      </c>
      <c r="H959">
        <v>2</v>
      </c>
      <c r="I959" s="2">
        <v>45</v>
      </c>
      <c r="J959" s="2">
        <f t="shared" si="43"/>
        <v>90</v>
      </c>
      <c r="K959" s="2" t="str">
        <f t="shared" si="44"/>
        <v>Sale</v>
      </c>
      <c r="L959" t="s">
        <v>5</v>
      </c>
    </row>
    <row r="960" spans="1:12" x14ac:dyDescent="0.25">
      <c r="A960">
        <v>5958</v>
      </c>
      <c r="B960">
        <v>100</v>
      </c>
      <c r="C960" s="5" t="str">
        <f>IFERROR(_xlfn.XLOOKUP(B960, Customers_raw!A:A, Customers_raw!B:B), "Unknown Customer")</f>
        <v>Susan Williams</v>
      </c>
      <c r="D960" s="1">
        <v>45867</v>
      </c>
      <c r="E960" s="1" t="str">
        <f t="shared" si="42"/>
        <v>2025-07</v>
      </c>
      <c r="F960" t="s">
        <v>18</v>
      </c>
      <c r="G960" t="s">
        <v>6</v>
      </c>
      <c r="H960">
        <v>1</v>
      </c>
      <c r="I960" s="2">
        <v>86</v>
      </c>
      <c r="J960" s="2">
        <f t="shared" si="43"/>
        <v>86</v>
      </c>
      <c r="K960" s="2" t="str">
        <f t="shared" si="44"/>
        <v>Sale</v>
      </c>
      <c r="L960" t="s">
        <v>27</v>
      </c>
    </row>
    <row r="961" spans="1:12" x14ac:dyDescent="0.25">
      <c r="A961">
        <v>5959</v>
      </c>
      <c r="B961">
        <v>103</v>
      </c>
      <c r="C961" s="5" t="str">
        <f>IFERROR(_xlfn.XLOOKUP(B961, Customers_raw!A:A, Customers_raw!B:B), "Unknown Customer")</f>
        <v>Mark Wilson</v>
      </c>
      <c r="D961" s="1">
        <v>45833</v>
      </c>
      <c r="E961" s="1" t="str">
        <f t="shared" si="42"/>
        <v>2025-06</v>
      </c>
      <c r="F961" t="s">
        <v>13</v>
      </c>
      <c r="G961" t="s">
        <v>7</v>
      </c>
      <c r="H961">
        <v>2</v>
      </c>
      <c r="I961" s="2">
        <v>32</v>
      </c>
      <c r="J961" s="2">
        <f t="shared" si="43"/>
        <v>64</v>
      </c>
      <c r="K961" s="2" t="str">
        <f t="shared" si="44"/>
        <v>Sale</v>
      </c>
      <c r="L961" t="s">
        <v>8</v>
      </c>
    </row>
    <row r="962" spans="1:12" x14ac:dyDescent="0.25">
      <c r="A962">
        <v>5960</v>
      </c>
      <c r="B962">
        <v>25</v>
      </c>
      <c r="C962" s="5" t="str">
        <f>IFERROR(_xlfn.XLOOKUP(B962, Customers_raw!A:A, Customers_raw!B:B), "Unknown Customer")</f>
        <v>Emily Wilson</v>
      </c>
      <c r="D962" s="1">
        <v>46007</v>
      </c>
      <c r="E962" s="1" t="str">
        <f t="shared" si="42"/>
        <v>2025-12</v>
      </c>
      <c r="F962" t="s">
        <v>16</v>
      </c>
      <c r="G962" t="s">
        <v>10</v>
      </c>
      <c r="H962">
        <v>3</v>
      </c>
      <c r="I962" s="2">
        <v>31</v>
      </c>
      <c r="J962" s="2">
        <f t="shared" si="43"/>
        <v>93</v>
      </c>
      <c r="K962" s="2" t="str">
        <f t="shared" si="44"/>
        <v>Sale</v>
      </c>
      <c r="L962" t="s">
        <v>5</v>
      </c>
    </row>
    <row r="963" spans="1:12" x14ac:dyDescent="0.25">
      <c r="A963">
        <v>5961</v>
      </c>
      <c r="B963">
        <v>57</v>
      </c>
      <c r="C963" s="5" t="str">
        <f>IFERROR(_xlfn.XLOOKUP(B963, Customers_raw!A:A, Customers_raw!B:B), "Unknown Customer")</f>
        <v>Karen Clark</v>
      </c>
      <c r="D963" s="1">
        <v>46005</v>
      </c>
      <c r="E963" s="1" t="str">
        <f t="shared" ref="E963:E1026" si="45">TEXT(D:D,"YYYY-MM")</f>
        <v>2025-12</v>
      </c>
      <c r="F963" t="s">
        <v>21</v>
      </c>
      <c r="G963" t="s">
        <v>17</v>
      </c>
      <c r="H963">
        <v>3</v>
      </c>
      <c r="I963" s="2">
        <v>57</v>
      </c>
      <c r="J963" s="2">
        <f t="shared" ref="J963:J1026" si="46">H963*I963</f>
        <v>171</v>
      </c>
      <c r="K963" s="2" t="str">
        <f t="shared" ref="K963:K1026" si="47">IF(H963&lt;0,"Return","Sale")</f>
        <v>Sale</v>
      </c>
      <c r="L963" t="s">
        <v>5</v>
      </c>
    </row>
    <row r="964" spans="1:12" x14ac:dyDescent="0.25">
      <c r="A964">
        <v>5962</v>
      </c>
      <c r="B964">
        <v>3</v>
      </c>
      <c r="C964" s="5" t="str">
        <f>IFERROR(_xlfn.XLOOKUP(B964, Customers_raw!A:A, Customers_raw!B:B), "Unknown Customer")</f>
        <v>Anthony Williams</v>
      </c>
      <c r="D964" s="1">
        <v>45908</v>
      </c>
      <c r="E964" s="1" t="str">
        <f t="shared" si="45"/>
        <v>2025-09</v>
      </c>
      <c r="F964" t="s">
        <v>16</v>
      </c>
      <c r="G964" t="s">
        <v>10</v>
      </c>
      <c r="H964">
        <v>1</v>
      </c>
      <c r="I964" s="2">
        <v>28</v>
      </c>
      <c r="J964" s="2">
        <f t="shared" si="46"/>
        <v>28</v>
      </c>
      <c r="K964" s="2" t="str">
        <f t="shared" si="47"/>
        <v>Sale</v>
      </c>
      <c r="L964" t="s">
        <v>8</v>
      </c>
    </row>
    <row r="965" spans="1:12" x14ac:dyDescent="0.25">
      <c r="A965">
        <v>5963</v>
      </c>
      <c r="B965">
        <v>27</v>
      </c>
      <c r="C965" s="5" t="str">
        <f>IFERROR(_xlfn.XLOOKUP(B965, Customers_raw!A:A, Customers_raw!B:B), "Unknown Customer")</f>
        <v>Nancy Lee</v>
      </c>
      <c r="D965" s="1">
        <v>45985</v>
      </c>
      <c r="E965" s="1" t="str">
        <f t="shared" si="45"/>
        <v>2025-11</v>
      </c>
      <c r="F965" t="s">
        <v>12</v>
      </c>
      <c r="G965" t="s">
        <v>10</v>
      </c>
      <c r="H965">
        <v>1</v>
      </c>
      <c r="I965" s="2">
        <v>22</v>
      </c>
      <c r="J965" s="2">
        <f t="shared" si="46"/>
        <v>22</v>
      </c>
      <c r="K965" s="2" t="str">
        <f t="shared" si="47"/>
        <v>Sale</v>
      </c>
      <c r="L965" t="s">
        <v>8</v>
      </c>
    </row>
    <row r="966" spans="1:12" x14ac:dyDescent="0.25">
      <c r="A966">
        <v>5964</v>
      </c>
      <c r="B966">
        <v>75</v>
      </c>
      <c r="C966" s="5" t="str">
        <f>IFERROR(_xlfn.XLOOKUP(B966, Customers_raw!A:A, Customers_raw!B:B), "Unknown Customer")</f>
        <v>David Wilson</v>
      </c>
      <c r="D966" s="1">
        <v>45824</v>
      </c>
      <c r="E966" s="1" t="str">
        <f t="shared" si="45"/>
        <v>2025-06</v>
      </c>
      <c r="F966" t="s">
        <v>12</v>
      </c>
      <c r="G966" t="s">
        <v>10</v>
      </c>
      <c r="H966">
        <v>1</v>
      </c>
      <c r="I966" s="2">
        <v>22</v>
      </c>
      <c r="J966" s="2">
        <f t="shared" si="46"/>
        <v>22</v>
      </c>
      <c r="K966" s="2" t="str">
        <f t="shared" si="47"/>
        <v>Sale</v>
      </c>
      <c r="L966" t="s">
        <v>8</v>
      </c>
    </row>
    <row r="967" spans="1:12" x14ac:dyDescent="0.25">
      <c r="A967">
        <v>5965</v>
      </c>
      <c r="B967">
        <v>90</v>
      </c>
      <c r="C967" s="5" t="str">
        <f>IFERROR(_xlfn.XLOOKUP(B967, Customers_raw!A:A, Customers_raw!B:B), "Unknown Customer")</f>
        <v>John Harris</v>
      </c>
      <c r="D967" s="1">
        <v>45823</v>
      </c>
      <c r="E967" s="1" t="str">
        <f t="shared" si="45"/>
        <v>2025-06</v>
      </c>
      <c r="F967" t="s">
        <v>20</v>
      </c>
      <c r="G967" t="s">
        <v>10</v>
      </c>
      <c r="H967">
        <v>2</v>
      </c>
      <c r="I967" s="2">
        <v>65</v>
      </c>
      <c r="J967" s="2">
        <f t="shared" si="46"/>
        <v>130</v>
      </c>
      <c r="K967" s="2" t="str">
        <f t="shared" si="47"/>
        <v>Sale</v>
      </c>
      <c r="L967" t="s">
        <v>5</v>
      </c>
    </row>
    <row r="968" spans="1:12" x14ac:dyDescent="0.25">
      <c r="A968">
        <v>5966</v>
      </c>
      <c r="B968">
        <v>81</v>
      </c>
      <c r="C968" s="5" t="str">
        <f>IFERROR(_xlfn.XLOOKUP(B968, Customers_raw!A:A, Customers_raw!B:B), "Unknown Customer")</f>
        <v>Sarah Moore</v>
      </c>
      <c r="D968" s="1">
        <v>45889</v>
      </c>
      <c r="E968" s="1" t="str">
        <f t="shared" si="45"/>
        <v>2025-08</v>
      </c>
      <c r="F968" t="s">
        <v>12</v>
      </c>
      <c r="G968" t="s">
        <v>10</v>
      </c>
      <c r="H968">
        <v>1</v>
      </c>
      <c r="I968" s="2">
        <v>19</v>
      </c>
      <c r="J968" s="2">
        <f t="shared" si="46"/>
        <v>19</v>
      </c>
      <c r="K968" s="2" t="str">
        <f t="shared" si="47"/>
        <v>Sale</v>
      </c>
      <c r="L968" t="s">
        <v>5</v>
      </c>
    </row>
    <row r="969" spans="1:12" x14ac:dyDescent="0.25">
      <c r="A969">
        <v>5967</v>
      </c>
      <c r="B969">
        <v>102</v>
      </c>
      <c r="C969" s="5" t="str">
        <f>IFERROR(_xlfn.XLOOKUP(B969, Customers_raw!A:A, Customers_raw!B:B), "Unknown Customer")</f>
        <v>Ashley Wilson</v>
      </c>
      <c r="D969" s="1">
        <v>45723</v>
      </c>
      <c r="E969" s="1" t="str">
        <f t="shared" si="45"/>
        <v>2025-03</v>
      </c>
      <c r="F969" t="s">
        <v>11</v>
      </c>
      <c r="G969" t="s">
        <v>6</v>
      </c>
      <c r="H969">
        <v>1</v>
      </c>
      <c r="I969" s="2">
        <v>18</v>
      </c>
      <c r="J969" s="2">
        <f t="shared" si="46"/>
        <v>18</v>
      </c>
      <c r="K969" s="2" t="str">
        <f t="shared" si="47"/>
        <v>Sale</v>
      </c>
      <c r="L969" t="s">
        <v>8</v>
      </c>
    </row>
    <row r="970" spans="1:12" x14ac:dyDescent="0.25">
      <c r="A970">
        <v>5968</v>
      </c>
      <c r="B970">
        <v>88</v>
      </c>
      <c r="C970" s="5" t="str">
        <f>IFERROR(_xlfn.XLOOKUP(B970, Customers_raw!A:A, Customers_raw!B:B), "Unknown Customer")</f>
        <v>Michael Wilson</v>
      </c>
      <c r="D970" s="1">
        <v>45911</v>
      </c>
      <c r="E970" s="1" t="str">
        <f t="shared" si="45"/>
        <v>2025-09</v>
      </c>
      <c r="F970" t="s">
        <v>20</v>
      </c>
      <c r="G970" t="s">
        <v>10</v>
      </c>
      <c r="H970">
        <v>2</v>
      </c>
      <c r="I970" s="2">
        <v>65</v>
      </c>
      <c r="J970" s="2">
        <f t="shared" si="46"/>
        <v>130</v>
      </c>
      <c r="K970" s="2" t="str">
        <f t="shared" si="47"/>
        <v>Sale</v>
      </c>
      <c r="L970" t="s">
        <v>27</v>
      </c>
    </row>
    <row r="971" spans="1:12" x14ac:dyDescent="0.25">
      <c r="A971">
        <v>5969</v>
      </c>
      <c r="B971">
        <v>13</v>
      </c>
      <c r="C971" s="5" t="str">
        <f>IFERROR(_xlfn.XLOOKUP(B971, Customers_raw!A:A, Customers_raw!B:B), "Unknown Customer")</f>
        <v>Anthony Johnson</v>
      </c>
      <c r="D971" s="1">
        <v>45943</v>
      </c>
      <c r="E971" s="1" t="str">
        <f t="shared" si="45"/>
        <v>2025-10</v>
      </c>
      <c r="F971" t="s">
        <v>21</v>
      </c>
      <c r="G971" t="s">
        <v>17</v>
      </c>
      <c r="H971">
        <v>1</v>
      </c>
      <c r="I971" s="2">
        <v>60</v>
      </c>
      <c r="J971" s="2">
        <f t="shared" si="46"/>
        <v>60</v>
      </c>
      <c r="K971" s="2" t="str">
        <f t="shared" si="47"/>
        <v>Sale</v>
      </c>
      <c r="L971" t="s">
        <v>27</v>
      </c>
    </row>
    <row r="972" spans="1:12" x14ac:dyDescent="0.25">
      <c r="A972">
        <v>5970</v>
      </c>
      <c r="B972">
        <v>58</v>
      </c>
      <c r="C972" s="5" t="str">
        <f>IFERROR(_xlfn.XLOOKUP(B972, Customers_raw!A:A, Customers_raw!B:B), "Unknown Customer")</f>
        <v>Thomas Robinson</v>
      </c>
      <c r="D972" s="1">
        <v>45858</v>
      </c>
      <c r="E972" s="1" t="str">
        <f t="shared" si="45"/>
        <v>2025-07</v>
      </c>
      <c r="F972" t="s">
        <v>19</v>
      </c>
      <c r="G972" t="s">
        <v>17</v>
      </c>
      <c r="H972">
        <v>2</v>
      </c>
      <c r="I972" s="2">
        <v>22</v>
      </c>
      <c r="J972" s="2">
        <f t="shared" si="46"/>
        <v>44</v>
      </c>
      <c r="K972" s="2" t="str">
        <f t="shared" si="47"/>
        <v>Sale</v>
      </c>
      <c r="L972" t="s">
        <v>27</v>
      </c>
    </row>
    <row r="973" spans="1:12" x14ac:dyDescent="0.25">
      <c r="A973">
        <v>5971</v>
      </c>
      <c r="B973">
        <v>30</v>
      </c>
      <c r="C973" s="5" t="str">
        <f>IFERROR(_xlfn.XLOOKUP(B973, Customers_raw!A:A, Customers_raw!B:B), "Unknown Customer")</f>
        <v>Sandra Taylor</v>
      </c>
      <c r="D973" s="1">
        <v>45827</v>
      </c>
      <c r="E973" s="1" t="str">
        <f t="shared" si="45"/>
        <v>2025-06</v>
      </c>
      <c r="F973" t="s">
        <v>11</v>
      </c>
      <c r="G973" t="s">
        <v>6</v>
      </c>
      <c r="H973">
        <v>1</v>
      </c>
      <c r="I973" s="2">
        <v>18</v>
      </c>
      <c r="J973" s="2">
        <f t="shared" si="46"/>
        <v>18</v>
      </c>
      <c r="K973" s="2" t="str">
        <f t="shared" si="47"/>
        <v>Sale</v>
      </c>
      <c r="L973" t="s">
        <v>27</v>
      </c>
    </row>
    <row r="974" spans="1:12" x14ac:dyDescent="0.25">
      <c r="A974">
        <v>5972</v>
      </c>
      <c r="B974">
        <v>96</v>
      </c>
      <c r="C974" s="5" t="str">
        <f>IFERROR(_xlfn.XLOOKUP(B974, Customers_raw!A:A, Customers_raw!B:B), "Unknown Customer")</f>
        <v>Michael White</v>
      </c>
      <c r="D974" s="1">
        <v>45980</v>
      </c>
      <c r="E974" s="1" t="str">
        <f t="shared" si="45"/>
        <v>2025-11</v>
      </c>
      <c r="F974" t="s">
        <v>13</v>
      </c>
      <c r="G974" t="s">
        <v>7</v>
      </c>
      <c r="H974">
        <v>1</v>
      </c>
      <c r="I974" s="2">
        <v>32</v>
      </c>
      <c r="J974" s="2">
        <f t="shared" si="46"/>
        <v>32</v>
      </c>
      <c r="K974" s="2" t="str">
        <f t="shared" si="47"/>
        <v>Sale</v>
      </c>
      <c r="L974" t="s">
        <v>27</v>
      </c>
    </row>
    <row r="975" spans="1:12" x14ac:dyDescent="0.25">
      <c r="A975">
        <v>5973</v>
      </c>
      <c r="B975">
        <v>56</v>
      </c>
      <c r="C975" s="5" t="str">
        <f>IFERROR(_xlfn.XLOOKUP(B975, Customers_raw!A:A, Customers_raw!B:B), "Unknown Customer")</f>
        <v>Mark Hernandez</v>
      </c>
      <c r="D975" s="1">
        <v>45671</v>
      </c>
      <c r="E975" s="1" t="str">
        <f t="shared" si="45"/>
        <v>2025-01</v>
      </c>
      <c r="F975" t="s">
        <v>9</v>
      </c>
      <c r="G975" t="s">
        <v>6</v>
      </c>
      <c r="H975">
        <v>1</v>
      </c>
      <c r="I975" s="2">
        <v>45.091836734693878</v>
      </c>
      <c r="J975" s="2">
        <f t="shared" si="46"/>
        <v>45.091836734693878</v>
      </c>
      <c r="K975" s="2" t="str">
        <f t="shared" si="47"/>
        <v>Sale</v>
      </c>
      <c r="L975" t="s">
        <v>27</v>
      </c>
    </row>
    <row r="976" spans="1:12" x14ac:dyDescent="0.25">
      <c r="A976">
        <v>5974</v>
      </c>
      <c r="B976">
        <v>46</v>
      </c>
      <c r="C976" s="5" t="str">
        <f>IFERROR(_xlfn.XLOOKUP(B976, Customers_raw!A:A, Customers_raw!B:B), "Unknown Customer")</f>
        <v>Mary Rodriguez</v>
      </c>
      <c r="D976" s="1">
        <v>45975</v>
      </c>
      <c r="E976" s="1" t="str">
        <f t="shared" si="45"/>
        <v>2025-11</v>
      </c>
      <c r="F976" t="s">
        <v>22</v>
      </c>
      <c r="G976" t="s">
        <v>17</v>
      </c>
      <c r="H976">
        <v>2</v>
      </c>
      <c r="I976" s="2">
        <v>24</v>
      </c>
      <c r="J976" s="2">
        <f t="shared" si="46"/>
        <v>48</v>
      </c>
      <c r="K976" s="2" t="str">
        <f t="shared" si="47"/>
        <v>Sale</v>
      </c>
      <c r="L976" t="s">
        <v>27</v>
      </c>
    </row>
    <row r="977" spans="1:12" x14ac:dyDescent="0.25">
      <c r="A977">
        <v>5975</v>
      </c>
      <c r="B977">
        <v>42</v>
      </c>
      <c r="C977" s="5" t="str">
        <f>IFERROR(_xlfn.XLOOKUP(B977, Customers_raw!A:A, Customers_raw!B:B), "Unknown Customer")</f>
        <v>Jennifer Harris</v>
      </c>
      <c r="D977" s="1">
        <v>45914</v>
      </c>
      <c r="E977" s="1" t="str">
        <f t="shared" si="45"/>
        <v>2025-09</v>
      </c>
      <c r="F977" t="s">
        <v>19</v>
      </c>
      <c r="G977" t="s">
        <v>17</v>
      </c>
      <c r="H977">
        <v>1</v>
      </c>
      <c r="I977" s="2">
        <v>19</v>
      </c>
      <c r="J977" s="2">
        <f t="shared" si="46"/>
        <v>19</v>
      </c>
      <c r="K977" s="2" t="str">
        <f t="shared" si="47"/>
        <v>Sale</v>
      </c>
      <c r="L977" t="s">
        <v>8</v>
      </c>
    </row>
    <row r="978" spans="1:12" x14ac:dyDescent="0.25">
      <c r="A978">
        <v>5976</v>
      </c>
      <c r="B978">
        <v>100</v>
      </c>
      <c r="C978" s="5" t="str">
        <f>IFERROR(_xlfn.XLOOKUP(B978, Customers_raw!A:A, Customers_raw!B:B), "Unknown Customer")</f>
        <v>Susan Williams</v>
      </c>
      <c r="D978" s="1">
        <v>45926</v>
      </c>
      <c r="E978" s="1" t="str">
        <f t="shared" si="45"/>
        <v>2025-09</v>
      </c>
      <c r="F978" t="s">
        <v>14</v>
      </c>
      <c r="G978" t="s">
        <v>7</v>
      </c>
      <c r="H978">
        <v>3</v>
      </c>
      <c r="I978" s="2">
        <v>55</v>
      </c>
      <c r="J978" s="2">
        <f t="shared" si="46"/>
        <v>165</v>
      </c>
      <c r="K978" s="2" t="str">
        <f t="shared" si="47"/>
        <v>Sale</v>
      </c>
      <c r="L978" t="s">
        <v>5</v>
      </c>
    </row>
    <row r="979" spans="1:12" x14ac:dyDescent="0.25">
      <c r="A979">
        <v>5977</v>
      </c>
      <c r="B979">
        <v>95</v>
      </c>
      <c r="C979" s="5" t="str">
        <f>IFERROR(_xlfn.XLOOKUP(B979, Customers_raw!A:A, Customers_raw!B:B), "Unknown Customer")</f>
        <v>Michelle Martin</v>
      </c>
      <c r="D979" s="1">
        <v>46016</v>
      </c>
      <c r="E979" s="1" t="str">
        <f t="shared" si="45"/>
        <v>2025-12</v>
      </c>
      <c r="F979" t="s">
        <v>21</v>
      </c>
      <c r="G979" t="s">
        <v>17</v>
      </c>
      <c r="H979">
        <v>1</v>
      </c>
      <c r="I979" s="2">
        <v>63</v>
      </c>
      <c r="J979" s="2">
        <f t="shared" si="46"/>
        <v>63</v>
      </c>
      <c r="K979" s="2" t="str">
        <f t="shared" si="47"/>
        <v>Sale</v>
      </c>
      <c r="L979" t="s">
        <v>5</v>
      </c>
    </row>
    <row r="980" spans="1:12" x14ac:dyDescent="0.25">
      <c r="A980">
        <v>5978</v>
      </c>
      <c r="B980">
        <v>92</v>
      </c>
      <c r="C980" s="5" t="str">
        <f>IFERROR(_xlfn.XLOOKUP(B980, Customers_raw!A:A, Customers_raw!B:B), "Unknown Customer")</f>
        <v>Joseph Harris</v>
      </c>
      <c r="D980" s="1">
        <v>45895</v>
      </c>
      <c r="E980" s="1" t="str">
        <f t="shared" si="45"/>
        <v>2025-08</v>
      </c>
      <c r="F980" t="s">
        <v>22</v>
      </c>
      <c r="G980" t="s">
        <v>17</v>
      </c>
      <c r="H980">
        <v>2</v>
      </c>
      <c r="I980" s="2">
        <v>24</v>
      </c>
      <c r="J980" s="2">
        <f t="shared" si="46"/>
        <v>48</v>
      </c>
      <c r="K980" s="2" t="str">
        <f t="shared" si="47"/>
        <v>Sale</v>
      </c>
      <c r="L980" t="s">
        <v>8</v>
      </c>
    </row>
    <row r="981" spans="1:12" x14ac:dyDescent="0.25">
      <c r="A981">
        <v>5979</v>
      </c>
      <c r="B981">
        <v>37</v>
      </c>
      <c r="C981" s="5" t="str">
        <f>IFERROR(_xlfn.XLOOKUP(B981, Customers_raw!A:A, Customers_raw!B:B), "Unknown Customer")</f>
        <v>Kenneth Lopez</v>
      </c>
      <c r="D981" s="1">
        <v>45836</v>
      </c>
      <c r="E981" s="1" t="str">
        <f t="shared" si="45"/>
        <v>2025-06</v>
      </c>
      <c r="F981" t="s">
        <v>11</v>
      </c>
      <c r="G981" t="s">
        <v>6</v>
      </c>
      <c r="H981">
        <v>1</v>
      </c>
      <c r="I981" s="2">
        <v>15</v>
      </c>
      <c r="J981" s="2">
        <f t="shared" si="46"/>
        <v>15</v>
      </c>
      <c r="K981" s="2" t="str">
        <f t="shared" si="47"/>
        <v>Sale</v>
      </c>
      <c r="L981" t="s">
        <v>27</v>
      </c>
    </row>
    <row r="982" spans="1:12" x14ac:dyDescent="0.25">
      <c r="A982">
        <v>5980</v>
      </c>
      <c r="B982">
        <v>54</v>
      </c>
      <c r="C982" s="5" t="str">
        <f>IFERROR(_xlfn.XLOOKUP(B982, Customers_raw!A:A, Customers_raw!B:B), "Unknown Customer")</f>
        <v>Donald Moore</v>
      </c>
      <c r="D982" s="1">
        <v>45903</v>
      </c>
      <c r="E982" s="1" t="str">
        <f t="shared" si="45"/>
        <v>2025-09</v>
      </c>
      <c r="F982" t="s">
        <v>12</v>
      </c>
      <c r="G982" t="s">
        <v>10</v>
      </c>
      <c r="H982">
        <v>1</v>
      </c>
      <c r="I982" s="2">
        <v>22</v>
      </c>
      <c r="J982" s="2">
        <f t="shared" si="46"/>
        <v>22</v>
      </c>
      <c r="K982" s="2" t="str">
        <f t="shared" si="47"/>
        <v>Sale</v>
      </c>
      <c r="L982" t="s">
        <v>8</v>
      </c>
    </row>
    <row r="983" spans="1:12" x14ac:dyDescent="0.25">
      <c r="A983">
        <v>5981</v>
      </c>
      <c r="B983">
        <v>57</v>
      </c>
      <c r="C983" s="5" t="str">
        <f>IFERROR(_xlfn.XLOOKUP(B983, Customers_raw!A:A, Customers_raw!B:B), "Unknown Customer")</f>
        <v>Karen Clark</v>
      </c>
      <c r="D983" s="1">
        <v>45980</v>
      </c>
      <c r="E983" s="1" t="str">
        <f t="shared" si="45"/>
        <v>2025-11</v>
      </c>
      <c r="F983" t="s">
        <v>15</v>
      </c>
      <c r="G983" t="s">
        <v>7</v>
      </c>
      <c r="H983">
        <v>2</v>
      </c>
      <c r="I983" s="2">
        <v>70</v>
      </c>
      <c r="J983" s="2">
        <f t="shared" si="46"/>
        <v>140</v>
      </c>
      <c r="K983" s="2" t="str">
        <f t="shared" si="47"/>
        <v>Sale</v>
      </c>
      <c r="L983" t="s">
        <v>27</v>
      </c>
    </row>
    <row r="984" spans="1:12" x14ac:dyDescent="0.25">
      <c r="A984">
        <v>5982</v>
      </c>
      <c r="B984">
        <v>1</v>
      </c>
      <c r="C984" s="5" t="str">
        <f>IFERROR(_xlfn.XLOOKUP(B984, Customers_raw!A:A, Customers_raw!B:B), "Unknown Customer")</f>
        <v>Christopher Jones</v>
      </c>
      <c r="D984" s="1">
        <v>45923</v>
      </c>
      <c r="E984" s="1" t="str">
        <f t="shared" si="45"/>
        <v>2025-09</v>
      </c>
      <c r="F984" t="s">
        <v>19</v>
      </c>
      <c r="G984" t="s">
        <v>17</v>
      </c>
      <c r="H984">
        <v>3</v>
      </c>
      <c r="I984" s="2">
        <v>19.095238095238095</v>
      </c>
      <c r="J984" s="2">
        <f t="shared" si="46"/>
        <v>57.285714285714285</v>
      </c>
      <c r="K984" s="2" t="str">
        <f t="shared" si="47"/>
        <v>Sale</v>
      </c>
      <c r="L984" t="s">
        <v>27</v>
      </c>
    </row>
    <row r="985" spans="1:12" x14ac:dyDescent="0.25">
      <c r="A985">
        <v>5983</v>
      </c>
      <c r="B985">
        <v>100</v>
      </c>
      <c r="C985" s="5" t="str">
        <f>IFERROR(_xlfn.XLOOKUP(B985, Customers_raw!A:A, Customers_raw!B:B), "Unknown Customer")</f>
        <v>Susan Williams</v>
      </c>
      <c r="D985" s="1">
        <v>45982</v>
      </c>
      <c r="E985" s="1" t="str">
        <f t="shared" si="45"/>
        <v>2025-11</v>
      </c>
      <c r="F985" t="s">
        <v>22</v>
      </c>
      <c r="G985" t="s">
        <v>17</v>
      </c>
      <c r="H985">
        <v>1</v>
      </c>
      <c r="I985" s="2">
        <v>24</v>
      </c>
      <c r="J985" s="2">
        <f t="shared" si="46"/>
        <v>24</v>
      </c>
      <c r="K985" s="2" t="str">
        <f t="shared" si="47"/>
        <v>Sale</v>
      </c>
      <c r="L985" t="s">
        <v>27</v>
      </c>
    </row>
    <row r="986" spans="1:12" x14ac:dyDescent="0.25">
      <c r="A986">
        <v>5984</v>
      </c>
      <c r="B986">
        <v>42</v>
      </c>
      <c r="C986" s="5" t="str">
        <f>IFERROR(_xlfn.XLOOKUP(B986, Customers_raw!A:A, Customers_raw!B:B), "Unknown Customer")</f>
        <v>Jennifer Harris</v>
      </c>
      <c r="D986" s="1">
        <v>45858</v>
      </c>
      <c r="E986" s="1" t="str">
        <f t="shared" si="45"/>
        <v>2025-07</v>
      </c>
      <c r="F986" t="s">
        <v>11</v>
      </c>
      <c r="G986" t="s">
        <v>6</v>
      </c>
      <c r="H986">
        <v>1</v>
      </c>
      <c r="I986" s="2">
        <v>18</v>
      </c>
      <c r="J986" s="2">
        <f t="shared" si="46"/>
        <v>18</v>
      </c>
      <c r="K986" s="2" t="str">
        <f t="shared" si="47"/>
        <v>Sale</v>
      </c>
      <c r="L986" t="s">
        <v>27</v>
      </c>
    </row>
    <row r="987" spans="1:12" x14ac:dyDescent="0.25">
      <c r="A987">
        <v>5985</v>
      </c>
      <c r="B987">
        <v>106</v>
      </c>
      <c r="C987" s="5" t="str">
        <f>IFERROR(_xlfn.XLOOKUP(B987, Customers_raw!A:A, Customers_raw!B:B), "Unknown Customer")</f>
        <v>Thomas Lopez</v>
      </c>
      <c r="D987" s="1">
        <v>45995</v>
      </c>
      <c r="E987" s="1" t="str">
        <f t="shared" si="45"/>
        <v>2025-12</v>
      </c>
      <c r="F987" t="s">
        <v>13</v>
      </c>
      <c r="G987" t="s">
        <v>7</v>
      </c>
      <c r="H987">
        <v>-2</v>
      </c>
      <c r="I987" s="2">
        <v>29</v>
      </c>
      <c r="J987" s="2">
        <f t="shared" si="46"/>
        <v>-58</v>
      </c>
      <c r="K987" s="2" t="str">
        <f t="shared" si="47"/>
        <v>Return</v>
      </c>
      <c r="L987" t="s">
        <v>8</v>
      </c>
    </row>
    <row r="988" spans="1:12" x14ac:dyDescent="0.25">
      <c r="A988">
        <v>5986</v>
      </c>
      <c r="B988" t="s">
        <v>23</v>
      </c>
      <c r="C988" s="5" t="str">
        <f>IFERROR(_xlfn.XLOOKUP(B988, Customers_raw!A:A, Customers_raw!B:B), "Unknown Customer")</f>
        <v>Unknown Customer</v>
      </c>
      <c r="D988" s="1">
        <v>45888</v>
      </c>
      <c r="E988" s="1" t="str">
        <f t="shared" si="45"/>
        <v>2025-08</v>
      </c>
      <c r="F988" t="s">
        <v>19</v>
      </c>
      <c r="G988" t="s">
        <v>17</v>
      </c>
      <c r="H988">
        <v>1</v>
      </c>
      <c r="I988" s="2">
        <v>16</v>
      </c>
      <c r="J988" s="2">
        <f t="shared" si="46"/>
        <v>16</v>
      </c>
      <c r="K988" s="2" t="str">
        <f t="shared" si="47"/>
        <v>Sale</v>
      </c>
      <c r="L988" t="s">
        <v>27</v>
      </c>
    </row>
    <row r="989" spans="1:12" x14ac:dyDescent="0.25">
      <c r="A989">
        <v>5987</v>
      </c>
      <c r="B989">
        <v>30</v>
      </c>
      <c r="C989" s="5" t="str">
        <f>IFERROR(_xlfn.XLOOKUP(B989, Customers_raw!A:A, Customers_raw!B:B), "Unknown Customer")</f>
        <v>Sandra Taylor</v>
      </c>
      <c r="D989" s="1">
        <v>45948</v>
      </c>
      <c r="E989" s="1" t="str">
        <f t="shared" si="45"/>
        <v>2025-10</v>
      </c>
      <c r="F989" t="s">
        <v>14</v>
      </c>
      <c r="G989" t="s">
        <v>7</v>
      </c>
      <c r="H989">
        <v>1</v>
      </c>
      <c r="I989" s="2">
        <v>52</v>
      </c>
      <c r="J989" s="2">
        <f t="shared" si="46"/>
        <v>52</v>
      </c>
      <c r="K989" s="2" t="str">
        <f t="shared" si="47"/>
        <v>Sale</v>
      </c>
      <c r="L989" t="s">
        <v>5</v>
      </c>
    </row>
    <row r="990" spans="1:12" x14ac:dyDescent="0.25">
      <c r="A990">
        <v>5988</v>
      </c>
      <c r="B990">
        <v>70</v>
      </c>
      <c r="C990" s="5" t="str">
        <f>IFERROR(_xlfn.XLOOKUP(B990, Customers_raw!A:A, Customers_raw!B:B), "Unknown Customer")</f>
        <v>Karen Perez</v>
      </c>
      <c r="D990" s="1">
        <v>45906</v>
      </c>
      <c r="E990" s="1" t="str">
        <f t="shared" si="45"/>
        <v>2025-09</v>
      </c>
      <c r="F990" t="s">
        <v>12</v>
      </c>
      <c r="G990" t="s">
        <v>10</v>
      </c>
      <c r="H990">
        <v>3</v>
      </c>
      <c r="I990" s="2">
        <v>19</v>
      </c>
      <c r="J990" s="2">
        <f t="shared" si="46"/>
        <v>57</v>
      </c>
      <c r="K990" s="2" t="str">
        <f t="shared" si="47"/>
        <v>Sale</v>
      </c>
      <c r="L990" t="s">
        <v>27</v>
      </c>
    </row>
    <row r="991" spans="1:12" x14ac:dyDescent="0.25">
      <c r="A991">
        <v>5989</v>
      </c>
      <c r="B991">
        <v>5</v>
      </c>
      <c r="C991" s="5" t="str">
        <f>IFERROR(_xlfn.XLOOKUP(B991, Customers_raw!A:A, Customers_raw!B:B), "Unknown Customer")</f>
        <v>Joshua Martin</v>
      </c>
      <c r="D991" s="1">
        <v>45722</v>
      </c>
      <c r="E991" s="1" t="str">
        <f t="shared" si="45"/>
        <v>2025-03</v>
      </c>
      <c r="F991" t="s">
        <v>19</v>
      </c>
      <c r="G991" t="s">
        <v>17</v>
      </c>
      <c r="H991">
        <v>2</v>
      </c>
      <c r="I991" s="2">
        <v>22</v>
      </c>
      <c r="J991" s="2">
        <f t="shared" si="46"/>
        <v>44</v>
      </c>
      <c r="K991" s="2" t="str">
        <f t="shared" si="47"/>
        <v>Sale</v>
      </c>
      <c r="L991" t="s">
        <v>27</v>
      </c>
    </row>
    <row r="992" spans="1:12" x14ac:dyDescent="0.25">
      <c r="A992">
        <v>5990</v>
      </c>
      <c r="B992">
        <v>35</v>
      </c>
      <c r="C992" s="5" t="str">
        <f>IFERROR(_xlfn.XLOOKUP(B992, Customers_raw!A:A, Customers_raw!B:B), "Unknown Customer")</f>
        <v>Richard Clark</v>
      </c>
      <c r="D992" s="1">
        <v>45734</v>
      </c>
      <c r="E992" s="1" t="str">
        <f t="shared" si="45"/>
        <v>2025-03</v>
      </c>
      <c r="F992" t="s">
        <v>11</v>
      </c>
      <c r="G992" t="s">
        <v>6</v>
      </c>
      <c r="H992">
        <v>3</v>
      </c>
      <c r="I992" s="2">
        <v>18</v>
      </c>
      <c r="J992" s="2">
        <f t="shared" si="46"/>
        <v>54</v>
      </c>
      <c r="K992" s="2" t="str">
        <f t="shared" si="47"/>
        <v>Sale</v>
      </c>
      <c r="L992" t="s">
        <v>5</v>
      </c>
    </row>
    <row r="993" spans="1:12" x14ac:dyDescent="0.25">
      <c r="A993">
        <v>5991</v>
      </c>
      <c r="B993">
        <v>66</v>
      </c>
      <c r="C993" s="5" t="str">
        <f>IFERROR(_xlfn.XLOOKUP(B993, Customers_raw!A:A, Customers_raw!B:B), "Unknown Customer")</f>
        <v>Barbara Anderson</v>
      </c>
      <c r="D993" s="1">
        <v>45688</v>
      </c>
      <c r="E993" s="1" t="str">
        <f t="shared" si="45"/>
        <v>2025-01</v>
      </c>
      <c r="F993" t="s">
        <v>13</v>
      </c>
      <c r="G993" t="s">
        <v>7</v>
      </c>
      <c r="H993">
        <v>1</v>
      </c>
      <c r="I993" s="2">
        <v>35</v>
      </c>
      <c r="J993" s="2">
        <f t="shared" si="46"/>
        <v>35</v>
      </c>
      <c r="K993" s="2" t="str">
        <f t="shared" si="47"/>
        <v>Sale</v>
      </c>
      <c r="L993" t="s">
        <v>5</v>
      </c>
    </row>
    <row r="994" spans="1:12" x14ac:dyDescent="0.25">
      <c r="A994">
        <v>5992</v>
      </c>
      <c r="B994">
        <v>74</v>
      </c>
      <c r="C994" s="5" t="str">
        <f>IFERROR(_xlfn.XLOOKUP(B994, Customers_raw!A:A, Customers_raw!B:B), "Unknown Customer")</f>
        <v>Betty Moore</v>
      </c>
      <c r="D994" s="1">
        <v>45984</v>
      </c>
      <c r="E994" s="1" t="str">
        <f t="shared" si="45"/>
        <v>2025-11</v>
      </c>
      <c r="F994" t="s">
        <v>22</v>
      </c>
      <c r="G994" t="s">
        <v>17</v>
      </c>
      <c r="H994">
        <v>3</v>
      </c>
      <c r="I994" s="2">
        <v>21</v>
      </c>
      <c r="J994" s="2">
        <f t="shared" si="46"/>
        <v>63</v>
      </c>
      <c r="K994" s="2" t="str">
        <f t="shared" si="47"/>
        <v>Sale</v>
      </c>
      <c r="L994" t="s">
        <v>8</v>
      </c>
    </row>
    <row r="995" spans="1:12" x14ac:dyDescent="0.25">
      <c r="A995">
        <v>5993</v>
      </c>
      <c r="B995">
        <v>15</v>
      </c>
      <c r="C995" s="5" t="str">
        <f>IFERROR(_xlfn.XLOOKUP(B995, Customers_raw!A:A, Customers_raw!B:B), "Unknown Customer")</f>
        <v>Jennifer Rodriguez</v>
      </c>
      <c r="D995" s="1">
        <v>45994</v>
      </c>
      <c r="E995" s="1" t="str">
        <f t="shared" si="45"/>
        <v>2025-12</v>
      </c>
      <c r="F995" t="s">
        <v>9</v>
      </c>
      <c r="G995" t="s">
        <v>6</v>
      </c>
      <c r="H995">
        <v>1</v>
      </c>
      <c r="I995" s="2">
        <v>45</v>
      </c>
      <c r="J995" s="2">
        <f t="shared" si="46"/>
        <v>45</v>
      </c>
      <c r="K995" s="2" t="str">
        <f t="shared" si="47"/>
        <v>Sale</v>
      </c>
      <c r="L995" t="s">
        <v>8</v>
      </c>
    </row>
    <row r="996" spans="1:12" x14ac:dyDescent="0.25">
      <c r="A996">
        <v>5994</v>
      </c>
      <c r="B996">
        <v>70</v>
      </c>
      <c r="C996" s="5" t="str">
        <f>IFERROR(_xlfn.XLOOKUP(B996, Customers_raw!A:A, Customers_raw!B:B), "Unknown Customer")</f>
        <v>Karen Perez</v>
      </c>
      <c r="D996" s="1">
        <v>45845</v>
      </c>
      <c r="E996" s="1" t="str">
        <f t="shared" si="45"/>
        <v>2025-07</v>
      </c>
      <c r="F996" t="s">
        <v>18</v>
      </c>
      <c r="G996" t="s">
        <v>6</v>
      </c>
      <c r="H996">
        <v>1</v>
      </c>
      <c r="I996" s="2">
        <v>89</v>
      </c>
      <c r="J996" s="2">
        <f t="shared" si="46"/>
        <v>89</v>
      </c>
      <c r="K996" s="2" t="str">
        <f t="shared" si="47"/>
        <v>Sale</v>
      </c>
      <c r="L996" t="s">
        <v>5</v>
      </c>
    </row>
    <row r="997" spans="1:12" x14ac:dyDescent="0.25">
      <c r="A997">
        <v>5995</v>
      </c>
      <c r="B997">
        <v>32</v>
      </c>
      <c r="C997" s="5" t="str">
        <f>IFERROR(_xlfn.XLOOKUP(B997, Customers_raw!A:A, Customers_raw!B:B), "Unknown Customer")</f>
        <v>Kimberly Lopez</v>
      </c>
      <c r="D997" s="1">
        <v>45964</v>
      </c>
      <c r="E997" s="1" t="str">
        <f t="shared" si="45"/>
        <v>2025-11</v>
      </c>
      <c r="F997" t="s">
        <v>11</v>
      </c>
      <c r="G997" t="s">
        <v>6</v>
      </c>
      <c r="H997">
        <v>1</v>
      </c>
      <c r="I997" s="2">
        <v>18</v>
      </c>
      <c r="J997" s="2">
        <f t="shared" si="46"/>
        <v>18</v>
      </c>
      <c r="K997" s="2" t="str">
        <f t="shared" si="47"/>
        <v>Sale</v>
      </c>
      <c r="L997" t="s">
        <v>27</v>
      </c>
    </row>
    <row r="998" spans="1:12" x14ac:dyDescent="0.25">
      <c r="A998">
        <v>5996</v>
      </c>
      <c r="B998">
        <v>3</v>
      </c>
      <c r="C998" s="5" t="str">
        <f>IFERROR(_xlfn.XLOOKUP(B998, Customers_raw!A:A, Customers_raw!B:B), "Unknown Customer")</f>
        <v>Anthony Williams</v>
      </c>
      <c r="D998" s="1">
        <v>45875</v>
      </c>
      <c r="E998" s="1" t="str">
        <f t="shared" si="45"/>
        <v>2025-08</v>
      </c>
      <c r="F998" t="s">
        <v>15</v>
      </c>
      <c r="G998" t="s">
        <v>7</v>
      </c>
      <c r="H998">
        <v>3</v>
      </c>
      <c r="I998" s="2">
        <v>67</v>
      </c>
      <c r="J998" s="2">
        <f t="shared" si="46"/>
        <v>201</v>
      </c>
      <c r="K998" s="2" t="str">
        <f t="shared" si="47"/>
        <v>Sale</v>
      </c>
      <c r="L998" t="s">
        <v>8</v>
      </c>
    </row>
    <row r="999" spans="1:12" x14ac:dyDescent="0.25">
      <c r="A999">
        <v>5997</v>
      </c>
      <c r="B999">
        <v>61</v>
      </c>
      <c r="C999" s="5" t="str">
        <f>IFERROR(_xlfn.XLOOKUP(B999, Customers_raw!A:A, Customers_raw!B:B), "Unknown Customer")</f>
        <v>Jennifer Harris</v>
      </c>
      <c r="D999" s="1">
        <v>45994</v>
      </c>
      <c r="E999" s="1" t="str">
        <f t="shared" si="45"/>
        <v>2025-12</v>
      </c>
      <c r="F999" t="s">
        <v>13</v>
      </c>
      <c r="G999" t="s">
        <v>7</v>
      </c>
      <c r="H999">
        <v>2</v>
      </c>
      <c r="I999" s="2">
        <v>32</v>
      </c>
      <c r="J999" s="2">
        <f t="shared" si="46"/>
        <v>64</v>
      </c>
      <c r="K999" s="2" t="str">
        <f t="shared" si="47"/>
        <v>Sale</v>
      </c>
      <c r="L999" t="s">
        <v>27</v>
      </c>
    </row>
    <row r="1000" spans="1:12" x14ac:dyDescent="0.25">
      <c r="A1000">
        <v>5998</v>
      </c>
      <c r="B1000">
        <v>16</v>
      </c>
      <c r="C1000" s="5" t="str">
        <f>IFERROR(_xlfn.XLOOKUP(B1000, Customers_raw!A:A, Customers_raw!B:B), "Unknown Customer")</f>
        <v>Karen Perez</v>
      </c>
      <c r="D1000" s="1">
        <v>45821</v>
      </c>
      <c r="E1000" s="1" t="str">
        <f t="shared" si="45"/>
        <v>2025-06</v>
      </c>
      <c r="F1000" t="s">
        <v>16</v>
      </c>
      <c r="G1000" t="s">
        <v>10</v>
      </c>
      <c r="H1000">
        <v>2</v>
      </c>
      <c r="I1000" s="2">
        <v>31</v>
      </c>
      <c r="J1000" s="2">
        <f t="shared" si="46"/>
        <v>62</v>
      </c>
      <c r="K1000" s="2" t="str">
        <f t="shared" si="47"/>
        <v>Sale</v>
      </c>
      <c r="L1000" t="s">
        <v>5</v>
      </c>
    </row>
    <row r="1001" spans="1:12" x14ac:dyDescent="0.25">
      <c r="A1001">
        <v>5999</v>
      </c>
      <c r="B1001">
        <v>78</v>
      </c>
      <c r="C1001" s="5" t="str">
        <f>IFERROR(_xlfn.XLOOKUP(B1001, Customers_raw!A:A, Customers_raw!B:B), "Unknown Customer")</f>
        <v>Sandra Garcia</v>
      </c>
      <c r="D1001" s="1">
        <v>45851</v>
      </c>
      <c r="E1001" s="1" t="str">
        <f t="shared" si="45"/>
        <v>2025-07</v>
      </c>
      <c r="F1001" t="s">
        <v>21</v>
      </c>
      <c r="G1001" t="s">
        <v>17</v>
      </c>
      <c r="H1001">
        <v>3</v>
      </c>
      <c r="I1001" s="2">
        <v>57</v>
      </c>
      <c r="J1001" s="2">
        <f t="shared" si="46"/>
        <v>171</v>
      </c>
      <c r="K1001" s="2" t="str">
        <f t="shared" si="47"/>
        <v>Sale</v>
      </c>
      <c r="L1001" t="s">
        <v>8</v>
      </c>
    </row>
    <row r="1002" spans="1:12" x14ac:dyDescent="0.25">
      <c r="A1002">
        <v>6000</v>
      </c>
      <c r="B1002">
        <v>82</v>
      </c>
      <c r="C1002" s="5" t="str">
        <f>IFERROR(_xlfn.XLOOKUP(B1002, Customers_raw!A:A, Customers_raw!B:B), "Unknown Customer")</f>
        <v>Thomas Ramirez</v>
      </c>
      <c r="D1002" s="1">
        <v>45745</v>
      </c>
      <c r="E1002" s="1" t="str">
        <f t="shared" si="45"/>
        <v>2025-03</v>
      </c>
      <c r="F1002" t="s">
        <v>12</v>
      </c>
      <c r="G1002" t="s">
        <v>10</v>
      </c>
      <c r="H1002">
        <v>1</v>
      </c>
      <c r="I1002" s="2">
        <v>19</v>
      </c>
      <c r="J1002" s="2">
        <f t="shared" si="46"/>
        <v>19</v>
      </c>
      <c r="K1002" s="2" t="str">
        <f t="shared" si="47"/>
        <v>Sale</v>
      </c>
      <c r="L1002" t="s">
        <v>5</v>
      </c>
    </row>
    <row r="1003" spans="1:12" x14ac:dyDescent="0.25">
      <c r="A1003">
        <v>6001</v>
      </c>
      <c r="B1003">
        <v>26</v>
      </c>
      <c r="C1003" s="5" t="str">
        <f>IFERROR(_xlfn.XLOOKUP(B1003, Customers_raw!A:A, Customers_raw!B:B), "Unknown Customer")</f>
        <v>Betty Johnson</v>
      </c>
      <c r="D1003" s="1">
        <v>45865</v>
      </c>
      <c r="E1003" s="1" t="str">
        <f t="shared" si="45"/>
        <v>2025-07</v>
      </c>
      <c r="F1003" t="s">
        <v>18</v>
      </c>
      <c r="G1003" t="s">
        <v>6</v>
      </c>
      <c r="H1003">
        <v>3</v>
      </c>
      <c r="I1003" s="2">
        <v>89</v>
      </c>
      <c r="J1003" s="2">
        <f t="shared" si="46"/>
        <v>267</v>
      </c>
      <c r="K1003" s="2" t="str">
        <f t="shared" si="47"/>
        <v>Sale</v>
      </c>
      <c r="L1003" t="s">
        <v>8</v>
      </c>
    </row>
    <row r="1004" spans="1:12" x14ac:dyDescent="0.25">
      <c r="A1004">
        <v>6002</v>
      </c>
      <c r="B1004">
        <v>53</v>
      </c>
      <c r="C1004" s="5" t="str">
        <f>IFERROR(_xlfn.XLOOKUP(B1004, Customers_raw!A:A, Customers_raw!B:B), "Unknown Customer")</f>
        <v>John Thomas</v>
      </c>
      <c r="D1004" s="1">
        <v>45875</v>
      </c>
      <c r="E1004" s="1" t="str">
        <f t="shared" si="45"/>
        <v>2025-08</v>
      </c>
      <c r="F1004" t="s">
        <v>12</v>
      </c>
      <c r="G1004" t="s">
        <v>10</v>
      </c>
      <c r="H1004">
        <v>1</v>
      </c>
      <c r="I1004" s="2">
        <v>22</v>
      </c>
      <c r="J1004" s="2">
        <f t="shared" si="46"/>
        <v>22</v>
      </c>
      <c r="K1004" s="2" t="str">
        <f t="shared" si="47"/>
        <v>Sale</v>
      </c>
      <c r="L1004" t="s">
        <v>5</v>
      </c>
    </row>
    <row r="1005" spans="1:12" x14ac:dyDescent="0.25">
      <c r="A1005">
        <v>6003</v>
      </c>
      <c r="B1005">
        <v>85</v>
      </c>
      <c r="C1005" s="5" t="str">
        <f>IFERROR(_xlfn.XLOOKUP(B1005, Customers_raw!A:A, Customers_raw!B:B), "Unknown Customer")</f>
        <v>Elizabeth Martinez</v>
      </c>
      <c r="D1005" s="1">
        <v>45730</v>
      </c>
      <c r="E1005" s="1" t="str">
        <f t="shared" si="45"/>
        <v>2025-03</v>
      </c>
      <c r="F1005" t="s">
        <v>22</v>
      </c>
      <c r="G1005" t="s">
        <v>17</v>
      </c>
      <c r="H1005">
        <v>2</v>
      </c>
      <c r="I1005" s="2">
        <v>27</v>
      </c>
      <c r="J1005" s="2">
        <f t="shared" si="46"/>
        <v>54</v>
      </c>
      <c r="K1005" s="2" t="str">
        <f t="shared" si="47"/>
        <v>Sale</v>
      </c>
      <c r="L1005" t="s">
        <v>27</v>
      </c>
    </row>
    <row r="1006" spans="1:12" x14ac:dyDescent="0.25">
      <c r="A1006">
        <v>6004</v>
      </c>
      <c r="B1006">
        <v>24</v>
      </c>
      <c r="C1006" s="5" t="str">
        <f>IFERROR(_xlfn.XLOOKUP(B1006, Customers_raw!A:A, Customers_raw!B:B), "Unknown Customer")</f>
        <v>Joshua Hernandez</v>
      </c>
      <c r="D1006" s="1">
        <v>45858</v>
      </c>
      <c r="E1006" s="1" t="str">
        <f t="shared" si="45"/>
        <v>2025-07</v>
      </c>
      <c r="F1006" t="s">
        <v>20</v>
      </c>
      <c r="G1006" t="s">
        <v>10</v>
      </c>
      <c r="H1006">
        <v>2</v>
      </c>
      <c r="I1006" s="2">
        <v>65</v>
      </c>
      <c r="J1006" s="2">
        <f t="shared" si="46"/>
        <v>130</v>
      </c>
      <c r="K1006" s="2" t="str">
        <f t="shared" si="47"/>
        <v>Sale</v>
      </c>
      <c r="L1006" t="s">
        <v>5</v>
      </c>
    </row>
    <row r="1007" spans="1:12" x14ac:dyDescent="0.25">
      <c r="A1007">
        <v>6005</v>
      </c>
      <c r="B1007">
        <v>85</v>
      </c>
      <c r="C1007" s="5" t="str">
        <f>IFERROR(_xlfn.XLOOKUP(B1007, Customers_raw!A:A, Customers_raw!B:B), "Unknown Customer")</f>
        <v>Elizabeth Martinez</v>
      </c>
      <c r="D1007" s="1">
        <v>45770</v>
      </c>
      <c r="E1007" s="1" t="str">
        <f t="shared" si="45"/>
        <v>2025-04</v>
      </c>
      <c r="F1007" t="s">
        <v>12</v>
      </c>
      <c r="G1007" t="s">
        <v>10</v>
      </c>
      <c r="H1007">
        <v>2</v>
      </c>
      <c r="I1007" s="2">
        <v>25</v>
      </c>
      <c r="J1007" s="2">
        <f t="shared" si="46"/>
        <v>50</v>
      </c>
      <c r="K1007" s="2" t="str">
        <f t="shared" si="47"/>
        <v>Sale</v>
      </c>
      <c r="L1007" t="s">
        <v>5</v>
      </c>
    </row>
    <row r="1008" spans="1:12" x14ac:dyDescent="0.25">
      <c r="A1008">
        <v>6006</v>
      </c>
      <c r="B1008">
        <v>13</v>
      </c>
      <c r="C1008" s="5" t="str">
        <f>IFERROR(_xlfn.XLOOKUP(B1008, Customers_raw!A:A, Customers_raw!B:B), "Unknown Customer")</f>
        <v>Anthony Johnson</v>
      </c>
      <c r="D1008" s="1">
        <v>45947</v>
      </c>
      <c r="E1008" s="1" t="str">
        <f t="shared" si="45"/>
        <v>2025-10</v>
      </c>
      <c r="F1008" t="s">
        <v>21</v>
      </c>
      <c r="G1008" t="s">
        <v>17</v>
      </c>
      <c r="H1008">
        <v>1</v>
      </c>
      <c r="I1008" s="2">
        <v>60</v>
      </c>
      <c r="J1008" s="2">
        <f t="shared" si="46"/>
        <v>60</v>
      </c>
      <c r="K1008" s="2" t="str">
        <f t="shared" si="47"/>
        <v>Sale</v>
      </c>
      <c r="L1008" t="s">
        <v>27</v>
      </c>
    </row>
    <row r="1009" spans="1:12" x14ac:dyDescent="0.25">
      <c r="A1009">
        <v>6007</v>
      </c>
      <c r="B1009">
        <v>44</v>
      </c>
      <c r="C1009" s="5" t="str">
        <f>IFERROR(_xlfn.XLOOKUP(B1009, Customers_raw!A:A, Customers_raw!B:B), "Unknown Customer")</f>
        <v>Emily Jackson</v>
      </c>
      <c r="D1009" s="1">
        <v>45860</v>
      </c>
      <c r="E1009" s="1" t="str">
        <f t="shared" si="45"/>
        <v>2025-07</v>
      </c>
      <c r="F1009" t="s">
        <v>11</v>
      </c>
      <c r="G1009" t="s">
        <v>6</v>
      </c>
      <c r="H1009">
        <v>2</v>
      </c>
      <c r="I1009" s="2">
        <v>21</v>
      </c>
      <c r="J1009" s="2">
        <f t="shared" si="46"/>
        <v>42</v>
      </c>
      <c r="K1009" s="2" t="str">
        <f t="shared" si="47"/>
        <v>Sale</v>
      </c>
      <c r="L1009" t="s">
        <v>5</v>
      </c>
    </row>
    <row r="1010" spans="1:12" x14ac:dyDescent="0.25">
      <c r="A1010">
        <v>6008</v>
      </c>
      <c r="B1010">
        <v>69</v>
      </c>
      <c r="C1010" s="5" t="str">
        <f>IFERROR(_xlfn.XLOOKUP(B1010, Customers_raw!A:A, Customers_raw!B:B), "Unknown Customer")</f>
        <v>Jessica Brown</v>
      </c>
      <c r="D1010" s="1">
        <v>45984</v>
      </c>
      <c r="E1010" s="1" t="str">
        <f t="shared" si="45"/>
        <v>2025-11</v>
      </c>
      <c r="F1010" t="s">
        <v>19</v>
      </c>
      <c r="G1010" t="s">
        <v>17</v>
      </c>
      <c r="H1010">
        <v>1</v>
      </c>
      <c r="I1010" s="2">
        <v>19</v>
      </c>
      <c r="J1010" s="2">
        <f t="shared" si="46"/>
        <v>19</v>
      </c>
      <c r="K1010" s="2" t="str">
        <f t="shared" si="47"/>
        <v>Sale</v>
      </c>
      <c r="L1010" t="s">
        <v>27</v>
      </c>
    </row>
    <row r="1011" spans="1:12" x14ac:dyDescent="0.25">
      <c r="A1011">
        <v>6009</v>
      </c>
      <c r="B1011">
        <v>51</v>
      </c>
      <c r="C1011" s="5" t="str">
        <f>IFERROR(_xlfn.XLOOKUP(B1011, Customers_raw!A:A, Customers_raw!B:B), "Unknown Customer")</f>
        <v>Patricia Hernandez</v>
      </c>
      <c r="D1011" s="1">
        <v>45776</v>
      </c>
      <c r="E1011" s="1" t="str">
        <f t="shared" si="45"/>
        <v>2025-04</v>
      </c>
      <c r="F1011" t="s">
        <v>13</v>
      </c>
      <c r="G1011" t="s">
        <v>7</v>
      </c>
      <c r="H1011">
        <v>2</v>
      </c>
      <c r="I1011" s="2">
        <v>32</v>
      </c>
      <c r="J1011" s="2">
        <f t="shared" si="46"/>
        <v>64</v>
      </c>
      <c r="K1011" s="2" t="str">
        <f t="shared" si="47"/>
        <v>Sale</v>
      </c>
      <c r="L1011" t="s">
        <v>8</v>
      </c>
    </row>
    <row r="1012" spans="1:12" x14ac:dyDescent="0.25">
      <c r="A1012">
        <v>6010</v>
      </c>
      <c r="B1012">
        <v>101</v>
      </c>
      <c r="C1012" s="5" t="str">
        <f>IFERROR(_xlfn.XLOOKUP(B1012, Customers_raw!A:A, Customers_raw!B:B), "Unknown Customer")</f>
        <v>David Lee</v>
      </c>
      <c r="D1012" s="1">
        <v>45869</v>
      </c>
      <c r="E1012" s="1" t="str">
        <f t="shared" si="45"/>
        <v>2025-07</v>
      </c>
      <c r="F1012" t="s">
        <v>14</v>
      </c>
      <c r="G1012" t="s">
        <v>7</v>
      </c>
      <c r="H1012">
        <v>3</v>
      </c>
      <c r="I1012" s="2">
        <v>55</v>
      </c>
      <c r="J1012" s="2">
        <f t="shared" si="46"/>
        <v>165</v>
      </c>
      <c r="K1012" s="2" t="str">
        <f t="shared" si="47"/>
        <v>Sale</v>
      </c>
      <c r="L1012" t="s">
        <v>5</v>
      </c>
    </row>
    <row r="1013" spans="1:12" x14ac:dyDescent="0.25">
      <c r="A1013">
        <v>6011</v>
      </c>
      <c r="B1013">
        <v>86</v>
      </c>
      <c r="C1013" s="5" t="str">
        <f>IFERROR(_xlfn.XLOOKUP(B1013, Customers_raw!A:A, Customers_raw!B:B), "Unknown Customer")</f>
        <v>Steven Jones</v>
      </c>
      <c r="D1013" s="1">
        <v>46014</v>
      </c>
      <c r="E1013" s="1" t="str">
        <f t="shared" si="45"/>
        <v>2025-12</v>
      </c>
      <c r="F1013" t="s">
        <v>13</v>
      </c>
      <c r="G1013" t="s">
        <v>7</v>
      </c>
      <c r="H1013">
        <v>2</v>
      </c>
      <c r="I1013" s="2">
        <v>32</v>
      </c>
      <c r="J1013" s="2">
        <f t="shared" si="46"/>
        <v>64</v>
      </c>
      <c r="K1013" s="2" t="str">
        <f t="shared" si="47"/>
        <v>Sale</v>
      </c>
      <c r="L1013" t="s">
        <v>5</v>
      </c>
    </row>
    <row r="1014" spans="1:12" x14ac:dyDescent="0.25">
      <c r="A1014">
        <v>6012</v>
      </c>
      <c r="B1014">
        <v>61</v>
      </c>
      <c r="C1014" s="5" t="str">
        <f>IFERROR(_xlfn.XLOOKUP(B1014, Customers_raw!A:A, Customers_raw!B:B), "Unknown Customer")</f>
        <v>Jennifer Harris</v>
      </c>
      <c r="D1014" s="1">
        <v>45930</v>
      </c>
      <c r="E1014" s="1" t="str">
        <f t="shared" si="45"/>
        <v>2025-09</v>
      </c>
      <c r="F1014" t="s">
        <v>20</v>
      </c>
      <c r="G1014" t="s">
        <v>10</v>
      </c>
      <c r="H1014">
        <v>1</v>
      </c>
      <c r="I1014" s="2">
        <v>62</v>
      </c>
      <c r="J1014" s="2">
        <f t="shared" si="46"/>
        <v>62</v>
      </c>
      <c r="K1014" s="2" t="str">
        <f t="shared" si="47"/>
        <v>Sale</v>
      </c>
      <c r="L1014" t="s">
        <v>8</v>
      </c>
    </row>
    <row r="1015" spans="1:12" x14ac:dyDescent="0.25">
      <c r="A1015">
        <v>6013</v>
      </c>
      <c r="B1015">
        <v>10</v>
      </c>
      <c r="C1015" s="5" t="str">
        <f>IFERROR(_xlfn.XLOOKUP(B1015, Customers_raw!A:A, Customers_raw!B:B), "Unknown Customer")</f>
        <v>Karen Davis</v>
      </c>
      <c r="D1015" s="1">
        <v>45882</v>
      </c>
      <c r="E1015" s="1" t="str">
        <f t="shared" si="45"/>
        <v>2025-08</v>
      </c>
      <c r="F1015" t="s">
        <v>20</v>
      </c>
      <c r="G1015" t="s">
        <v>10</v>
      </c>
      <c r="H1015">
        <v>1</v>
      </c>
      <c r="I1015" s="2">
        <v>65</v>
      </c>
      <c r="J1015" s="2">
        <f t="shared" si="46"/>
        <v>65</v>
      </c>
      <c r="K1015" s="2" t="str">
        <f t="shared" si="47"/>
        <v>Sale</v>
      </c>
      <c r="L1015" t="s">
        <v>27</v>
      </c>
    </row>
    <row r="1016" spans="1:12" x14ac:dyDescent="0.25">
      <c r="A1016">
        <v>6014</v>
      </c>
      <c r="B1016">
        <v>44</v>
      </c>
      <c r="C1016" s="5" t="str">
        <f>IFERROR(_xlfn.XLOOKUP(B1016, Customers_raw!A:A, Customers_raw!B:B), "Unknown Customer")</f>
        <v>Emily Jackson</v>
      </c>
      <c r="D1016" s="1">
        <v>45974</v>
      </c>
      <c r="E1016" s="1" t="str">
        <f t="shared" si="45"/>
        <v>2025-11</v>
      </c>
      <c r="F1016" t="s">
        <v>14</v>
      </c>
      <c r="G1016" t="s">
        <v>7</v>
      </c>
      <c r="H1016">
        <v>2</v>
      </c>
      <c r="I1016" s="2">
        <v>52</v>
      </c>
      <c r="J1016" s="2">
        <f t="shared" si="46"/>
        <v>104</v>
      </c>
      <c r="K1016" s="2" t="str">
        <f t="shared" si="47"/>
        <v>Sale</v>
      </c>
      <c r="L1016" t="s">
        <v>5</v>
      </c>
    </row>
    <row r="1017" spans="1:12" x14ac:dyDescent="0.25">
      <c r="A1017">
        <v>6015</v>
      </c>
      <c r="B1017">
        <v>37</v>
      </c>
      <c r="C1017" s="5" t="str">
        <f>IFERROR(_xlfn.XLOOKUP(B1017, Customers_raw!A:A, Customers_raw!B:B), "Unknown Customer")</f>
        <v>Kenneth Lopez</v>
      </c>
      <c r="D1017" s="1">
        <v>45838</v>
      </c>
      <c r="E1017" s="1" t="str">
        <f t="shared" si="45"/>
        <v>2025-06</v>
      </c>
      <c r="F1017" t="s">
        <v>20</v>
      </c>
      <c r="G1017" t="s">
        <v>10</v>
      </c>
      <c r="H1017">
        <v>1</v>
      </c>
      <c r="I1017" s="2">
        <v>65</v>
      </c>
      <c r="J1017" s="2">
        <f t="shared" si="46"/>
        <v>65</v>
      </c>
      <c r="K1017" s="2" t="str">
        <f t="shared" si="47"/>
        <v>Sale</v>
      </c>
      <c r="L1017" t="s">
        <v>27</v>
      </c>
    </row>
    <row r="1018" spans="1:12" x14ac:dyDescent="0.25">
      <c r="A1018">
        <v>6016</v>
      </c>
      <c r="B1018">
        <v>17</v>
      </c>
      <c r="C1018" s="5" t="str">
        <f>IFERROR(_xlfn.XLOOKUP(B1018, Customers_raw!A:A, Customers_raw!B:B), "Unknown Customer")</f>
        <v>Mary Thomas</v>
      </c>
      <c r="D1018" s="1">
        <v>45846</v>
      </c>
      <c r="E1018" s="1" t="str">
        <f t="shared" si="45"/>
        <v>2025-07</v>
      </c>
      <c r="F1018" t="s">
        <v>9</v>
      </c>
      <c r="G1018" t="s">
        <v>6</v>
      </c>
      <c r="H1018">
        <v>2</v>
      </c>
      <c r="I1018" s="2">
        <v>45.091836734693878</v>
      </c>
      <c r="J1018" s="2">
        <f t="shared" si="46"/>
        <v>90.183673469387756</v>
      </c>
      <c r="K1018" s="2" t="str">
        <f t="shared" si="47"/>
        <v>Sale</v>
      </c>
      <c r="L1018" t="s">
        <v>27</v>
      </c>
    </row>
    <row r="1019" spans="1:12" x14ac:dyDescent="0.25">
      <c r="A1019">
        <v>6017</v>
      </c>
      <c r="B1019">
        <v>57</v>
      </c>
      <c r="C1019" s="5" t="str">
        <f>IFERROR(_xlfn.XLOOKUP(B1019, Customers_raw!A:A, Customers_raw!B:B), "Unknown Customer")</f>
        <v>Karen Clark</v>
      </c>
      <c r="D1019" s="1">
        <v>45952</v>
      </c>
      <c r="E1019" s="1" t="str">
        <f t="shared" si="45"/>
        <v>2025-10</v>
      </c>
      <c r="F1019" t="s">
        <v>21</v>
      </c>
      <c r="G1019" t="s">
        <v>17</v>
      </c>
      <c r="H1019">
        <v>3</v>
      </c>
      <c r="I1019" s="2">
        <v>63</v>
      </c>
      <c r="J1019" s="2">
        <f t="shared" si="46"/>
        <v>189</v>
      </c>
      <c r="K1019" s="2" t="str">
        <f t="shared" si="47"/>
        <v>Sale</v>
      </c>
      <c r="L1019" t="s">
        <v>5</v>
      </c>
    </row>
    <row r="1020" spans="1:12" x14ac:dyDescent="0.25">
      <c r="A1020">
        <v>6018</v>
      </c>
      <c r="B1020">
        <v>89</v>
      </c>
      <c r="C1020" s="5" t="str">
        <f>IFERROR(_xlfn.XLOOKUP(B1020, Customers_raw!A:A, Customers_raw!B:B), "Unknown Customer")</f>
        <v>Andrew Thompson</v>
      </c>
      <c r="D1020" s="1">
        <v>45731</v>
      </c>
      <c r="E1020" s="1" t="str">
        <f t="shared" si="45"/>
        <v>2025-03</v>
      </c>
      <c r="F1020" t="s">
        <v>16</v>
      </c>
      <c r="G1020" t="s">
        <v>10</v>
      </c>
      <c r="H1020">
        <v>3</v>
      </c>
      <c r="I1020" s="2">
        <v>28</v>
      </c>
      <c r="J1020" s="2">
        <f t="shared" si="46"/>
        <v>84</v>
      </c>
      <c r="K1020" s="2" t="str">
        <f t="shared" si="47"/>
        <v>Sale</v>
      </c>
      <c r="L1020" t="s">
        <v>5</v>
      </c>
    </row>
    <row r="1021" spans="1:12" x14ac:dyDescent="0.25">
      <c r="A1021">
        <v>6019</v>
      </c>
      <c r="B1021">
        <v>63</v>
      </c>
      <c r="C1021" s="5" t="str">
        <f>IFERROR(_xlfn.XLOOKUP(B1021, Customers_raw!A:A, Customers_raw!B:B), "Unknown Customer")</f>
        <v>Joseph Robinson</v>
      </c>
      <c r="D1021" s="1">
        <v>45998</v>
      </c>
      <c r="E1021" s="1" t="str">
        <f t="shared" si="45"/>
        <v>2025-12</v>
      </c>
      <c r="F1021" t="s">
        <v>18</v>
      </c>
      <c r="G1021" t="s">
        <v>6</v>
      </c>
      <c r="H1021">
        <v>1</v>
      </c>
      <c r="I1021" s="2">
        <v>89</v>
      </c>
      <c r="J1021" s="2">
        <f t="shared" si="46"/>
        <v>89</v>
      </c>
      <c r="K1021" s="2" t="str">
        <f t="shared" si="47"/>
        <v>Sale</v>
      </c>
      <c r="L1021" t="s">
        <v>27</v>
      </c>
    </row>
    <row r="1022" spans="1:12" x14ac:dyDescent="0.25">
      <c r="A1022">
        <v>6020</v>
      </c>
      <c r="B1022">
        <v>63</v>
      </c>
      <c r="C1022" s="5" t="str">
        <f>IFERROR(_xlfn.XLOOKUP(B1022, Customers_raw!A:A, Customers_raw!B:B), "Unknown Customer")</f>
        <v>Joseph Robinson</v>
      </c>
      <c r="D1022" s="1">
        <v>45692</v>
      </c>
      <c r="E1022" s="1" t="str">
        <f t="shared" si="45"/>
        <v>2025-02</v>
      </c>
      <c r="F1022" t="s">
        <v>18</v>
      </c>
      <c r="G1022" t="s">
        <v>6</v>
      </c>
      <c r="H1022">
        <v>3</v>
      </c>
      <c r="I1022" s="2">
        <v>92</v>
      </c>
      <c r="J1022" s="2">
        <f t="shared" si="46"/>
        <v>276</v>
      </c>
      <c r="K1022" s="2" t="str">
        <f t="shared" si="47"/>
        <v>Sale</v>
      </c>
      <c r="L1022" t="s">
        <v>8</v>
      </c>
    </row>
    <row r="1023" spans="1:12" x14ac:dyDescent="0.25">
      <c r="A1023">
        <v>6021</v>
      </c>
      <c r="B1023">
        <v>102</v>
      </c>
      <c r="C1023" s="5" t="str">
        <f>IFERROR(_xlfn.XLOOKUP(B1023, Customers_raw!A:A, Customers_raw!B:B), "Unknown Customer")</f>
        <v>Ashley Wilson</v>
      </c>
      <c r="D1023" s="1">
        <v>45665</v>
      </c>
      <c r="E1023" s="1" t="str">
        <f t="shared" si="45"/>
        <v>2025-01</v>
      </c>
      <c r="F1023" t="s">
        <v>12</v>
      </c>
      <c r="G1023" t="s">
        <v>10</v>
      </c>
      <c r="H1023">
        <v>1</v>
      </c>
      <c r="I1023" s="2">
        <v>19</v>
      </c>
      <c r="J1023" s="2">
        <f t="shared" si="46"/>
        <v>19</v>
      </c>
      <c r="K1023" s="2" t="str">
        <f t="shared" si="47"/>
        <v>Sale</v>
      </c>
      <c r="L1023" t="s">
        <v>23</v>
      </c>
    </row>
    <row r="1024" spans="1:12" x14ac:dyDescent="0.25">
      <c r="A1024">
        <v>6022</v>
      </c>
      <c r="B1024">
        <v>105</v>
      </c>
      <c r="C1024" s="5" t="str">
        <f>IFERROR(_xlfn.XLOOKUP(B1024, Customers_raw!A:A, Customers_raw!B:B), "Unknown Customer")</f>
        <v>Betty Brown</v>
      </c>
      <c r="D1024" s="1">
        <v>45899</v>
      </c>
      <c r="E1024" s="1" t="str">
        <f t="shared" si="45"/>
        <v>2025-08</v>
      </c>
      <c r="F1024" t="s">
        <v>9</v>
      </c>
      <c r="G1024" t="s">
        <v>6</v>
      </c>
      <c r="H1024">
        <v>2</v>
      </c>
      <c r="I1024" s="2">
        <v>45</v>
      </c>
      <c r="J1024" s="2">
        <f t="shared" si="46"/>
        <v>90</v>
      </c>
      <c r="K1024" s="2" t="str">
        <f t="shared" si="47"/>
        <v>Sale</v>
      </c>
      <c r="L1024" t="s">
        <v>8</v>
      </c>
    </row>
    <row r="1025" spans="1:12" x14ac:dyDescent="0.25">
      <c r="A1025">
        <v>6023</v>
      </c>
      <c r="B1025">
        <v>17</v>
      </c>
      <c r="C1025" s="5" t="str">
        <f>IFERROR(_xlfn.XLOOKUP(B1025, Customers_raw!A:A, Customers_raw!B:B), "Unknown Customer")</f>
        <v>Mary Thomas</v>
      </c>
      <c r="D1025" s="1">
        <v>45741</v>
      </c>
      <c r="E1025" s="1" t="str">
        <f t="shared" si="45"/>
        <v>2025-03</v>
      </c>
      <c r="F1025" t="s">
        <v>16</v>
      </c>
      <c r="G1025" t="s">
        <v>10</v>
      </c>
      <c r="H1025">
        <v>2</v>
      </c>
      <c r="I1025" s="2">
        <v>28</v>
      </c>
      <c r="J1025" s="2">
        <f t="shared" si="46"/>
        <v>56</v>
      </c>
      <c r="K1025" s="2" t="str">
        <f t="shared" si="47"/>
        <v>Sale</v>
      </c>
      <c r="L1025" t="s">
        <v>27</v>
      </c>
    </row>
    <row r="1026" spans="1:12" x14ac:dyDescent="0.25">
      <c r="A1026">
        <v>6024</v>
      </c>
      <c r="B1026">
        <v>62</v>
      </c>
      <c r="C1026" s="5" t="str">
        <f>IFERROR(_xlfn.XLOOKUP(B1026, Customers_raw!A:A, Customers_raw!B:B), "Unknown Customer")</f>
        <v>Mary Wilson</v>
      </c>
      <c r="D1026" s="1">
        <v>45897</v>
      </c>
      <c r="E1026" s="1" t="str">
        <f t="shared" si="45"/>
        <v>2025-08</v>
      </c>
      <c r="F1026" t="s">
        <v>18</v>
      </c>
      <c r="G1026" t="s">
        <v>6</v>
      </c>
      <c r="H1026">
        <v>1</v>
      </c>
      <c r="I1026" s="2">
        <v>89</v>
      </c>
      <c r="J1026" s="2">
        <f t="shared" si="46"/>
        <v>89</v>
      </c>
      <c r="K1026" s="2" t="str">
        <f t="shared" si="47"/>
        <v>Sale</v>
      </c>
      <c r="L1026" t="s">
        <v>27</v>
      </c>
    </row>
    <row r="1027" spans="1:12" x14ac:dyDescent="0.25">
      <c r="A1027">
        <v>6025</v>
      </c>
      <c r="B1027">
        <v>109</v>
      </c>
      <c r="C1027" s="5" t="str">
        <f>IFERROR(_xlfn.XLOOKUP(B1027, Customers_raw!A:A, Customers_raw!B:B), "Unknown Customer")</f>
        <v>Richard Sanchez</v>
      </c>
      <c r="D1027" s="1">
        <v>45803</v>
      </c>
      <c r="E1027" s="1" t="str">
        <f t="shared" ref="E1027:E1090" si="48">TEXT(D:D,"YYYY-MM")</f>
        <v>2025-05</v>
      </c>
      <c r="F1027" t="s">
        <v>21</v>
      </c>
      <c r="G1027" t="s">
        <v>17</v>
      </c>
      <c r="H1027">
        <v>1</v>
      </c>
      <c r="I1027" s="2">
        <v>63</v>
      </c>
      <c r="J1027" s="2">
        <f t="shared" ref="J1027:J1090" si="49">H1027*I1027</f>
        <v>63</v>
      </c>
      <c r="K1027" s="2" t="str">
        <f t="shared" ref="K1027:K1090" si="50">IF(H1027&lt;0,"Return","Sale")</f>
        <v>Sale</v>
      </c>
      <c r="L1027" t="s">
        <v>5</v>
      </c>
    </row>
    <row r="1028" spans="1:12" x14ac:dyDescent="0.25">
      <c r="A1028">
        <v>6026</v>
      </c>
      <c r="B1028">
        <v>22</v>
      </c>
      <c r="C1028" s="5" t="str">
        <f>IFERROR(_xlfn.XLOOKUP(B1028, Customers_raw!A:A, Customers_raw!B:B), "Unknown Customer")</f>
        <v>Joseph Thompson</v>
      </c>
      <c r="D1028" s="1">
        <v>45987</v>
      </c>
      <c r="E1028" s="1" t="str">
        <f t="shared" si="48"/>
        <v>2025-11</v>
      </c>
      <c r="F1028" t="s">
        <v>9</v>
      </c>
      <c r="G1028" t="s">
        <v>6</v>
      </c>
      <c r="H1028">
        <v>2</v>
      </c>
      <c r="I1028" s="2">
        <v>48</v>
      </c>
      <c r="J1028" s="2">
        <f t="shared" si="49"/>
        <v>96</v>
      </c>
      <c r="K1028" s="2" t="str">
        <f t="shared" si="50"/>
        <v>Sale</v>
      </c>
      <c r="L1028" t="s">
        <v>27</v>
      </c>
    </row>
    <row r="1029" spans="1:12" x14ac:dyDescent="0.25">
      <c r="A1029">
        <v>6027</v>
      </c>
      <c r="B1029">
        <v>61</v>
      </c>
      <c r="C1029" s="5" t="str">
        <f>IFERROR(_xlfn.XLOOKUP(B1029, Customers_raw!A:A, Customers_raw!B:B), "Unknown Customer")</f>
        <v>Jennifer Harris</v>
      </c>
      <c r="D1029" s="1">
        <v>45730</v>
      </c>
      <c r="E1029" s="1" t="str">
        <f t="shared" si="48"/>
        <v>2025-03</v>
      </c>
      <c r="F1029" t="s">
        <v>16</v>
      </c>
      <c r="G1029" t="s">
        <v>10</v>
      </c>
      <c r="H1029">
        <v>3</v>
      </c>
      <c r="I1029" s="2">
        <v>31</v>
      </c>
      <c r="J1029" s="2">
        <f t="shared" si="49"/>
        <v>93</v>
      </c>
      <c r="K1029" s="2" t="str">
        <f t="shared" si="50"/>
        <v>Sale</v>
      </c>
      <c r="L1029" t="s">
        <v>5</v>
      </c>
    </row>
    <row r="1030" spans="1:12" x14ac:dyDescent="0.25">
      <c r="A1030">
        <v>6028</v>
      </c>
      <c r="B1030">
        <v>107</v>
      </c>
      <c r="C1030" s="5" t="str">
        <f>IFERROR(_xlfn.XLOOKUP(B1030, Customers_raw!A:A, Customers_raw!B:B), "Unknown Customer")</f>
        <v>Lisa Walker</v>
      </c>
      <c r="D1030" s="1">
        <v>45997</v>
      </c>
      <c r="E1030" s="1" t="str">
        <f t="shared" si="48"/>
        <v>2025-12</v>
      </c>
      <c r="F1030" t="s">
        <v>16</v>
      </c>
      <c r="G1030" t="s">
        <v>10</v>
      </c>
      <c r="H1030">
        <v>1</v>
      </c>
      <c r="I1030" s="2">
        <v>28</v>
      </c>
      <c r="J1030" s="2">
        <f t="shared" si="49"/>
        <v>28</v>
      </c>
      <c r="K1030" s="2" t="str">
        <f t="shared" si="50"/>
        <v>Sale</v>
      </c>
      <c r="L1030" t="s">
        <v>8</v>
      </c>
    </row>
    <row r="1031" spans="1:12" x14ac:dyDescent="0.25">
      <c r="A1031">
        <v>6029</v>
      </c>
      <c r="B1031">
        <v>20</v>
      </c>
      <c r="C1031" s="5" t="str">
        <f>IFERROR(_xlfn.XLOOKUP(B1031, Customers_raw!A:A, Customers_raw!B:B), "Unknown Customer")</f>
        <v>David Ramirez</v>
      </c>
      <c r="D1031" s="1">
        <v>45716</v>
      </c>
      <c r="E1031" s="1" t="str">
        <f t="shared" si="48"/>
        <v>2025-02</v>
      </c>
      <c r="F1031" t="s">
        <v>18</v>
      </c>
      <c r="G1031" t="s">
        <v>6</v>
      </c>
      <c r="H1031">
        <v>1</v>
      </c>
      <c r="I1031" s="2">
        <v>92</v>
      </c>
      <c r="J1031" s="2">
        <f t="shared" si="49"/>
        <v>92</v>
      </c>
      <c r="K1031" s="2" t="str">
        <f t="shared" si="50"/>
        <v>Sale</v>
      </c>
      <c r="L1031" t="s">
        <v>27</v>
      </c>
    </row>
    <row r="1032" spans="1:12" x14ac:dyDescent="0.25">
      <c r="A1032">
        <v>6030</v>
      </c>
      <c r="B1032">
        <v>14</v>
      </c>
      <c r="C1032" s="5" t="str">
        <f>IFERROR(_xlfn.XLOOKUP(B1032, Customers_raw!A:A, Customers_raw!B:B), "Unknown Customer")</f>
        <v>Christopher Hernandez</v>
      </c>
      <c r="D1032" s="1">
        <v>45891</v>
      </c>
      <c r="E1032" s="1" t="str">
        <f t="shared" si="48"/>
        <v>2025-08</v>
      </c>
      <c r="F1032" t="s">
        <v>11</v>
      </c>
      <c r="G1032" t="s">
        <v>6</v>
      </c>
      <c r="H1032">
        <v>2</v>
      </c>
      <c r="I1032" s="2">
        <v>18</v>
      </c>
      <c r="J1032" s="2">
        <f t="shared" si="49"/>
        <v>36</v>
      </c>
      <c r="K1032" s="2" t="str">
        <f t="shared" si="50"/>
        <v>Sale</v>
      </c>
      <c r="L1032" t="s">
        <v>27</v>
      </c>
    </row>
    <row r="1033" spans="1:12" x14ac:dyDescent="0.25">
      <c r="A1033">
        <v>6031</v>
      </c>
      <c r="B1033">
        <v>36</v>
      </c>
      <c r="C1033" s="5" t="str">
        <f>IFERROR(_xlfn.XLOOKUP(B1033, Customers_raw!A:A, Customers_raw!B:B), "Unknown Customer")</f>
        <v>Daniel Harris</v>
      </c>
      <c r="D1033" s="1">
        <v>45839</v>
      </c>
      <c r="E1033" s="1" t="str">
        <f t="shared" si="48"/>
        <v>2025-07</v>
      </c>
      <c r="F1033" t="s">
        <v>14</v>
      </c>
      <c r="G1033" t="s">
        <v>7</v>
      </c>
      <c r="H1033">
        <v>1</v>
      </c>
      <c r="I1033" s="2">
        <v>52</v>
      </c>
      <c r="J1033" s="2">
        <f t="shared" si="49"/>
        <v>52</v>
      </c>
      <c r="K1033" s="2" t="str">
        <f t="shared" si="50"/>
        <v>Sale</v>
      </c>
      <c r="L1033" t="s">
        <v>27</v>
      </c>
    </row>
    <row r="1034" spans="1:12" x14ac:dyDescent="0.25">
      <c r="A1034">
        <v>6032</v>
      </c>
      <c r="B1034">
        <v>29</v>
      </c>
      <c r="C1034" s="5" t="str">
        <f>IFERROR(_xlfn.XLOOKUP(B1034, Customers_raw!A:A, Customers_raw!B:B), "Unknown Customer")</f>
        <v>Thomas Lopez</v>
      </c>
      <c r="D1034" s="1">
        <v>45711</v>
      </c>
      <c r="E1034" s="1" t="str">
        <f t="shared" si="48"/>
        <v>2025-02</v>
      </c>
      <c r="F1034" t="s">
        <v>19</v>
      </c>
      <c r="G1034" t="s">
        <v>17</v>
      </c>
      <c r="H1034">
        <v>1</v>
      </c>
      <c r="I1034" s="2">
        <v>16</v>
      </c>
      <c r="J1034" s="2">
        <f t="shared" si="49"/>
        <v>16</v>
      </c>
      <c r="K1034" s="2" t="str">
        <f t="shared" si="50"/>
        <v>Sale</v>
      </c>
      <c r="L1034" t="s">
        <v>5</v>
      </c>
    </row>
    <row r="1035" spans="1:12" x14ac:dyDescent="0.25">
      <c r="A1035">
        <v>6033</v>
      </c>
      <c r="B1035">
        <v>10</v>
      </c>
      <c r="C1035" s="5" t="str">
        <f>IFERROR(_xlfn.XLOOKUP(B1035, Customers_raw!A:A, Customers_raw!B:B), "Unknown Customer")</f>
        <v>Karen Davis</v>
      </c>
      <c r="D1035" s="1">
        <v>45924</v>
      </c>
      <c r="E1035" s="1" t="str">
        <f t="shared" si="48"/>
        <v>2025-09</v>
      </c>
      <c r="F1035" t="s">
        <v>14</v>
      </c>
      <c r="G1035" t="s">
        <v>7</v>
      </c>
      <c r="H1035">
        <v>1</v>
      </c>
      <c r="I1035" s="2">
        <v>52</v>
      </c>
      <c r="J1035" s="2">
        <f t="shared" si="49"/>
        <v>52</v>
      </c>
      <c r="K1035" s="2" t="str">
        <f t="shared" si="50"/>
        <v>Sale</v>
      </c>
      <c r="L1035" t="s">
        <v>27</v>
      </c>
    </row>
    <row r="1036" spans="1:12" x14ac:dyDescent="0.25">
      <c r="A1036">
        <v>6034</v>
      </c>
      <c r="B1036">
        <v>66</v>
      </c>
      <c r="C1036" s="5" t="str">
        <f>IFERROR(_xlfn.XLOOKUP(B1036, Customers_raw!A:A, Customers_raw!B:B), "Unknown Customer")</f>
        <v>Barbara Anderson</v>
      </c>
      <c r="D1036" s="1">
        <v>45900</v>
      </c>
      <c r="E1036" s="1" t="str">
        <f t="shared" si="48"/>
        <v>2025-08</v>
      </c>
      <c r="F1036" t="s">
        <v>12</v>
      </c>
      <c r="G1036" t="s">
        <v>10</v>
      </c>
      <c r="H1036">
        <v>1</v>
      </c>
      <c r="I1036" s="2">
        <v>19</v>
      </c>
      <c r="J1036" s="2">
        <f t="shared" si="49"/>
        <v>19</v>
      </c>
      <c r="K1036" s="2" t="str">
        <f t="shared" si="50"/>
        <v>Sale</v>
      </c>
      <c r="L1036" t="s">
        <v>8</v>
      </c>
    </row>
    <row r="1037" spans="1:12" x14ac:dyDescent="0.25">
      <c r="A1037">
        <v>6035</v>
      </c>
      <c r="B1037">
        <v>52</v>
      </c>
      <c r="C1037" s="5" t="str">
        <f>IFERROR(_xlfn.XLOOKUP(B1037, Customers_raw!A:A, Customers_raw!B:B), "Unknown Customer")</f>
        <v>Sarah Johnson</v>
      </c>
      <c r="D1037" s="1">
        <v>45830</v>
      </c>
      <c r="E1037" s="1" t="str">
        <f t="shared" si="48"/>
        <v>2025-06</v>
      </c>
      <c r="F1037" t="s">
        <v>12</v>
      </c>
      <c r="G1037" t="s">
        <v>10</v>
      </c>
      <c r="H1037">
        <v>1</v>
      </c>
      <c r="I1037" s="2">
        <v>22</v>
      </c>
      <c r="J1037" s="2">
        <f t="shared" si="49"/>
        <v>22</v>
      </c>
      <c r="K1037" s="2" t="str">
        <f t="shared" si="50"/>
        <v>Sale</v>
      </c>
      <c r="L1037" t="s">
        <v>5</v>
      </c>
    </row>
    <row r="1038" spans="1:12" x14ac:dyDescent="0.25">
      <c r="A1038">
        <v>6036</v>
      </c>
      <c r="B1038">
        <v>90</v>
      </c>
      <c r="C1038" s="5" t="str">
        <f>IFERROR(_xlfn.XLOOKUP(B1038, Customers_raw!A:A, Customers_raw!B:B), "Unknown Customer")</f>
        <v>John Harris</v>
      </c>
      <c r="D1038" s="1">
        <v>45780</v>
      </c>
      <c r="E1038" s="1" t="str">
        <f t="shared" si="48"/>
        <v>2025-05</v>
      </c>
      <c r="F1038" t="s">
        <v>11</v>
      </c>
      <c r="G1038" t="s">
        <v>6</v>
      </c>
      <c r="H1038">
        <v>1</v>
      </c>
      <c r="I1038" s="2">
        <v>21</v>
      </c>
      <c r="J1038" s="2">
        <f t="shared" si="49"/>
        <v>21</v>
      </c>
      <c r="K1038" s="2" t="str">
        <f t="shared" si="50"/>
        <v>Sale</v>
      </c>
      <c r="L1038" t="s">
        <v>27</v>
      </c>
    </row>
    <row r="1039" spans="1:12" x14ac:dyDescent="0.25">
      <c r="A1039">
        <v>6037</v>
      </c>
      <c r="B1039">
        <v>28</v>
      </c>
      <c r="C1039" s="5" t="str">
        <f>IFERROR(_xlfn.XLOOKUP(B1039, Customers_raw!A:A, Customers_raw!B:B), "Unknown Customer")</f>
        <v>Michael Lopez</v>
      </c>
      <c r="D1039" s="1">
        <v>45724</v>
      </c>
      <c r="E1039" s="1" t="str">
        <f t="shared" si="48"/>
        <v>2025-03</v>
      </c>
      <c r="F1039" t="s">
        <v>19</v>
      </c>
      <c r="G1039" t="s">
        <v>17</v>
      </c>
      <c r="H1039">
        <v>2</v>
      </c>
      <c r="I1039" s="2">
        <v>19</v>
      </c>
      <c r="J1039" s="2">
        <f t="shared" si="49"/>
        <v>38</v>
      </c>
      <c r="K1039" s="2" t="str">
        <f t="shared" si="50"/>
        <v>Sale</v>
      </c>
      <c r="L1039" t="s">
        <v>8</v>
      </c>
    </row>
    <row r="1040" spans="1:12" x14ac:dyDescent="0.25">
      <c r="A1040">
        <v>6038</v>
      </c>
      <c r="B1040">
        <v>10</v>
      </c>
      <c r="C1040" s="5" t="str">
        <f>IFERROR(_xlfn.XLOOKUP(B1040, Customers_raw!A:A, Customers_raw!B:B), "Unknown Customer")</f>
        <v>Karen Davis</v>
      </c>
      <c r="D1040" s="1">
        <v>45792</v>
      </c>
      <c r="E1040" s="1" t="str">
        <f t="shared" si="48"/>
        <v>2025-05</v>
      </c>
      <c r="F1040" t="s">
        <v>20</v>
      </c>
      <c r="G1040" t="s">
        <v>10</v>
      </c>
      <c r="H1040">
        <v>1</v>
      </c>
      <c r="I1040" s="2">
        <v>65.099999999999994</v>
      </c>
      <c r="J1040" s="2">
        <f t="shared" si="49"/>
        <v>65.099999999999994</v>
      </c>
      <c r="K1040" s="2" t="str">
        <f t="shared" si="50"/>
        <v>Sale</v>
      </c>
      <c r="L1040" t="s">
        <v>27</v>
      </c>
    </row>
    <row r="1041" spans="1:12" x14ac:dyDescent="0.25">
      <c r="A1041">
        <v>6039</v>
      </c>
      <c r="B1041">
        <v>72</v>
      </c>
      <c r="C1041" s="5" t="str">
        <f>IFERROR(_xlfn.XLOOKUP(B1041, Customers_raw!A:A, Customers_raw!B:B), "Unknown Customer")</f>
        <v>Steven Jackson</v>
      </c>
      <c r="D1041" s="1">
        <v>45661</v>
      </c>
      <c r="E1041" s="1" t="str">
        <f t="shared" si="48"/>
        <v>2025-01</v>
      </c>
      <c r="F1041" t="s">
        <v>21</v>
      </c>
      <c r="G1041" t="s">
        <v>17</v>
      </c>
      <c r="H1041">
        <v>2</v>
      </c>
      <c r="I1041" s="2">
        <v>60</v>
      </c>
      <c r="J1041" s="2">
        <f t="shared" si="49"/>
        <v>120</v>
      </c>
      <c r="K1041" s="2" t="str">
        <f t="shared" si="50"/>
        <v>Sale</v>
      </c>
      <c r="L1041" t="s">
        <v>27</v>
      </c>
    </row>
    <row r="1042" spans="1:12" x14ac:dyDescent="0.25">
      <c r="A1042">
        <v>6040</v>
      </c>
      <c r="B1042">
        <v>67</v>
      </c>
      <c r="C1042" s="5" t="str">
        <f>IFERROR(_xlfn.XLOOKUP(B1042, Customers_raw!A:A, Customers_raw!B:B), "Unknown Customer")</f>
        <v>Thomas Williams</v>
      </c>
      <c r="D1042" s="1">
        <v>45716</v>
      </c>
      <c r="E1042" s="1" t="str">
        <f t="shared" si="48"/>
        <v>2025-02</v>
      </c>
      <c r="F1042" t="s">
        <v>16</v>
      </c>
      <c r="G1042" t="s">
        <v>10</v>
      </c>
      <c r="H1042">
        <v>1</v>
      </c>
      <c r="I1042" s="2">
        <v>28</v>
      </c>
      <c r="J1042" s="2">
        <f t="shared" si="49"/>
        <v>28</v>
      </c>
      <c r="K1042" s="2" t="str">
        <f t="shared" si="50"/>
        <v>Sale</v>
      </c>
      <c r="L1042" t="s">
        <v>8</v>
      </c>
    </row>
    <row r="1043" spans="1:12" x14ac:dyDescent="0.25">
      <c r="A1043">
        <v>6041</v>
      </c>
      <c r="B1043">
        <v>95</v>
      </c>
      <c r="C1043" s="5" t="str">
        <f>IFERROR(_xlfn.XLOOKUP(B1043, Customers_raw!A:A, Customers_raw!B:B), "Unknown Customer")</f>
        <v>Michelle Martin</v>
      </c>
      <c r="D1043" s="1">
        <v>45805</v>
      </c>
      <c r="E1043" s="1" t="str">
        <f t="shared" si="48"/>
        <v>2025-05</v>
      </c>
      <c r="F1043" t="s">
        <v>12</v>
      </c>
      <c r="G1043" t="s">
        <v>10</v>
      </c>
      <c r="H1043">
        <v>3</v>
      </c>
      <c r="I1043" s="2">
        <v>22</v>
      </c>
      <c r="J1043" s="2">
        <f t="shared" si="49"/>
        <v>66</v>
      </c>
      <c r="K1043" s="2" t="str">
        <f t="shared" si="50"/>
        <v>Sale</v>
      </c>
      <c r="L1043" t="s">
        <v>5</v>
      </c>
    </row>
    <row r="1044" spans="1:12" x14ac:dyDescent="0.25">
      <c r="A1044">
        <v>6042</v>
      </c>
      <c r="B1044">
        <v>61</v>
      </c>
      <c r="C1044" s="5" t="str">
        <f>IFERROR(_xlfn.XLOOKUP(B1044, Customers_raw!A:A, Customers_raw!B:B), "Unknown Customer")</f>
        <v>Jennifer Harris</v>
      </c>
      <c r="D1044" s="1">
        <v>45955</v>
      </c>
      <c r="E1044" s="1" t="str">
        <f t="shared" si="48"/>
        <v>2025-10</v>
      </c>
      <c r="F1044" t="s">
        <v>16</v>
      </c>
      <c r="G1044" t="s">
        <v>10</v>
      </c>
      <c r="H1044">
        <v>1</v>
      </c>
      <c r="I1044" s="2">
        <v>31</v>
      </c>
      <c r="J1044" s="2">
        <f t="shared" si="49"/>
        <v>31</v>
      </c>
      <c r="K1044" s="2" t="str">
        <f t="shared" si="50"/>
        <v>Sale</v>
      </c>
      <c r="L1044" t="s">
        <v>5</v>
      </c>
    </row>
    <row r="1045" spans="1:12" x14ac:dyDescent="0.25">
      <c r="A1045">
        <v>6043</v>
      </c>
      <c r="B1045">
        <v>87</v>
      </c>
      <c r="C1045" s="5" t="str">
        <f>IFERROR(_xlfn.XLOOKUP(B1045, Customers_raw!A:A, Customers_raw!B:B), "Unknown Customer")</f>
        <v>Joseph Williams</v>
      </c>
      <c r="D1045" s="1">
        <v>45895</v>
      </c>
      <c r="E1045" s="1" t="str">
        <f t="shared" si="48"/>
        <v>2025-08</v>
      </c>
      <c r="F1045" t="s">
        <v>14</v>
      </c>
      <c r="G1045" t="s">
        <v>7</v>
      </c>
      <c r="H1045">
        <v>2</v>
      </c>
      <c r="I1045" s="2">
        <v>55</v>
      </c>
      <c r="J1045" s="2">
        <f t="shared" si="49"/>
        <v>110</v>
      </c>
      <c r="K1045" s="2" t="str">
        <f t="shared" si="50"/>
        <v>Sale</v>
      </c>
      <c r="L1045" t="s">
        <v>27</v>
      </c>
    </row>
    <row r="1046" spans="1:12" x14ac:dyDescent="0.25">
      <c r="A1046">
        <v>6044</v>
      </c>
      <c r="B1046">
        <v>108</v>
      </c>
      <c r="C1046" s="5" t="str">
        <f>IFERROR(_xlfn.XLOOKUP(B1046, Customers_raw!A:A, Customers_raw!B:B), "Unknown Customer")</f>
        <v>Charles Perez</v>
      </c>
      <c r="D1046" s="1">
        <v>45956</v>
      </c>
      <c r="E1046" s="1" t="str">
        <f t="shared" si="48"/>
        <v>2025-10</v>
      </c>
      <c r="F1046" t="s">
        <v>11</v>
      </c>
      <c r="G1046" t="s">
        <v>6</v>
      </c>
      <c r="H1046">
        <v>1</v>
      </c>
      <c r="I1046" s="2">
        <v>18</v>
      </c>
      <c r="J1046" s="2">
        <f t="shared" si="49"/>
        <v>18</v>
      </c>
      <c r="K1046" s="2" t="str">
        <f t="shared" si="50"/>
        <v>Sale</v>
      </c>
      <c r="L1046" t="s">
        <v>5</v>
      </c>
    </row>
    <row r="1047" spans="1:12" x14ac:dyDescent="0.25">
      <c r="A1047">
        <v>6045</v>
      </c>
      <c r="B1047">
        <v>69</v>
      </c>
      <c r="C1047" s="5" t="str">
        <f>IFERROR(_xlfn.XLOOKUP(B1047, Customers_raw!A:A, Customers_raw!B:B), "Unknown Customer")</f>
        <v>Jessica Brown</v>
      </c>
      <c r="D1047" s="1">
        <v>45913</v>
      </c>
      <c r="E1047" s="1" t="str">
        <f t="shared" si="48"/>
        <v>2025-09</v>
      </c>
      <c r="F1047" t="s">
        <v>21</v>
      </c>
      <c r="G1047" t="s">
        <v>17</v>
      </c>
      <c r="H1047">
        <v>3</v>
      </c>
      <c r="I1047" s="2">
        <v>57</v>
      </c>
      <c r="J1047" s="2">
        <f t="shared" si="49"/>
        <v>171</v>
      </c>
      <c r="K1047" s="2" t="str">
        <f t="shared" si="50"/>
        <v>Sale</v>
      </c>
      <c r="L1047" t="s">
        <v>5</v>
      </c>
    </row>
    <row r="1048" spans="1:12" x14ac:dyDescent="0.25">
      <c r="A1048">
        <v>6046</v>
      </c>
      <c r="B1048">
        <v>17</v>
      </c>
      <c r="C1048" s="5" t="str">
        <f>IFERROR(_xlfn.XLOOKUP(B1048, Customers_raw!A:A, Customers_raw!B:B), "Unknown Customer")</f>
        <v>Mary Thomas</v>
      </c>
      <c r="D1048" s="1">
        <v>45672</v>
      </c>
      <c r="E1048" s="1" t="str">
        <f t="shared" si="48"/>
        <v>2025-01</v>
      </c>
      <c r="F1048" t="s">
        <v>15</v>
      </c>
      <c r="G1048" t="s">
        <v>7</v>
      </c>
      <c r="H1048">
        <v>2</v>
      </c>
      <c r="I1048" s="2">
        <v>70</v>
      </c>
      <c r="J1048" s="2">
        <f t="shared" si="49"/>
        <v>140</v>
      </c>
      <c r="K1048" s="2" t="str">
        <f t="shared" si="50"/>
        <v>Sale</v>
      </c>
      <c r="L1048" t="s">
        <v>5</v>
      </c>
    </row>
    <row r="1049" spans="1:12" x14ac:dyDescent="0.25">
      <c r="A1049">
        <v>6047</v>
      </c>
      <c r="B1049">
        <v>33</v>
      </c>
      <c r="C1049" s="5" t="str">
        <f>IFERROR(_xlfn.XLOOKUP(B1049, Customers_raw!A:A, Customers_raw!B:B), "Unknown Customer")</f>
        <v>Jennifer White</v>
      </c>
      <c r="D1049" s="1">
        <v>45753</v>
      </c>
      <c r="E1049" s="1" t="str">
        <f t="shared" si="48"/>
        <v>2025-04</v>
      </c>
      <c r="F1049" t="s">
        <v>20</v>
      </c>
      <c r="G1049" t="s">
        <v>10</v>
      </c>
      <c r="H1049">
        <v>1</v>
      </c>
      <c r="I1049" s="2">
        <v>65</v>
      </c>
      <c r="J1049" s="2">
        <f t="shared" si="49"/>
        <v>65</v>
      </c>
      <c r="K1049" s="2" t="str">
        <f t="shared" si="50"/>
        <v>Sale</v>
      </c>
      <c r="L1049" t="s">
        <v>8</v>
      </c>
    </row>
    <row r="1050" spans="1:12" x14ac:dyDescent="0.25">
      <c r="A1050">
        <v>6048</v>
      </c>
      <c r="B1050">
        <v>110</v>
      </c>
      <c r="C1050" s="5" t="str">
        <f>IFERROR(_xlfn.XLOOKUP(B1050, Customers_raw!A:A, Customers_raw!B:B), "Unknown Customer")</f>
        <v>Betty Walker</v>
      </c>
      <c r="D1050" s="1">
        <v>45722</v>
      </c>
      <c r="E1050" s="1" t="str">
        <f t="shared" si="48"/>
        <v>2025-03</v>
      </c>
      <c r="F1050" t="s">
        <v>22</v>
      </c>
      <c r="G1050" t="s">
        <v>17</v>
      </c>
      <c r="H1050">
        <v>1</v>
      </c>
      <c r="I1050" s="2">
        <v>24</v>
      </c>
      <c r="J1050" s="2">
        <f t="shared" si="49"/>
        <v>24</v>
      </c>
      <c r="K1050" s="2" t="str">
        <f t="shared" si="50"/>
        <v>Sale</v>
      </c>
      <c r="L1050" t="s">
        <v>27</v>
      </c>
    </row>
    <row r="1051" spans="1:12" x14ac:dyDescent="0.25">
      <c r="A1051">
        <v>6049</v>
      </c>
      <c r="B1051">
        <v>49</v>
      </c>
      <c r="C1051" s="5" t="str">
        <f>IFERROR(_xlfn.XLOOKUP(B1051, Customers_raw!A:A, Customers_raw!B:B), "Unknown Customer")</f>
        <v>Steven Smith</v>
      </c>
      <c r="D1051" s="1">
        <v>45775</v>
      </c>
      <c r="E1051" s="1" t="str">
        <f t="shared" si="48"/>
        <v>2025-04</v>
      </c>
      <c r="F1051" t="s">
        <v>11</v>
      </c>
      <c r="G1051" t="s">
        <v>6</v>
      </c>
      <c r="H1051">
        <v>3</v>
      </c>
      <c r="I1051" s="2">
        <v>18</v>
      </c>
      <c r="J1051" s="2">
        <f t="shared" si="49"/>
        <v>54</v>
      </c>
      <c r="K1051" s="2" t="str">
        <f t="shared" si="50"/>
        <v>Sale</v>
      </c>
      <c r="L1051" t="s">
        <v>8</v>
      </c>
    </row>
    <row r="1052" spans="1:12" x14ac:dyDescent="0.25">
      <c r="A1052">
        <v>6050</v>
      </c>
      <c r="B1052">
        <v>28</v>
      </c>
      <c r="C1052" s="5" t="str">
        <f>IFERROR(_xlfn.XLOOKUP(B1052, Customers_raw!A:A, Customers_raw!B:B), "Unknown Customer")</f>
        <v>Michael Lopez</v>
      </c>
      <c r="D1052" s="1">
        <v>45789</v>
      </c>
      <c r="E1052" s="1" t="str">
        <f t="shared" si="48"/>
        <v>2025-05</v>
      </c>
      <c r="F1052" t="s">
        <v>15</v>
      </c>
      <c r="G1052" t="s">
        <v>7</v>
      </c>
      <c r="H1052">
        <v>1</v>
      </c>
      <c r="I1052" s="2">
        <v>73</v>
      </c>
      <c r="J1052" s="2">
        <f t="shared" si="49"/>
        <v>73</v>
      </c>
      <c r="K1052" s="2" t="str">
        <f t="shared" si="50"/>
        <v>Sale</v>
      </c>
      <c r="L1052" t="s">
        <v>27</v>
      </c>
    </row>
    <row r="1053" spans="1:12" x14ac:dyDescent="0.25">
      <c r="A1053">
        <v>6051</v>
      </c>
      <c r="B1053">
        <v>90</v>
      </c>
      <c r="C1053" s="5" t="str">
        <f>IFERROR(_xlfn.XLOOKUP(B1053, Customers_raw!A:A, Customers_raw!B:B), "Unknown Customer")</f>
        <v>John Harris</v>
      </c>
      <c r="D1053" s="1">
        <v>45898</v>
      </c>
      <c r="E1053" s="1" t="str">
        <f t="shared" si="48"/>
        <v>2025-08</v>
      </c>
      <c r="F1053" t="s">
        <v>14</v>
      </c>
      <c r="G1053" t="s">
        <v>7</v>
      </c>
      <c r="H1053">
        <v>2</v>
      </c>
      <c r="I1053" s="2">
        <v>55</v>
      </c>
      <c r="J1053" s="2">
        <f t="shared" si="49"/>
        <v>110</v>
      </c>
      <c r="K1053" s="2" t="str">
        <f t="shared" si="50"/>
        <v>Sale</v>
      </c>
      <c r="L1053" t="s">
        <v>8</v>
      </c>
    </row>
    <row r="1054" spans="1:12" x14ac:dyDescent="0.25">
      <c r="A1054">
        <v>6052</v>
      </c>
      <c r="B1054">
        <v>7</v>
      </c>
      <c r="C1054" s="5" t="str">
        <f>IFERROR(_xlfn.XLOOKUP(B1054, Customers_raw!A:A, Customers_raw!B:B), "Unknown Customer")</f>
        <v>Emily Ramirez</v>
      </c>
      <c r="D1054" s="1">
        <v>45859</v>
      </c>
      <c r="E1054" s="1" t="str">
        <f t="shared" si="48"/>
        <v>2025-07</v>
      </c>
      <c r="F1054" t="s">
        <v>13</v>
      </c>
      <c r="G1054" t="s">
        <v>7</v>
      </c>
      <c r="H1054">
        <v>1</v>
      </c>
      <c r="I1054" s="2">
        <v>32</v>
      </c>
      <c r="J1054" s="2">
        <f t="shared" si="49"/>
        <v>32</v>
      </c>
      <c r="K1054" s="2" t="str">
        <f t="shared" si="50"/>
        <v>Sale</v>
      </c>
      <c r="L1054" t="s">
        <v>27</v>
      </c>
    </row>
    <row r="1055" spans="1:12" x14ac:dyDescent="0.25">
      <c r="A1055">
        <v>6053</v>
      </c>
      <c r="B1055">
        <v>3</v>
      </c>
      <c r="C1055" s="5" t="str">
        <f>IFERROR(_xlfn.XLOOKUP(B1055, Customers_raw!A:A, Customers_raw!B:B), "Unknown Customer")</f>
        <v>Anthony Williams</v>
      </c>
      <c r="D1055" s="1">
        <v>45879</v>
      </c>
      <c r="E1055" s="1" t="str">
        <f t="shared" si="48"/>
        <v>2025-08</v>
      </c>
      <c r="F1055" t="s">
        <v>15</v>
      </c>
      <c r="G1055" t="s">
        <v>7</v>
      </c>
      <c r="H1055">
        <v>1</v>
      </c>
      <c r="I1055" s="2">
        <v>70</v>
      </c>
      <c r="J1055" s="2">
        <f t="shared" si="49"/>
        <v>70</v>
      </c>
      <c r="K1055" s="2" t="str">
        <f t="shared" si="50"/>
        <v>Sale</v>
      </c>
      <c r="L1055" t="s">
        <v>8</v>
      </c>
    </row>
    <row r="1056" spans="1:12" x14ac:dyDescent="0.25">
      <c r="A1056">
        <v>6054</v>
      </c>
      <c r="B1056">
        <v>4</v>
      </c>
      <c r="C1056" s="5" t="str">
        <f>IFERROR(_xlfn.XLOOKUP(B1056, Customers_raw!A:A, Customers_raw!B:B), "Unknown Customer")</f>
        <v>Joshua Brown</v>
      </c>
      <c r="D1056" s="1">
        <v>46016</v>
      </c>
      <c r="E1056" s="1" t="str">
        <f t="shared" si="48"/>
        <v>2025-12</v>
      </c>
      <c r="F1056" t="s">
        <v>11</v>
      </c>
      <c r="G1056" t="s">
        <v>6</v>
      </c>
      <c r="H1056">
        <v>2</v>
      </c>
      <c r="I1056" s="2">
        <v>17.804347826086957</v>
      </c>
      <c r="J1056" s="2">
        <f t="shared" si="49"/>
        <v>35.608695652173914</v>
      </c>
      <c r="K1056" s="2" t="str">
        <f t="shared" si="50"/>
        <v>Sale</v>
      </c>
      <c r="L1056" t="s">
        <v>8</v>
      </c>
    </row>
    <row r="1057" spans="1:12" x14ac:dyDescent="0.25">
      <c r="A1057">
        <v>6055</v>
      </c>
      <c r="B1057">
        <v>50</v>
      </c>
      <c r="C1057" s="5" t="str">
        <f>IFERROR(_xlfn.XLOOKUP(B1057, Customers_raw!A:A, Customers_raw!B:B), "Unknown Customer")</f>
        <v>Elizabeth Garcia</v>
      </c>
      <c r="D1057" s="1">
        <v>45924</v>
      </c>
      <c r="E1057" s="1" t="str">
        <f t="shared" si="48"/>
        <v>2025-09</v>
      </c>
      <c r="F1057" t="s">
        <v>13</v>
      </c>
      <c r="G1057" t="s">
        <v>7</v>
      </c>
      <c r="H1057">
        <v>2</v>
      </c>
      <c r="I1057" s="2">
        <v>32</v>
      </c>
      <c r="J1057" s="2">
        <f t="shared" si="49"/>
        <v>64</v>
      </c>
      <c r="K1057" s="2" t="str">
        <f t="shared" si="50"/>
        <v>Sale</v>
      </c>
      <c r="L1057" t="s">
        <v>8</v>
      </c>
    </row>
    <row r="1058" spans="1:12" x14ac:dyDescent="0.25">
      <c r="A1058">
        <v>6056</v>
      </c>
      <c r="B1058">
        <v>87</v>
      </c>
      <c r="C1058" s="5" t="str">
        <f>IFERROR(_xlfn.XLOOKUP(B1058, Customers_raw!A:A, Customers_raw!B:B), "Unknown Customer")</f>
        <v>Joseph Williams</v>
      </c>
      <c r="D1058" s="1">
        <v>45937</v>
      </c>
      <c r="E1058" s="1" t="str">
        <f t="shared" si="48"/>
        <v>2025-10</v>
      </c>
      <c r="F1058" t="s">
        <v>12</v>
      </c>
      <c r="G1058" t="s">
        <v>10</v>
      </c>
      <c r="H1058">
        <v>1</v>
      </c>
      <c r="I1058" s="2">
        <v>19</v>
      </c>
      <c r="J1058" s="2">
        <f t="shared" si="49"/>
        <v>19</v>
      </c>
      <c r="K1058" s="2" t="str">
        <f t="shared" si="50"/>
        <v>Sale</v>
      </c>
      <c r="L1058" t="s">
        <v>8</v>
      </c>
    </row>
    <row r="1059" spans="1:12" x14ac:dyDescent="0.25">
      <c r="A1059">
        <v>6057</v>
      </c>
      <c r="B1059">
        <v>44</v>
      </c>
      <c r="C1059" s="5" t="str">
        <f>IFERROR(_xlfn.XLOOKUP(B1059, Customers_raw!A:A, Customers_raw!B:B), "Unknown Customer")</f>
        <v>Emily Jackson</v>
      </c>
      <c r="D1059" s="1">
        <v>45731</v>
      </c>
      <c r="E1059" s="1" t="str">
        <f t="shared" si="48"/>
        <v>2025-03</v>
      </c>
      <c r="F1059" t="s">
        <v>22</v>
      </c>
      <c r="G1059" t="s">
        <v>17</v>
      </c>
      <c r="H1059">
        <v>2</v>
      </c>
      <c r="I1059" s="2">
        <v>24</v>
      </c>
      <c r="J1059" s="2">
        <f t="shared" si="49"/>
        <v>48</v>
      </c>
      <c r="K1059" s="2" t="str">
        <f t="shared" si="50"/>
        <v>Sale</v>
      </c>
      <c r="L1059" t="s">
        <v>8</v>
      </c>
    </row>
    <row r="1060" spans="1:12" x14ac:dyDescent="0.25">
      <c r="A1060">
        <v>6058</v>
      </c>
      <c r="B1060">
        <v>72</v>
      </c>
      <c r="C1060" s="5" t="str">
        <f>IFERROR(_xlfn.XLOOKUP(B1060, Customers_raw!A:A, Customers_raw!B:B), "Unknown Customer")</f>
        <v>Steven Jackson</v>
      </c>
      <c r="D1060" s="1">
        <v>45883</v>
      </c>
      <c r="E1060" s="1" t="str">
        <f t="shared" si="48"/>
        <v>2025-08</v>
      </c>
      <c r="F1060" t="s">
        <v>21</v>
      </c>
      <c r="G1060" t="s">
        <v>17</v>
      </c>
      <c r="H1060">
        <v>2</v>
      </c>
      <c r="I1060" s="2">
        <v>63</v>
      </c>
      <c r="J1060" s="2">
        <f t="shared" si="49"/>
        <v>126</v>
      </c>
      <c r="K1060" s="2" t="str">
        <f t="shared" si="50"/>
        <v>Sale</v>
      </c>
      <c r="L1060" t="s">
        <v>5</v>
      </c>
    </row>
    <row r="1061" spans="1:12" x14ac:dyDescent="0.25">
      <c r="A1061">
        <v>6059</v>
      </c>
      <c r="B1061">
        <v>20</v>
      </c>
      <c r="C1061" s="5" t="str">
        <f>IFERROR(_xlfn.XLOOKUP(B1061, Customers_raw!A:A, Customers_raw!B:B), "Unknown Customer")</f>
        <v>David Ramirez</v>
      </c>
      <c r="D1061" s="1">
        <v>46021</v>
      </c>
      <c r="E1061" s="1" t="str">
        <f t="shared" si="48"/>
        <v>2025-12</v>
      </c>
      <c r="F1061" t="s">
        <v>13</v>
      </c>
      <c r="G1061" t="s">
        <v>7</v>
      </c>
      <c r="H1061">
        <v>3</v>
      </c>
      <c r="I1061" s="2">
        <v>32</v>
      </c>
      <c r="J1061" s="2">
        <f t="shared" si="49"/>
        <v>96</v>
      </c>
      <c r="K1061" s="2" t="str">
        <f t="shared" si="50"/>
        <v>Sale</v>
      </c>
      <c r="L1061" t="s">
        <v>8</v>
      </c>
    </row>
    <row r="1062" spans="1:12" x14ac:dyDescent="0.25">
      <c r="A1062">
        <v>6060</v>
      </c>
      <c r="B1062">
        <v>101</v>
      </c>
      <c r="C1062" s="5" t="str">
        <f>IFERROR(_xlfn.XLOOKUP(B1062, Customers_raw!A:A, Customers_raw!B:B), "Unknown Customer")</f>
        <v>David Lee</v>
      </c>
      <c r="D1062" s="1">
        <v>45787</v>
      </c>
      <c r="E1062" s="1" t="str">
        <f t="shared" si="48"/>
        <v>2025-05</v>
      </c>
      <c r="F1062" t="s">
        <v>21</v>
      </c>
      <c r="G1062" t="s">
        <v>17</v>
      </c>
      <c r="H1062">
        <v>1</v>
      </c>
      <c r="I1062" s="2">
        <v>59.846153846153847</v>
      </c>
      <c r="J1062" s="2">
        <f t="shared" si="49"/>
        <v>59.846153846153847</v>
      </c>
      <c r="K1062" s="2" t="str">
        <f t="shared" si="50"/>
        <v>Sale</v>
      </c>
      <c r="L1062" t="s">
        <v>5</v>
      </c>
    </row>
    <row r="1063" spans="1:12" x14ac:dyDescent="0.25">
      <c r="A1063">
        <v>6061</v>
      </c>
      <c r="B1063">
        <v>23</v>
      </c>
      <c r="C1063" s="5" t="str">
        <f>IFERROR(_xlfn.XLOOKUP(B1063, Customers_raw!A:A, Customers_raw!B:B), "Unknown Customer")</f>
        <v>Thomas Martinez</v>
      </c>
      <c r="D1063" s="1">
        <v>45731</v>
      </c>
      <c r="E1063" s="1" t="str">
        <f t="shared" si="48"/>
        <v>2025-03</v>
      </c>
      <c r="F1063" t="s">
        <v>15</v>
      </c>
      <c r="G1063" t="s">
        <v>7</v>
      </c>
      <c r="H1063">
        <v>2</v>
      </c>
      <c r="I1063" s="2">
        <v>70</v>
      </c>
      <c r="J1063" s="2">
        <f t="shared" si="49"/>
        <v>140</v>
      </c>
      <c r="K1063" s="2" t="str">
        <f t="shared" si="50"/>
        <v>Sale</v>
      </c>
      <c r="L1063" t="s">
        <v>5</v>
      </c>
    </row>
    <row r="1064" spans="1:12" x14ac:dyDescent="0.25">
      <c r="A1064">
        <v>6062</v>
      </c>
      <c r="B1064">
        <v>29</v>
      </c>
      <c r="C1064" s="5" t="str">
        <f>IFERROR(_xlfn.XLOOKUP(B1064, Customers_raw!A:A, Customers_raw!B:B), "Unknown Customer")</f>
        <v>Thomas Lopez</v>
      </c>
      <c r="D1064" s="1">
        <v>45946</v>
      </c>
      <c r="E1064" s="1" t="str">
        <f t="shared" si="48"/>
        <v>2025-10</v>
      </c>
      <c r="F1064" t="s">
        <v>13</v>
      </c>
      <c r="G1064" t="s">
        <v>7</v>
      </c>
      <c r="H1064">
        <v>2</v>
      </c>
      <c r="I1064" s="2">
        <v>32</v>
      </c>
      <c r="J1064" s="2">
        <f t="shared" si="49"/>
        <v>64</v>
      </c>
      <c r="K1064" s="2" t="str">
        <f t="shared" si="50"/>
        <v>Sale</v>
      </c>
      <c r="L1064" t="s">
        <v>27</v>
      </c>
    </row>
    <row r="1065" spans="1:12" x14ac:dyDescent="0.25">
      <c r="A1065">
        <v>6063</v>
      </c>
      <c r="B1065">
        <v>21</v>
      </c>
      <c r="C1065" s="5" t="str">
        <f>IFERROR(_xlfn.XLOOKUP(B1065, Customers_raw!A:A, Customers_raw!B:B), "Unknown Customer")</f>
        <v>Daniel Thompson</v>
      </c>
      <c r="D1065" s="1">
        <v>45786</v>
      </c>
      <c r="E1065" s="1" t="str">
        <f t="shared" si="48"/>
        <v>2025-05</v>
      </c>
      <c r="F1065" t="s">
        <v>18</v>
      </c>
      <c r="G1065" t="s">
        <v>6</v>
      </c>
      <c r="H1065">
        <v>1</v>
      </c>
      <c r="I1065" s="2">
        <v>89.144230769230774</v>
      </c>
      <c r="J1065" s="2">
        <f t="shared" si="49"/>
        <v>89.144230769230774</v>
      </c>
      <c r="K1065" s="2" t="str">
        <f t="shared" si="50"/>
        <v>Sale</v>
      </c>
      <c r="L1065" t="s">
        <v>8</v>
      </c>
    </row>
    <row r="1066" spans="1:12" x14ac:dyDescent="0.25">
      <c r="A1066">
        <v>6064</v>
      </c>
      <c r="B1066">
        <v>8</v>
      </c>
      <c r="C1066" s="5" t="str">
        <f>IFERROR(_xlfn.XLOOKUP(B1066, Customers_raw!A:A, Customers_raw!B:B), "Unknown Customer")</f>
        <v>Lisa Brown</v>
      </c>
      <c r="D1066" s="1">
        <v>45983</v>
      </c>
      <c r="E1066" s="1" t="str">
        <f t="shared" si="48"/>
        <v>2025-11</v>
      </c>
      <c r="F1066" t="s">
        <v>18</v>
      </c>
      <c r="G1066" t="s">
        <v>6</v>
      </c>
      <c r="H1066">
        <v>1</v>
      </c>
      <c r="I1066" s="2">
        <v>86</v>
      </c>
      <c r="J1066" s="2">
        <f t="shared" si="49"/>
        <v>86</v>
      </c>
      <c r="K1066" s="2" t="str">
        <f t="shared" si="50"/>
        <v>Sale</v>
      </c>
      <c r="L1066" t="s">
        <v>27</v>
      </c>
    </row>
    <row r="1067" spans="1:12" x14ac:dyDescent="0.25">
      <c r="A1067">
        <v>6065</v>
      </c>
      <c r="B1067">
        <v>45</v>
      </c>
      <c r="C1067" s="5" t="str">
        <f>IFERROR(_xlfn.XLOOKUP(B1067, Customers_raw!A:A, Customers_raw!B:B), "Unknown Customer")</f>
        <v>Michael Moore</v>
      </c>
      <c r="D1067" s="1">
        <v>45682</v>
      </c>
      <c r="E1067" s="1" t="str">
        <f t="shared" si="48"/>
        <v>2025-01</v>
      </c>
      <c r="F1067" t="s">
        <v>11</v>
      </c>
      <c r="G1067" t="s">
        <v>6</v>
      </c>
      <c r="H1067">
        <v>2</v>
      </c>
      <c r="I1067" s="2">
        <v>18</v>
      </c>
      <c r="J1067" s="2">
        <f t="shared" si="49"/>
        <v>36</v>
      </c>
      <c r="K1067" s="2" t="str">
        <f t="shared" si="50"/>
        <v>Sale</v>
      </c>
      <c r="L1067" t="s">
        <v>8</v>
      </c>
    </row>
    <row r="1068" spans="1:12" x14ac:dyDescent="0.25">
      <c r="A1068">
        <v>6066</v>
      </c>
      <c r="B1068">
        <v>90</v>
      </c>
      <c r="C1068" s="5" t="str">
        <f>IFERROR(_xlfn.XLOOKUP(B1068, Customers_raw!A:A, Customers_raw!B:B), "Unknown Customer")</f>
        <v>John Harris</v>
      </c>
      <c r="D1068" s="1">
        <v>45841</v>
      </c>
      <c r="E1068" s="1" t="str">
        <f t="shared" si="48"/>
        <v>2025-07</v>
      </c>
      <c r="F1068" t="s">
        <v>13</v>
      </c>
      <c r="G1068" t="s">
        <v>7</v>
      </c>
      <c r="H1068">
        <v>1</v>
      </c>
      <c r="I1068" s="2">
        <v>29</v>
      </c>
      <c r="J1068" s="2">
        <f t="shared" si="49"/>
        <v>29</v>
      </c>
      <c r="K1068" s="2" t="str">
        <f t="shared" si="50"/>
        <v>Sale</v>
      </c>
      <c r="L1068" t="s">
        <v>8</v>
      </c>
    </row>
    <row r="1069" spans="1:12" x14ac:dyDescent="0.25">
      <c r="A1069">
        <v>6067</v>
      </c>
      <c r="B1069">
        <v>17</v>
      </c>
      <c r="C1069" s="5" t="str">
        <f>IFERROR(_xlfn.XLOOKUP(B1069, Customers_raw!A:A, Customers_raw!B:B), "Unknown Customer")</f>
        <v>Mary Thomas</v>
      </c>
      <c r="D1069" s="1">
        <v>45940</v>
      </c>
      <c r="E1069" s="1" t="str">
        <f t="shared" si="48"/>
        <v>2025-10</v>
      </c>
      <c r="F1069" t="s">
        <v>14</v>
      </c>
      <c r="G1069" t="s">
        <v>7</v>
      </c>
      <c r="H1069">
        <v>3</v>
      </c>
      <c r="I1069" s="2">
        <v>55</v>
      </c>
      <c r="J1069" s="2">
        <f t="shared" si="49"/>
        <v>165</v>
      </c>
      <c r="K1069" s="2" t="str">
        <f t="shared" si="50"/>
        <v>Sale</v>
      </c>
      <c r="L1069" t="s">
        <v>5</v>
      </c>
    </row>
    <row r="1070" spans="1:12" x14ac:dyDescent="0.25">
      <c r="A1070">
        <v>6068</v>
      </c>
      <c r="B1070">
        <v>66</v>
      </c>
      <c r="C1070" s="5" t="str">
        <f>IFERROR(_xlfn.XLOOKUP(B1070, Customers_raw!A:A, Customers_raw!B:B), "Unknown Customer")</f>
        <v>Barbara Anderson</v>
      </c>
      <c r="D1070" s="1">
        <v>45669</v>
      </c>
      <c r="E1070" s="1" t="str">
        <f t="shared" si="48"/>
        <v>2025-01</v>
      </c>
      <c r="F1070" t="s">
        <v>12</v>
      </c>
      <c r="G1070" t="s">
        <v>10</v>
      </c>
      <c r="H1070">
        <v>1</v>
      </c>
      <c r="I1070" s="2">
        <v>22</v>
      </c>
      <c r="J1070" s="2">
        <f t="shared" si="49"/>
        <v>22</v>
      </c>
      <c r="K1070" s="2" t="str">
        <f t="shared" si="50"/>
        <v>Sale</v>
      </c>
      <c r="L1070" t="s">
        <v>8</v>
      </c>
    </row>
    <row r="1071" spans="1:12" x14ac:dyDescent="0.25">
      <c r="A1071">
        <v>6069</v>
      </c>
      <c r="B1071">
        <v>104</v>
      </c>
      <c r="C1071" s="5" t="str">
        <f>IFERROR(_xlfn.XLOOKUP(B1071, Customers_raw!A:A, Customers_raw!B:B), "Unknown Customer")</f>
        <v>Christopher Brown</v>
      </c>
      <c r="D1071" s="1">
        <v>45991</v>
      </c>
      <c r="E1071" s="1" t="str">
        <f t="shared" si="48"/>
        <v>2025-11</v>
      </c>
      <c r="F1071" t="s">
        <v>12</v>
      </c>
      <c r="G1071" t="s">
        <v>10</v>
      </c>
      <c r="H1071">
        <v>2</v>
      </c>
      <c r="I1071" s="2">
        <v>22</v>
      </c>
      <c r="J1071" s="2">
        <f t="shared" si="49"/>
        <v>44</v>
      </c>
      <c r="K1071" s="2" t="str">
        <f t="shared" si="50"/>
        <v>Sale</v>
      </c>
      <c r="L1071" t="s">
        <v>5</v>
      </c>
    </row>
    <row r="1072" spans="1:12" x14ac:dyDescent="0.25">
      <c r="A1072">
        <v>6070</v>
      </c>
      <c r="B1072">
        <v>2</v>
      </c>
      <c r="C1072" s="5" t="str">
        <f>IFERROR(_xlfn.XLOOKUP(B1072, Customers_raw!A:A, Customers_raw!B:B), "Unknown Customer")</f>
        <v>Michael Lopez</v>
      </c>
      <c r="D1072" s="1">
        <v>45907</v>
      </c>
      <c r="E1072" s="1" t="str">
        <f t="shared" si="48"/>
        <v>2025-09</v>
      </c>
      <c r="F1072" t="s">
        <v>14</v>
      </c>
      <c r="G1072" t="s">
        <v>7</v>
      </c>
      <c r="H1072">
        <v>2</v>
      </c>
      <c r="I1072" s="2">
        <v>52</v>
      </c>
      <c r="J1072" s="2">
        <f t="shared" si="49"/>
        <v>104</v>
      </c>
      <c r="K1072" s="2" t="str">
        <f t="shared" si="50"/>
        <v>Sale</v>
      </c>
      <c r="L1072" t="s">
        <v>8</v>
      </c>
    </row>
    <row r="1073" spans="1:12" x14ac:dyDescent="0.25">
      <c r="A1073">
        <v>6071</v>
      </c>
      <c r="B1073">
        <v>56</v>
      </c>
      <c r="C1073" s="5" t="str">
        <f>IFERROR(_xlfn.XLOOKUP(B1073, Customers_raw!A:A, Customers_raw!B:B), "Unknown Customer")</f>
        <v>Mark Hernandez</v>
      </c>
      <c r="D1073" s="1">
        <v>45919</v>
      </c>
      <c r="E1073" s="1" t="str">
        <f t="shared" si="48"/>
        <v>2025-09</v>
      </c>
      <c r="F1073" t="s">
        <v>15</v>
      </c>
      <c r="G1073" t="s">
        <v>7</v>
      </c>
      <c r="H1073">
        <v>1</v>
      </c>
      <c r="I1073" s="2">
        <v>67</v>
      </c>
      <c r="J1073" s="2">
        <f t="shared" si="49"/>
        <v>67</v>
      </c>
      <c r="K1073" s="2" t="str">
        <f t="shared" si="50"/>
        <v>Sale</v>
      </c>
      <c r="L1073" t="s">
        <v>5</v>
      </c>
    </row>
    <row r="1074" spans="1:12" x14ac:dyDescent="0.25">
      <c r="A1074">
        <v>6072</v>
      </c>
      <c r="B1074">
        <v>19</v>
      </c>
      <c r="C1074" s="5" t="str">
        <f>IFERROR(_xlfn.XLOOKUP(B1074, Customers_raw!A:A, Customers_raw!B:B), "Unknown Customer")</f>
        <v>Ashley Williams</v>
      </c>
      <c r="D1074" s="1">
        <v>45659</v>
      </c>
      <c r="E1074" s="1" t="str">
        <f t="shared" si="48"/>
        <v>2025-01</v>
      </c>
      <c r="F1074" t="s">
        <v>15</v>
      </c>
      <c r="G1074" t="s">
        <v>7</v>
      </c>
      <c r="H1074">
        <v>3</v>
      </c>
      <c r="I1074" s="2">
        <v>70</v>
      </c>
      <c r="J1074" s="2">
        <f t="shared" si="49"/>
        <v>210</v>
      </c>
      <c r="K1074" s="2" t="str">
        <f t="shared" si="50"/>
        <v>Sale</v>
      </c>
      <c r="L1074" t="s">
        <v>5</v>
      </c>
    </row>
    <row r="1075" spans="1:12" x14ac:dyDescent="0.25">
      <c r="A1075">
        <v>6073</v>
      </c>
      <c r="B1075">
        <v>3</v>
      </c>
      <c r="C1075" s="5" t="str">
        <f>IFERROR(_xlfn.XLOOKUP(B1075, Customers_raw!A:A, Customers_raw!B:B), "Unknown Customer")</f>
        <v>Anthony Williams</v>
      </c>
      <c r="D1075" s="1">
        <v>46015</v>
      </c>
      <c r="E1075" s="1" t="str">
        <f t="shared" si="48"/>
        <v>2025-12</v>
      </c>
      <c r="F1075" t="s">
        <v>21</v>
      </c>
      <c r="G1075" t="s">
        <v>17</v>
      </c>
      <c r="H1075">
        <v>1</v>
      </c>
      <c r="I1075" s="2">
        <v>63</v>
      </c>
      <c r="J1075" s="2">
        <f t="shared" si="49"/>
        <v>63</v>
      </c>
      <c r="K1075" s="2" t="str">
        <f t="shared" si="50"/>
        <v>Sale</v>
      </c>
      <c r="L1075" t="s">
        <v>8</v>
      </c>
    </row>
    <row r="1076" spans="1:12" x14ac:dyDescent="0.25">
      <c r="A1076">
        <v>6074</v>
      </c>
      <c r="B1076">
        <v>13</v>
      </c>
      <c r="C1076" s="5" t="str">
        <f>IFERROR(_xlfn.XLOOKUP(B1076, Customers_raw!A:A, Customers_raw!B:B), "Unknown Customer")</f>
        <v>Anthony Johnson</v>
      </c>
      <c r="D1076" s="1">
        <v>45806</v>
      </c>
      <c r="E1076" s="1" t="str">
        <f t="shared" si="48"/>
        <v>2025-05</v>
      </c>
      <c r="F1076" t="s">
        <v>11</v>
      </c>
      <c r="G1076" t="s">
        <v>6</v>
      </c>
      <c r="H1076">
        <v>2</v>
      </c>
      <c r="I1076" s="2">
        <v>21</v>
      </c>
      <c r="J1076" s="2">
        <f t="shared" si="49"/>
        <v>42</v>
      </c>
      <c r="K1076" s="2" t="str">
        <f t="shared" si="50"/>
        <v>Sale</v>
      </c>
      <c r="L1076" t="s">
        <v>23</v>
      </c>
    </row>
    <row r="1077" spans="1:12" x14ac:dyDescent="0.25">
      <c r="A1077">
        <v>6075</v>
      </c>
      <c r="B1077">
        <v>47</v>
      </c>
      <c r="C1077" s="5" t="str">
        <f>IFERROR(_xlfn.XLOOKUP(B1077, Customers_raw!A:A, Customers_raw!B:B), "Unknown Customer")</f>
        <v>Christopher Rodriguez</v>
      </c>
      <c r="D1077" s="1">
        <v>45684</v>
      </c>
      <c r="E1077" s="1" t="str">
        <f t="shared" si="48"/>
        <v>2025-01</v>
      </c>
      <c r="F1077" t="s">
        <v>18</v>
      </c>
      <c r="G1077" t="s">
        <v>6</v>
      </c>
      <c r="H1077">
        <v>1</v>
      </c>
      <c r="I1077" s="2">
        <v>89</v>
      </c>
      <c r="J1077" s="2">
        <f t="shared" si="49"/>
        <v>89</v>
      </c>
      <c r="K1077" s="2" t="str">
        <f t="shared" si="50"/>
        <v>Sale</v>
      </c>
      <c r="L1077" t="s">
        <v>5</v>
      </c>
    </row>
    <row r="1078" spans="1:12" x14ac:dyDescent="0.25">
      <c r="A1078">
        <v>6076</v>
      </c>
      <c r="B1078">
        <v>78</v>
      </c>
      <c r="C1078" s="5" t="str">
        <f>IFERROR(_xlfn.XLOOKUP(B1078, Customers_raw!A:A, Customers_raw!B:B), "Unknown Customer")</f>
        <v>Sandra Garcia</v>
      </c>
      <c r="D1078" s="1">
        <v>45927</v>
      </c>
      <c r="E1078" s="1" t="str">
        <f t="shared" si="48"/>
        <v>2025-09</v>
      </c>
      <c r="F1078" t="s">
        <v>11</v>
      </c>
      <c r="G1078" t="s">
        <v>6</v>
      </c>
      <c r="H1078">
        <v>2</v>
      </c>
      <c r="I1078" s="2">
        <v>18</v>
      </c>
      <c r="J1078" s="2">
        <f t="shared" si="49"/>
        <v>36</v>
      </c>
      <c r="K1078" s="2" t="str">
        <f t="shared" si="50"/>
        <v>Sale</v>
      </c>
      <c r="L1078" t="s">
        <v>27</v>
      </c>
    </row>
    <row r="1079" spans="1:12" x14ac:dyDescent="0.25">
      <c r="A1079">
        <v>6077</v>
      </c>
      <c r="B1079">
        <v>83</v>
      </c>
      <c r="C1079" s="5" t="str">
        <f>IFERROR(_xlfn.XLOOKUP(B1079, Customers_raw!A:A, Customers_raw!B:B), "Unknown Customer")</f>
        <v>Mary Martinez</v>
      </c>
      <c r="D1079" s="1">
        <v>45993</v>
      </c>
      <c r="E1079" s="1" t="str">
        <f t="shared" si="48"/>
        <v>2025-12</v>
      </c>
      <c r="F1079" t="s">
        <v>19</v>
      </c>
      <c r="G1079" t="s">
        <v>17</v>
      </c>
      <c r="H1079">
        <v>2</v>
      </c>
      <c r="I1079" s="2">
        <v>16</v>
      </c>
      <c r="J1079" s="2">
        <f t="shared" si="49"/>
        <v>32</v>
      </c>
      <c r="K1079" s="2" t="str">
        <f t="shared" si="50"/>
        <v>Sale</v>
      </c>
      <c r="L1079" t="s">
        <v>27</v>
      </c>
    </row>
    <row r="1080" spans="1:12" x14ac:dyDescent="0.25">
      <c r="A1080">
        <v>6078</v>
      </c>
      <c r="B1080" t="s">
        <v>23</v>
      </c>
      <c r="C1080" s="5" t="str">
        <f>IFERROR(_xlfn.XLOOKUP(B1080, Customers_raw!A:A, Customers_raw!B:B), "Unknown Customer")</f>
        <v>Unknown Customer</v>
      </c>
      <c r="D1080" s="1">
        <v>45757</v>
      </c>
      <c r="E1080" s="1" t="str">
        <f t="shared" si="48"/>
        <v>2025-04</v>
      </c>
      <c r="F1080" t="s">
        <v>16</v>
      </c>
      <c r="G1080" t="s">
        <v>10</v>
      </c>
      <c r="H1080">
        <v>1</v>
      </c>
      <c r="I1080" s="2">
        <v>28</v>
      </c>
      <c r="J1080" s="2">
        <f t="shared" si="49"/>
        <v>28</v>
      </c>
      <c r="K1080" s="2" t="str">
        <f t="shared" si="50"/>
        <v>Sale</v>
      </c>
      <c r="L1080" t="s">
        <v>27</v>
      </c>
    </row>
    <row r="1081" spans="1:12" x14ac:dyDescent="0.25">
      <c r="A1081">
        <v>6079</v>
      </c>
      <c r="B1081">
        <v>98</v>
      </c>
      <c r="C1081" s="5" t="str">
        <f>IFERROR(_xlfn.XLOOKUP(B1081, Customers_raw!A:A, Customers_raw!B:B), "Unknown Customer")</f>
        <v>Karen Williams</v>
      </c>
      <c r="D1081" s="1">
        <v>45964</v>
      </c>
      <c r="E1081" s="1" t="str">
        <f t="shared" si="48"/>
        <v>2025-11</v>
      </c>
      <c r="F1081" t="s">
        <v>11</v>
      </c>
      <c r="G1081" t="s">
        <v>6</v>
      </c>
      <c r="H1081">
        <v>3</v>
      </c>
      <c r="I1081" s="2">
        <v>18</v>
      </c>
      <c r="J1081" s="2">
        <f t="shared" si="49"/>
        <v>54</v>
      </c>
      <c r="K1081" s="2" t="str">
        <f t="shared" si="50"/>
        <v>Sale</v>
      </c>
      <c r="L1081" t="s">
        <v>5</v>
      </c>
    </row>
    <row r="1082" spans="1:12" x14ac:dyDescent="0.25">
      <c r="A1082">
        <v>6080</v>
      </c>
      <c r="B1082">
        <v>102</v>
      </c>
      <c r="C1082" s="5" t="str">
        <f>IFERROR(_xlfn.XLOOKUP(B1082, Customers_raw!A:A, Customers_raw!B:B), "Unknown Customer")</f>
        <v>Ashley Wilson</v>
      </c>
      <c r="D1082" s="1">
        <v>45943</v>
      </c>
      <c r="E1082" s="1" t="str">
        <f t="shared" si="48"/>
        <v>2025-10</v>
      </c>
      <c r="F1082" t="s">
        <v>22</v>
      </c>
      <c r="G1082" t="s">
        <v>17</v>
      </c>
      <c r="H1082">
        <v>1</v>
      </c>
      <c r="I1082" s="2">
        <v>21</v>
      </c>
      <c r="J1082" s="2">
        <f t="shared" si="49"/>
        <v>21</v>
      </c>
      <c r="K1082" s="2" t="str">
        <f t="shared" si="50"/>
        <v>Sale</v>
      </c>
      <c r="L1082" t="s">
        <v>5</v>
      </c>
    </row>
    <row r="1083" spans="1:12" x14ac:dyDescent="0.25">
      <c r="A1083">
        <v>6081</v>
      </c>
      <c r="B1083">
        <v>101</v>
      </c>
      <c r="C1083" s="5" t="str">
        <f>IFERROR(_xlfn.XLOOKUP(B1083, Customers_raw!A:A, Customers_raw!B:B), "Unknown Customer")</f>
        <v>David Lee</v>
      </c>
      <c r="D1083" s="1">
        <v>45806</v>
      </c>
      <c r="E1083" s="1" t="str">
        <f t="shared" si="48"/>
        <v>2025-05</v>
      </c>
      <c r="F1083" t="s">
        <v>9</v>
      </c>
      <c r="G1083" t="s">
        <v>6</v>
      </c>
      <c r="H1083">
        <v>2</v>
      </c>
      <c r="I1083" s="2">
        <v>42</v>
      </c>
      <c r="J1083" s="2">
        <f t="shared" si="49"/>
        <v>84</v>
      </c>
      <c r="K1083" s="2" t="str">
        <f t="shared" si="50"/>
        <v>Sale</v>
      </c>
      <c r="L1083" t="s">
        <v>8</v>
      </c>
    </row>
    <row r="1084" spans="1:12" x14ac:dyDescent="0.25">
      <c r="A1084">
        <v>6082</v>
      </c>
      <c r="B1084">
        <v>42</v>
      </c>
      <c r="C1084" s="5" t="str">
        <f>IFERROR(_xlfn.XLOOKUP(B1084, Customers_raw!A:A, Customers_raw!B:B), "Unknown Customer")</f>
        <v>Jennifer Harris</v>
      </c>
      <c r="D1084" s="1">
        <v>45697</v>
      </c>
      <c r="E1084" s="1" t="str">
        <f t="shared" si="48"/>
        <v>2025-02</v>
      </c>
      <c r="F1084" t="s">
        <v>19</v>
      </c>
      <c r="G1084" t="s">
        <v>17</v>
      </c>
      <c r="H1084">
        <v>1</v>
      </c>
      <c r="I1084" s="2">
        <v>19</v>
      </c>
      <c r="J1084" s="2">
        <f t="shared" si="49"/>
        <v>19</v>
      </c>
      <c r="K1084" s="2" t="str">
        <f t="shared" si="50"/>
        <v>Sale</v>
      </c>
      <c r="L1084" t="s">
        <v>27</v>
      </c>
    </row>
    <row r="1085" spans="1:12" x14ac:dyDescent="0.25">
      <c r="A1085">
        <v>6083</v>
      </c>
      <c r="B1085">
        <v>27</v>
      </c>
      <c r="C1085" s="5" t="str">
        <f>IFERROR(_xlfn.XLOOKUP(B1085, Customers_raw!A:A, Customers_raw!B:B), "Unknown Customer")</f>
        <v>Nancy Lee</v>
      </c>
      <c r="D1085" s="1">
        <v>45883</v>
      </c>
      <c r="E1085" s="1" t="str">
        <f t="shared" si="48"/>
        <v>2025-08</v>
      </c>
      <c r="F1085" t="s">
        <v>22</v>
      </c>
      <c r="G1085" t="s">
        <v>17</v>
      </c>
      <c r="H1085">
        <v>2</v>
      </c>
      <c r="I1085" s="2">
        <v>24</v>
      </c>
      <c r="J1085" s="2">
        <f t="shared" si="49"/>
        <v>48</v>
      </c>
      <c r="K1085" s="2" t="str">
        <f t="shared" si="50"/>
        <v>Sale</v>
      </c>
      <c r="L1085" t="s">
        <v>27</v>
      </c>
    </row>
    <row r="1086" spans="1:12" x14ac:dyDescent="0.25">
      <c r="A1086">
        <v>6084</v>
      </c>
      <c r="B1086">
        <v>27</v>
      </c>
      <c r="C1086" s="5" t="str">
        <f>IFERROR(_xlfn.XLOOKUP(B1086, Customers_raw!A:A, Customers_raw!B:B), "Unknown Customer")</f>
        <v>Nancy Lee</v>
      </c>
      <c r="D1086" s="1">
        <v>45929</v>
      </c>
      <c r="E1086" s="1" t="str">
        <f t="shared" si="48"/>
        <v>2025-09</v>
      </c>
      <c r="F1086" t="s">
        <v>20</v>
      </c>
      <c r="G1086" t="s">
        <v>10</v>
      </c>
      <c r="H1086">
        <v>2</v>
      </c>
      <c r="I1086" s="2">
        <v>65</v>
      </c>
      <c r="J1086" s="2">
        <f t="shared" si="49"/>
        <v>130</v>
      </c>
      <c r="K1086" s="2" t="str">
        <f t="shared" si="50"/>
        <v>Sale</v>
      </c>
      <c r="L1086" t="s">
        <v>8</v>
      </c>
    </row>
    <row r="1087" spans="1:12" x14ac:dyDescent="0.25">
      <c r="A1087">
        <v>6085</v>
      </c>
      <c r="B1087">
        <v>18</v>
      </c>
      <c r="C1087" s="5" t="str">
        <f>IFERROR(_xlfn.XLOOKUP(B1087, Customers_raw!A:A, Customers_raw!B:B), "Unknown Customer")</f>
        <v>Susan Sanchez</v>
      </c>
      <c r="D1087" s="1">
        <v>45681</v>
      </c>
      <c r="E1087" s="1" t="str">
        <f t="shared" si="48"/>
        <v>2025-01</v>
      </c>
      <c r="F1087" t="s">
        <v>19</v>
      </c>
      <c r="G1087" t="s">
        <v>17</v>
      </c>
      <c r="H1087">
        <v>1</v>
      </c>
      <c r="I1087" s="2">
        <v>22</v>
      </c>
      <c r="J1087" s="2">
        <f t="shared" si="49"/>
        <v>22</v>
      </c>
      <c r="K1087" s="2" t="str">
        <f t="shared" si="50"/>
        <v>Sale</v>
      </c>
      <c r="L1087" t="s">
        <v>8</v>
      </c>
    </row>
    <row r="1088" spans="1:12" x14ac:dyDescent="0.25">
      <c r="A1088">
        <v>6086</v>
      </c>
      <c r="B1088">
        <v>56</v>
      </c>
      <c r="C1088" s="5" t="str">
        <f>IFERROR(_xlfn.XLOOKUP(B1088, Customers_raw!A:A, Customers_raw!B:B), "Unknown Customer")</f>
        <v>Mark Hernandez</v>
      </c>
      <c r="D1088" s="1">
        <v>45724</v>
      </c>
      <c r="E1088" s="1" t="str">
        <f t="shared" si="48"/>
        <v>2025-03</v>
      </c>
      <c r="F1088" t="s">
        <v>19</v>
      </c>
      <c r="G1088" t="s">
        <v>17</v>
      </c>
      <c r="H1088">
        <v>2</v>
      </c>
      <c r="I1088" s="2">
        <v>22</v>
      </c>
      <c r="J1088" s="2">
        <f t="shared" si="49"/>
        <v>44</v>
      </c>
      <c r="K1088" s="2" t="str">
        <f t="shared" si="50"/>
        <v>Sale</v>
      </c>
      <c r="L1088" t="s">
        <v>27</v>
      </c>
    </row>
    <row r="1089" spans="1:12" x14ac:dyDescent="0.25">
      <c r="A1089">
        <v>6087</v>
      </c>
      <c r="B1089">
        <v>25</v>
      </c>
      <c r="C1089" s="5" t="str">
        <f>IFERROR(_xlfn.XLOOKUP(B1089, Customers_raw!A:A, Customers_raw!B:B), "Unknown Customer")</f>
        <v>Emily Wilson</v>
      </c>
      <c r="D1089" s="1">
        <v>45903</v>
      </c>
      <c r="E1089" s="1" t="str">
        <f t="shared" si="48"/>
        <v>2025-09</v>
      </c>
      <c r="F1089" t="s">
        <v>19</v>
      </c>
      <c r="G1089" t="s">
        <v>17</v>
      </c>
      <c r="H1089">
        <v>1</v>
      </c>
      <c r="I1089" s="2">
        <v>19</v>
      </c>
      <c r="J1089" s="2">
        <f t="shared" si="49"/>
        <v>19</v>
      </c>
      <c r="K1089" s="2" t="str">
        <f t="shared" si="50"/>
        <v>Sale</v>
      </c>
      <c r="L1089" t="s">
        <v>5</v>
      </c>
    </row>
    <row r="1090" spans="1:12" x14ac:dyDescent="0.25">
      <c r="A1090">
        <v>6088</v>
      </c>
      <c r="B1090">
        <v>106</v>
      </c>
      <c r="C1090" s="5" t="str">
        <f>IFERROR(_xlfn.XLOOKUP(B1090, Customers_raw!A:A, Customers_raw!B:B), "Unknown Customer")</f>
        <v>Thomas Lopez</v>
      </c>
      <c r="D1090" s="1">
        <v>45720</v>
      </c>
      <c r="E1090" s="1" t="str">
        <f t="shared" si="48"/>
        <v>2025-03</v>
      </c>
      <c r="F1090" t="s">
        <v>11</v>
      </c>
      <c r="G1090" t="s">
        <v>6</v>
      </c>
      <c r="H1090">
        <v>2</v>
      </c>
      <c r="I1090" s="2">
        <v>18</v>
      </c>
      <c r="J1090" s="2">
        <f t="shared" si="49"/>
        <v>36</v>
      </c>
      <c r="K1090" s="2" t="str">
        <f t="shared" si="50"/>
        <v>Sale</v>
      </c>
      <c r="L1090" t="s">
        <v>5</v>
      </c>
    </row>
    <row r="1091" spans="1:12" x14ac:dyDescent="0.25">
      <c r="A1091">
        <v>6089</v>
      </c>
      <c r="B1091">
        <v>86</v>
      </c>
      <c r="C1091" s="5" t="str">
        <f>IFERROR(_xlfn.XLOOKUP(B1091, Customers_raw!A:A, Customers_raw!B:B), "Unknown Customer")</f>
        <v>Steven Jones</v>
      </c>
      <c r="D1091" s="1">
        <v>45868</v>
      </c>
      <c r="E1091" s="1" t="str">
        <f t="shared" ref="E1091:E1154" si="51">TEXT(D:D,"YYYY-MM")</f>
        <v>2025-07</v>
      </c>
      <c r="F1091" t="s">
        <v>13</v>
      </c>
      <c r="G1091" t="s">
        <v>7</v>
      </c>
      <c r="H1091">
        <v>1</v>
      </c>
      <c r="I1091" s="2">
        <v>32</v>
      </c>
      <c r="J1091" s="2">
        <f t="shared" ref="J1091:J1154" si="52">H1091*I1091</f>
        <v>32</v>
      </c>
      <c r="K1091" s="2" t="str">
        <f t="shared" ref="K1091:K1154" si="53">IF(H1091&lt;0,"Return","Sale")</f>
        <v>Sale</v>
      </c>
      <c r="L1091" t="s">
        <v>5</v>
      </c>
    </row>
    <row r="1092" spans="1:12" x14ac:dyDescent="0.25">
      <c r="A1092">
        <v>6090</v>
      </c>
      <c r="B1092">
        <v>79</v>
      </c>
      <c r="C1092" s="5" t="str">
        <f>IFERROR(_xlfn.XLOOKUP(B1092, Customers_raw!A:A, Customers_raw!B:B), "Unknown Customer")</f>
        <v>Nancy Jackson</v>
      </c>
      <c r="D1092" s="1">
        <v>45877</v>
      </c>
      <c r="E1092" s="1" t="str">
        <f t="shared" si="51"/>
        <v>2025-08</v>
      </c>
      <c r="F1092" t="s">
        <v>22</v>
      </c>
      <c r="G1092" t="s">
        <v>17</v>
      </c>
      <c r="H1092">
        <v>1</v>
      </c>
      <c r="I1092" s="2">
        <v>24</v>
      </c>
      <c r="J1092" s="2">
        <f t="shared" si="52"/>
        <v>24</v>
      </c>
      <c r="K1092" s="2" t="str">
        <f t="shared" si="53"/>
        <v>Sale</v>
      </c>
      <c r="L1092" t="s">
        <v>27</v>
      </c>
    </row>
    <row r="1093" spans="1:12" x14ac:dyDescent="0.25">
      <c r="A1093">
        <v>6091</v>
      </c>
      <c r="B1093">
        <v>45</v>
      </c>
      <c r="C1093" s="5" t="str">
        <f>IFERROR(_xlfn.XLOOKUP(B1093, Customers_raw!A:A, Customers_raw!B:B), "Unknown Customer")</f>
        <v>Michael Moore</v>
      </c>
      <c r="D1093" s="1">
        <v>45971</v>
      </c>
      <c r="E1093" s="1" t="str">
        <f t="shared" si="51"/>
        <v>2025-11</v>
      </c>
      <c r="F1093" t="s">
        <v>20</v>
      </c>
      <c r="G1093" t="s">
        <v>10</v>
      </c>
      <c r="H1093">
        <v>3</v>
      </c>
      <c r="I1093" s="2">
        <v>65</v>
      </c>
      <c r="J1093" s="2">
        <f t="shared" si="52"/>
        <v>195</v>
      </c>
      <c r="K1093" s="2" t="str">
        <f t="shared" si="53"/>
        <v>Sale</v>
      </c>
      <c r="L1093" t="s">
        <v>27</v>
      </c>
    </row>
    <row r="1094" spans="1:12" x14ac:dyDescent="0.25">
      <c r="A1094">
        <v>6092</v>
      </c>
      <c r="B1094">
        <v>107</v>
      </c>
      <c r="C1094" s="5" t="str">
        <f>IFERROR(_xlfn.XLOOKUP(B1094, Customers_raw!A:A, Customers_raw!B:B), "Unknown Customer")</f>
        <v>Lisa Walker</v>
      </c>
      <c r="D1094" s="1">
        <v>45895</v>
      </c>
      <c r="E1094" s="1" t="str">
        <f t="shared" si="51"/>
        <v>2025-08</v>
      </c>
      <c r="F1094" t="s">
        <v>20</v>
      </c>
      <c r="G1094" t="s">
        <v>10</v>
      </c>
      <c r="H1094">
        <v>3</v>
      </c>
      <c r="I1094" s="2">
        <v>68</v>
      </c>
      <c r="J1094" s="2">
        <f t="shared" si="52"/>
        <v>204</v>
      </c>
      <c r="K1094" s="2" t="str">
        <f t="shared" si="53"/>
        <v>Sale</v>
      </c>
      <c r="L1094" t="s">
        <v>8</v>
      </c>
    </row>
    <row r="1095" spans="1:12" x14ac:dyDescent="0.25">
      <c r="A1095">
        <v>6093</v>
      </c>
      <c r="B1095">
        <v>87</v>
      </c>
      <c r="C1095" s="5" t="str">
        <f>IFERROR(_xlfn.XLOOKUP(B1095, Customers_raw!A:A, Customers_raw!B:B), "Unknown Customer")</f>
        <v>Joseph Williams</v>
      </c>
      <c r="D1095" s="1">
        <v>45877</v>
      </c>
      <c r="E1095" s="1" t="str">
        <f t="shared" si="51"/>
        <v>2025-08</v>
      </c>
      <c r="F1095" t="s">
        <v>13</v>
      </c>
      <c r="G1095" t="s">
        <v>7</v>
      </c>
      <c r="H1095">
        <v>3</v>
      </c>
      <c r="I1095" s="2">
        <v>29</v>
      </c>
      <c r="J1095" s="2">
        <f t="shared" si="52"/>
        <v>87</v>
      </c>
      <c r="K1095" s="2" t="str">
        <f t="shared" si="53"/>
        <v>Sale</v>
      </c>
      <c r="L1095" t="s">
        <v>5</v>
      </c>
    </row>
    <row r="1096" spans="1:12" x14ac:dyDescent="0.25">
      <c r="A1096">
        <v>6094</v>
      </c>
      <c r="B1096">
        <v>15</v>
      </c>
      <c r="C1096" s="5" t="str">
        <f>IFERROR(_xlfn.XLOOKUP(B1096, Customers_raw!A:A, Customers_raw!B:B), "Unknown Customer")</f>
        <v>Jennifer Rodriguez</v>
      </c>
      <c r="D1096" s="1">
        <v>45695</v>
      </c>
      <c r="E1096" s="1" t="str">
        <f t="shared" si="51"/>
        <v>2025-02</v>
      </c>
      <c r="F1096" t="s">
        <v>22</v>
      </c>
      <c r="G1096" t="s">
        <v>17</v>
      </c>
      <c r="H1096">
        <v>2</v>
      </c>
      <c r="I1096" s="2">
        <v>21</v>
      </c>
      <c r="J1096" s="2">
        <f t="shared" si="52"/>
        <v>42</v>
      </c>
      <c r="K1096" s="2" t="str">
        <f t="shared" si="53"/>
        <v>Sale</v>
      </c>
      <c r="L1096" t="s">
        <v>5</v>
      </c>
    </row>
    <row r="1097" spans="1:12" x14ac:dyDescent="0.25">
      <c r="A1097">
        <v>6095</v>
      </c>
      <c r="B1097">
        <v>66</v>
      </c>
      <c r="C1097" s="5" t="str">
        <f>IFERROR(_xlfn.XLOOKUP(B1097, Customers_raw!A:A, Customers_raw!B:B), "Unknown Customer")</f>
        <v>Barbara Anderson</v>
      </c>
      <c r="D1097" s="1">
        <v>45668</v>
      </c>
      <c r="E1097" s="1" t="str">
        <f t="shared" si="51"/>
        <v>2025-01</v>
      </c>
      <c r="F1097" t="s">
        <v>18</v>
      </c>
      <c r="G1097" t="s">
        <v>6</v>
      </c>
      <c r="H1097">
        <v>1</v>
      </c>
      <c r="I1097" s="2">
        <v>86</v>
      </c>
      <c r="J1097" s="2">
        <f t="shared" si="52"/>
        <v>86</v>
      </c>
      <c r="K1097" s="2" t="str">
        <f t="shared" si="53"/>
        <v>Sale</v>
      </c>
      <c r="L1097" t="s">
        <v>5</v>
      </c>
    </row>
    <row r="1098" spans="1:12" x14ac:dyDescent="0.25">
      <c r="A1098">
        <v>6096</v>
      </c>
      <c r="B1098">
        <v>45</v>
      </c>
      <c r="C1098" s="5" t="str">
        <f>IFERROR(_xlfn.XLOOKUP(B1098, Customers_raw!A:A, Customers_raw!B:B), "Unknown Customer")</f>
        <v>Michael Moore</v>
      </c>
      <c r="D1098" s="1">
        <v>45743</v>
      </c>
      <c r="E1098" s="1" t="str">
        <f t="shared" si="51"/>
        <v>2025-03</v>
      </c>
      <c r="F1098" t="s">
        <v>13</v>
      </c>
      <c r="G1098" t="s">
        <v>7</v>
      </c>
      <c r="H1098">
        <v>1</v>
      </c>
      <c r="I1098" s="2">
        <v>32</v>
      </c>
      <c r="J1098" s="2">
        <f t="shared" si="52"/>
        <v>32</v>
      </c>
      <c r="K1098" s="2" t="str">
        <f t="shared" si="53"/>
        <v>Sale</v>
      </c>
      <c r="L1098" t="s">
        <v>5</v>
      </c>
    </row>
    <row r="1099" spans="1:12" x14ac:dyDescent="0.25">
      <c r="A1099">
        <v>6097</v>
      </c>
      <c r="B1099">
        <v>79</v>
      </c>
      <c r="C1099" s="5" t="str">
        <f>IFERROR(_xlfn.XLOOKUP(B1099, Customers_raw!A:A, Customers_raw!B:B), "Unknown Customer")</f>
        <v>Nancy Jackson</v>
      </c>
      <c r="D1099" s="1">
        <v>45975</v>
      </c>
      <c r="E1099" s="1" t="str">
        <f t="shared" si="51"/>
        <v>2025-11</v>
      </c>
      <c r="F1099" t="s">
        <v>18</v>
      </c>
      <c r="G1099" t="s">
        <v>6</v>
      </c>
      <c r="H1099">
        <v>2</v>
      </c>
      <c r="I1099" s="2">
        <v>89</v>
      </c>
      <c r="J1099" s="2">
        <f t="shared" si="52"/>
        <v>178</v>
      </c>
      <c r="K1099" s="2" t="str">
        <f t="shared" si="53"/>
        <v>Sale</v>
      </c>
      <c r="L1099" t="s">
        <v>23</v>
      </c>
    </row>
    <row r="1100" spans="1:12" x14ac:dyDescent="0.25">
      <c r="A1100">
        <v>6098</v>
      </c>
      <c r="B1100">
        <v>71</v>
      </c>
      <c r="C1100" s="5" t="str">
        <f>IFERROR(_xlfn.XLOOKUP(B1100, Customers_raw!A:A, Customers_raw!B:B), "Unknown Customer")</f>
        <v>Barbara Rodriguez</v>
      </c>
      <c r="D1100" s="1">
        <v>45798</v>
      </c>
      <c r="E1100" s="1" t="str">
        <f t="shared" si="51"/>
        <v>2025-05</v>
      </c>
      <c r="F1100" t="s">
        <v>13</v>
      </c>
      <c r="G1100" t="s">
        <v>7</v>
      </c>
      <c r="H1100">
        <v>1</v>
      </c>
      <c r="I1100" s="2">
        <v>32</v>
      </c>
      <c r="J1100" s="2">
        <f t="shared" si="52"/>
        <v>32</v>
      </c>
      <c r="K1100" s="2" t="str">
        <f t="shared" si="53"/>
        <v>Sale</v>
      </c>
      <c r="L1100" t="s">
        <v>27</v>
      </c>
    </row>
    <row r="1101" spans="1:12" x14ac:dyDescent="0.25">
      <c r="A1101">
        <v>6099</v>
      </c>
      <c r="B1101">
        <v>84</v>
      </c>
      <c r="C1101" s="5" t="str">
        <f>IFERROR(_xlfn.XLOOKUP(B1101, Customers_raw!A:A, Customers_raw!B:B), "Unknown Customer")</f>
        <v>Kimberly Lewis</v>
      </c>
      <c r="D1101" s="1">
        <v>45679</v>
      </c>
      <c r="E1101" s="1" t="str">
        <f t="shared" si="51"/>
        <v>2025-01</v>
      </c>
      <c r="F1101" t="s">
        <v>18</v>
      </c>
      <c r="G1101" t="s">
        <v>6</v>
      </c>
      <c r="H1101">
        <v>1</v>
      </c>
      <c r="I1101" s="2">
        <v>89</v>
      </c>
      <c r="J1101" s="2">
        <f t="shared" si="52"/>
        <v>89</v>
      </c>
      <c r="K1101" s="2" t="str">
        <f t="shared" si="53"/>
        <v>Sale</v>
      </c>
      <c r="L1101" t="s">
        <v>8</v>
      </c>
    </row>
    <row r="1102" spans="1:12" x14ac:dyDescent="0.25">
      <c r="A1102">
        <v>6100</v>
      </c>
      <c r="B1102">
        <v>11</v>
      </c>
      <c r="C1102" s="5" t="str">
        <f>IFERROR(_xlfn.XLOOKUP(B1102, Customers_raw!A:A, Customers_raw!B:B), "Unknown Customer")</f>
        <v>Ashley Robinson</v>
      </c>
      <c r="D1102" s="1">
        <v>45907</v>
      </c>
      <c r="E1102" s="1" t="str">
        <f t="shared" si="51"/>
        <v>2025-09</v>
      </c>
      <c r="F1102" t="s">
        <v>20</v>
      </c>
      <c r="G1102" t="s">
        <v>10</v>
      </c>
      <c r="H1102">
        <v>2</v>
      </c>
      <c r="I1102" s="2">
        <v>65</v>
      </c>
      <c r="J1102" s="2">
        <f t="shared" si="52"/>
        <v>130</v>
      </c>
      <c r="K1102" s="2" t="str">
        <f t="shared" si="53"/>
        <v>Sale</v>
      </c>
      <c r="L1102" t="s">
        <v>27</v>
      </c>
    </row>
    <row r="1103" spans="1:12" x14ac:dyDescent="0.25">
      <c r="A1103">
        <v>6101</v>
      </c>
      <c r="B1103">
        <v>103</v>
      </c>
      <c r="C1103" s="5" t="str">
        <f>IFERROR(_xlfn.XLOOKUP(B1103, Customers_raw!A:A, Customers_raw!B:B), "Unknown Customer")</f>
        <v>Mark Wilson</v>
      </c>
      <c r="D1103" s="1">
        <v>45776</v>
      </c>
      <c r="E1103" s="1" t="str">
        <f t="shared" si="51"/>
        <v>2025-04</v>
      </c>
      <c r="F1103" t="s">
        <v>16</v>
      </c>
      <c r="G1103" t="s">
        <v>10</v>
      </c>
      <c r="H1103">
        <v>3</v>
      </c>
      <c r="I1103" s="2">
        <v>28</v>
      </c>
      <c r="J1103" s="2">
        <f t="shared" si="52"/>
        <v>84</v>
      </c>
      <c r="K1103" s="2" t="str">
        <f t="shared" si="53"/>
        <v>Sale</v>
      </c>
      <c r="L1103" t="s">
        <v>5</v>
      </c>
    </row>
    <row r="1104" spans="1:12" x14ac:dyDescent="0.25">
      <c r="A1104">
        <v>6102</v>
      </c>
      <c r="B1104">
        <v>70</v>
      </c>
      <c r="C1104" s="5" t="str">
        <f>IFERROR(_xlfn.XLOOKUP(B1104, Customers_raw!A:A, Customers_raw!B:B), "Unknown Customer")</f>
        <v>Karen Perez</v>
      </c>
      <c r="D1104" s="1">
        <v>45841</v>
      </c>
      <c r="E1104" s="1" t="str">
        <f t="shared" si="51"/>
        <v>2025-07</v>
      </c>
      <c r="F1104" t="s">
        <v>13</v>
      </c>
      <c r="G1104" t="s">
        <v>7</v>
      </c>
      <c r="H1104">
        <v>2</v>
      </c>
      <c r="I1104" s="2">
        <v>32</v>
      </c>
      <c r="J1104" s="2">
        <f t="shared" si="52"/>
        <v>64</v>
      </c>
      <c r="K1104" s="2" t="str">
        <f t="shared" si="53"/>
        <v>Sale</v>
      </c>
      <c r="L1104" t="s">
        <v>5</v>
      </c>
    </row>
    <row r="1105" spans="1:12" x14ac:dyDescent="0.25">
      <c r="A1105">
        <v>6103</v>
      </c>
      <c r="B1105">
        <v>72</v>
      </c>
      <c r="C1105" s="5" t="str">
        <f>IFERROR(_xlfn.XLOOKUP(B1105, Customers_raw!A:A, Customers_raw!B:B), "Unknown Customer")</f>
        <v>Steven Jackson</v>
      </c>
      <c r="D1105" s="1">
        <v>45873</v>
      </c>
      <c r="E1105" s="1" t="str">
        <f t="shared" si="51"/>
        <v>2025-08</v>
      </c>
      <c r="F1105" t="s">
        <v>16</v>
      </c>
      <c r="G1105" t="s">
        <v>10</v>
      </c>
      <c r="H1105">
        <v>2</v>
      </c>
      <c r="I1105" s="2">
        <v>31</v>
      </c>
      <c r="J1105" s="2">
        <f t="shared" si="52"/>
        <v>62</v>
      </c>
      <c r="K1105" s="2" t="str">
        <f t="shared" si="53"/>
        <v>Sale</v>
      </c>
      <c r="L1105" t="s">
        <v>5</v>
      </c>
    </row>
    <row r="1106" spans="1:12" x14ac:dyDescent="0.25">
      <c r="A1106">
        <v>6104</v>
      </c>
      <c r="B1106">
        <v>24</v>
      </c>
      <c r="C1106" s="5" t="str">
        <f>IFERROR(_xlfn.XLOOKUP(B1106, Customers_raw!A:A, Customers_raw!B:B), "Unknown Customer")</f>
        <v>Joshua Hernandez</v>
      </c>
      <c r="D1106" s="1">
        <v>45851</v>
      </c>
      <c r="E1106" s="1" t="str">
        <f t="shared" si="51"/>
        <v>2025-07</v>
      </c>
      <c r="F1106" t="s">
        <v>22</v>
      </c>
      <c r="G1106" t="s">
        <v>17</v>
      </c>
      <c r="H1106">
        <v>2</v>
      </c>
      <c r="I1106" s="2">
        <v>24</v>
      </c>
      <c r="J1106" s="2">
        <f t="shared" si="52"/>
        <v>48</v>
      </c>
      <c r="K1106" s="2" t="str">
        <f t="shared" si="53"/>
        <v>Sale</v>
      </c>
      <c r="L1106" t="s">
        <v>27</v>
      </c>
    </row>
    <row r="1107" spans="1:12" x14ac:dyDescent="0.25">
      <c r="A1107">
        <v>6105</v>
      </c>
      <c r="B1107">
        <v>95</v>
      </c>
      <c r="C1107" s="5" t="str">
        <f>IFERROR(_xlfn.XLOOKUP(B1107, Customers_raw!A:A, Customers_raw!B:B), "Unknown Customer")</f>
        <v>Michelle Martin</v>
      </c>
      <c r="D1107" s="1">
        <v>45947</v>
      </c>
      <c r="E1107" s="1" t="str">
        <f t="shared" si="51"/>
        <v>2025-10</v>
      </c>
      <c r="F1107" t="s">
        <v>20</v>
      </c>
      <c r="G1107" t="s">
        <v>10</v>
      </c>
      <c r="H1107">
        <v>2</v>
      </c>
      <c r="I1107" s="2">
        <v>62</v>
      </c>
      <c r="J1107" s="2">
        <f t="shared" si="52"/>
        <v>124</v>
      </c>
      <c r="K1107" s="2" t="str">
        <f t="shared" si="53"/>
        <v>Sale</v>
      </c>
      <c r="L1107" t="s">
        <v>5</v>
      </c>
    </row>
    <row r="1108" spans="1:12" x14ac:dyDescent="0.25">
      <c r="A1108">
        <v>6106</v>
      </c>
      <c r="B1108">
        <v>79</v>
      </c>
      <c r="C1108" s="5" t="str">
        <f>IFERROR(_xlfn.XLOOKUP(B1108, Customers_raw!A:A, Customers_raw!B:B), "Unknown Customer")</f>
        <v>Nancy Jackson</v>
      </c>
      <c r="D1108" s="1">
        <v>45945</v>
      </c>
      <c r="E1108" s="1" t="str">
        <f t="shared" si="51"/>
        <v>2025-10</v>
      </c>
      <c r="F1108" t="s">
        <v>12</v>
      </c>
      <c r="G1108" t="s">
        <v>10</v>
      </c>
      <c r="H1108">
        <v>2</v>
      </c>
      <c r="I1108" s="2">
        <v>22</v>
      </c>
      <c r="J1108" s="2">
        <f t="shared" si="52"/>
        <v>44</v>
      </c>
      <c r="K1108" s="2" t="str">
        <f t="shared" si="53"/>
        <v>Sale</v>
      </c>
      <c r="L1108" t="s">
        <v>8</v>
      </c>
    </row>
    <row r="1109" spans="1:12" x14ac:dyDescent="0.25">
      <c r="A1109">
        <v>6107</v>
      </c>
      <c r="B1109">
        <v>45</v>
      </c>
      <c r="C1109" s="5" t="str">
        <f>IFERROR(_xlfn.XLOOKUP(B1109, Customers_raw!A:A, Customers_raw!B:B), "Unknown Customer")</f>
        <v>Michael Moore</v>
      </c>
      <c r="D1109" s="1">
        <v>45767</v>
      </c>
      <c r="E1109" s="1" t="str">
        <f t="shared" si="51"/>
        <v>2025-04</v>
      </c>
      <c r="F1109" t="s">
        <v>16</v>
      </c>
      <c r="G1109" t="s">
        <v>10</v>
      </c>
      <c r="H1109">
        <v>-1</v>
      </c>
      <c r="I1109" s="2">
        <v>28</v>
      </c>
      <c r="J1109" s="2">
        <f t="shared" si="52"/>
        <v>-28</v>
      </c>
      <c r="K1109" s="2" t="str">
        <f t="shared" si="53"/>
        <v>Return</v>
      </c>
      <c r="L1109" t="s">
        <v>8</v>
      </c>
    </row>
    <row r="1110" spans="1:12" x14ac:dyDescent="0.25">
      <c r="A1110">
        <v>6108</v>
      </c>
      <c r="B1110">
        <v>76</v>
      </c>
      <c r="C1110" s="5" t="str">
        <f>IFERROR(_xlfn.XLOOKUP(B1110, Customers_raw!A:A, Customers_raw!B:B), "Unknown Customer")</f>
        <v>Thomas Anderson</v>
      </c>
      <c r="D1110" s="1">
        <v>45895</v>
      </c>
      <c r="E1110" s="1" t="str">
        <f t="shared" si="51"/>
        <v>2025-08</v>
      </c>
      <c r="F1110" t="s">
        <v>21</v>
      </c>
      <c r="G1110" t="s">
        <v>17</v>
      </c>
      <c r="H1110">
        <v>1</v>
      </c>
      <c r="I1110" s="2">
        <v>60</v>
      </c>
      <c r="J1110" s="2">
        <f t="shared" si="52"/>
        <v>60</v>
      </c>
      <c r="K1110" s="2" t="str">
        <f t="shared" si="53"/>
        <v>Sale</v>
      </c>
      <c r="L1110" t="s">
        <v>5</v>
      </c>
    </row>
    <row r="1111" spans="1:12" x14ac:dyDescent="0.25">
      <c r="A1111">
        <v>6109</v>
      </c>
      <c r="B1111">
        <v>62</v>
      </c>
      <c r="C1111" s="5" t="str">
        <f>IFERROR(_xlfn.XLOOKUP(B1111, Customers_raw!A:A, Customers_raw!B:B), "Unknown Customer")</f>
        <v>Mary Wilson</v>
      </c>
      <c r="D1111" s="1">
        <v>45993</v>
      </c>
      <c r="E1111" s="1" t="str">
        <f t="shared" si="51"/>
        <v>2025-12</v>
      </c>
      <c r="F1111" t="s">
        <v>21</v>
      </c>
      <c r="G1111" t="s">
        <v>17</v>
      </c>
      <c r="H1111">
        <v>1</v>
      </c>
      <c r="I1111" s="2">
        <v>60</v>
      </c>
      <c r="J1111" s="2">
        <f t="shared" si="52"/>
        <v>60</v>
      </c>
      <c r="K1111" s="2" t="str">
        <f t="shared" si="53"/>
        <v>Sale</v>
      </c>
      <c r="L1111" t="s">
        <v>8</v>
      </c>
    </row>
    <row r="1112" spans="1:12" x14ac:dyDescent="0.25">
      <c r="A1112">
        <v>6110</v>
      </c>
      <c r="B1112">
        <v>48</v>
      </c>
      <c r="C1112" s="5" t="str">
        <f>IFERROR(_xlfn.XLOOKUP(B1112, Customers_raw!A:A, Customers_raw!B:B), "Unknown Customer")</f>
        <v>Sandra Thompson</v>
      </c>
      <c r="D1112" s="1">
        <v>45958</v>
      </c>
      <c r="E1112" s="1" t="str">
        <f t="shared" si="51"/>
        <v>2025-10</v>
      </c>
      <c r="F1112" t="s">
        <v>15</v>
      </c>
      <c r="G1112" t="s">
        <v>7</v>
      </c>
      <c r="H1112">
        <v>1</v>
      </c>
      <c r="I1112" s="2">
        <v>70</v>
      </c>
      <c r="J1112" s="2">
        <f t="shared" si="52"/>
        <v>70</v>
      </c>
      <c r="K1112" s="2" t="str">
        <f t="shared" si="53"/>
        <v>Sale</v>
      </c>
      <c r="L1112" t="s">
        <v>27</v>
      </c>
    </row>
    <row r="1113" spans="1:12" x14ac:dyDescent="0.25">
      <c r="A1113">
        <v>6111</v>
      </c>
      <c r="B1113">
        <v>44</v>
      </c>
      <c r="C1113" s="5" t="str">
        <f>IFERROR(_xlfn.XLOOKUP(B1113, Customers_raw!A:A, Customers_raw!B:B), "Unknown Customer")</f>
        <v>Emily Jackson</v>
      </c>
      <c r="D1113" s="1">
        <v>45870</v>
      </c>
      <c r="E1113" s="1" t="str">
        <f t="shared" si="51"/>
        <v>2025-08</v>
      </c>
      <c r="F1113" t="s">
        <v>15</v>
      </c>
      <c r="G1113" t="s">
        <v>7</v>
      </c>
      <c r="H1113">
        <v>2</v>
      </c>
      <c r="I1113" s="2">
        <v>73</v>
      </c>
      <c r="J1113" s="2">
        <f t="shared" si="52"/>
        <v>146</v>
      </c>
      <c r="K1113" s="2" t="str">
        <f t="shared" si="53"/>
        <v>Sale</v>
      </c>
      <c r="L1113" t="s">
        <v>5</v>
      </c>
    </row>
    <row r="1114" spans="1:12" x14ac:dyDescent="0.25">
      <c r="A1114">
        <v>6112</v>
      </c>
      <c r="B1114">
        <v>102</v>
      </c>
      <c r="C1114" s="5" t="str">
        <f>IFERROR(_xlfn.XLOOKUP(B1114, Customers_raw!A:A, Customers_raw!B:B), "Unknown Customer")</f>
        <v>Ashley Wilson</v>
      </c>
      <c r="D1114" s="1">
        <v>45993</v>
      </c>
      <c r="E1114" s="1" t="str">
        <f t="shared" si="51"/>
        <v>2025-12</v>
      </c>
      <c r="F1114" t="s">
        <v>14</v>
      </c>
      <c r="G1114" t="s">
        <v>7</v>
      </c>
      <c r="H1114">
        <v>1</v>
      </c>
      <c r="I1114" s="2">
        <v>52</v>
      </c>
      <c r="J1114" s="2">
        <f t="shared" si="52"/>
        <v>52</v>
      </c>
      <c r="K1114" s="2" t="str">
        <f t="shared" si="53"/>
        <v>Sale</v>
      </c>
      <c r="L1114" t="s">
        <v>27</v>
      </c>
    </row>
    <row r="1115" spans="1:12" x14ac:dyDescent="0.25">
      <c r="A1115">
        <v>6113</v>
      </c>
      <c r="B1115">
        <v>13</v>
      </c>
      <c r="C1115" s="5" t="str">
        <f>IFERROR(_xlfn.XLOOKUP(B1115, Customers_raw!A:A, Customers_raw!B:B), "Unknown Customer")</f>
        <v>Anthony Johnson</v>
      </c>
      <c r="D1115" s="1">
        <v>45723</v>
      </c>
      <c r="E1115" s="1" t="str">
        <f t="shared" si="51"/>
        <v>2025-03</v>
      </c>
      <c r="F1115" t="s">
        <v>15</v>
      </c>
      <c r="G1115" t="s">
        <v>7</v>
      </c>
      <c r="H1115">
        <v>1</v>
      </c>
      <c r="I1115" s="2">
        <v>73</v>
      </c>
      <c r="J1115" s="2">
        <f t="shared" si="52"/>
        <v>73</v>
      </c>
      <c r="K1115" s="2" t="str">
        <f t="shared" si="53"/>
        <v>Sale</v>
      </c>
      <c r="L1115" t="s">
        <v>27</v>
      </c>
    </row>
    <row r="1116" spans="1:12" x14ac:dyDescent="0.25">
      <c r="A1116">
        <v>6114</v>
      </c>
      <c r="B1116">
        <v>48</v>
      </c>
      <c r="C1116" s="5" t="str">
        <f>IFERROR(_xlfn.XLOOKUP(B1116, Customers_raw!A:A, Customers_raw!B:B), "Unknown Customer")</f>
        <v>Sandra Thompson</v>
      </c>
      <c r="D1116" s="1">
        <v>45868</v>
      </c>
      <c r="E1116" s="1" t="str">
        <f t="shared" si="51"/>
        <v>2025-07</v>
      </c>
      <c r="F1116" t="s">
        <v>22</v>
      </c>
      <c r="G1116" t="s">
        <v>17</v>
      </c>
      <c r="H1116">
        <v>2</v>
      </c>
      <c r="I1116" s="2">
        <v>24</v>
      </c>
      <c r="J1116" s="2">
        <f t="shared" si="52"/>
        <v>48</v>
      </c>
      <c r="K1116" s="2" t="str">
        <f t="shared" si="53"/>
        <v>Sale</v>
      </c>
      <c r="L1116" t="s">
        <v>23</v>
      </c>
    </row>
    <row r="1117" spans="1:12" x14ac:dyDescent="0.25">
      <c r="A1117">
        <v>6115</v>
      </c>
      <c r="B1117">
        <v>54</v>
      </c>
      <c r="C1117" s="5" t="str">
        <f>IFERROR(_xlfn.XLOOKUP(B1117, Customers_raw!A:A, Customers_raw!B:B), "Unknown Customer")</f>
        <v>Donald Moore</v>
      </c>
      <c r="D1117" s="1">
        <v>45812</v>
      </c>
      <c r="E1117" s="1" t="str">
        <f t="shared" si="51"/>
        <v>2025-06</v>
      </c>
      <c r="F1117" t="s">
        <v>13</v>
      </c>
      <c r="G1117" t="s">
        <v>7</v>
      </c>
      <c r="H1117">
        <v>1</v>
      </c>
      <c r="I1117" s="2">
        <v>29</v>
      </c>
      <c r="J1117" s="2">
        <f t="shared" si="52"/>
        <v>29</v>
      </c>
      <c r="K1117" s="2" t="str">
        <f t="shared" si="53"/>
        <v>Sale</v>
      </c>
      <c r="L1117" t="s">
        <v>5</v>
      </c>
    </row>
    <row r="1118" spans="1:12" x14ac:dyDescent="0.25">
      <c r="A1118">
        <v>6116</v>
      </c>
      <c r="B1118">
        <v>98</v>
      </c>
      <c r="C1118" s="5" t="str">
        <f>IFERROR(_xlfn.XLOOKUP(B1118, Customers_raw!A:A, Customers_raw!B:B), "Unknown Customer")</f>
        <v>Karen Williams</v>
      </c>
      <c r="D1118" s="1">
        <v>45818</v>
      </c>
      <c r="E1118" s="1" t="str">
        <f t="shared" si="51"/>
        <v>2025-06</v>
      </c>
      <c r="F1118" t="s">
        <v>12</v>
      </c>
      <c r="G1118" t="s">
        <v>10</v>
      </c>
      <c r="H1118">
        <v>1</v>
      </c>
      <c r="I1118" s="2">
        <v>22</v>
      </c>
      <c r="J1118" s="2">
        <f t="shared" si="52"/>
        <v>22</v>
      </c>
      <c r="K1118" s="2" t="str">
        <f t="shared" si="53"/>
        <v>Sale</v>
      </c>
      <c r="L1118" t="s">
        <v>27</v>
      </c>
    </row>
    <row r="1119" spans="1:12" x14ac:dyDescent="0.25">
      <c r="A1119">
        <v>6117</v>
      </c>
      <c r="B1119">
        <v>70</v>
      </c>
      <c r="C1119" s="5" t="str">
        <f>IFERROR(_xlfn.XLOOKUP(B1119, Customers_raw!A:A, Customers_raw!B:B), "Unknown Customer")</f>
        <v>Karen Perez</v>
      </c>
      <c r="D1119" s="1">
        <v>45965</v>
      </c>
      <c r="E1119" s="1" t="str">
        <f t="shared" si="51"/>
        <v>2025-11</v>
      </c>
      <c r="F1119" t="s">
        <v>19</v>
      </c>
      <c r="G1119" t="s">
        <v>17</v>
      </c>
      <c r="H1119">
        <v>1</v>
      </c>
      <c r="I1119" s="2">
        <v>19</v>
      </c>
      <c r="J1119" s="2">
        <f t="shared" si="52"/>
        <v>19</v>
      </c>
      <c r="K1119" s="2" t="str">
        <f t="shared" si="53"/>
        <v>Sale</v>
      </c>
      <c r="L1119" t="s">
        <v>23</v>
      </c>
    </row>
    <row r="1120" spans="1:12" x14ac:dyDescent="0.25">
      <c r="A1120">
        <v>6118</v>
      </c>
      <c r="B1120">
        <v>110</v>
      </c>
      <c r="C1120" s="5" t="str">
        <f>IFERROR(_xlfn.XLOOKUP(B1120, Customers_raw!A:A, Customers_raw!B:B), "Unknown Customer")</f>
        <v>Betty Walker</v>
      </c>
      <c r="D1120" s="1">
        <v>45753</v>
      </c>
      <c r="E1120" s="1" t="str">
        <f t="shared" si="51"/>
        <v>2025-04</v>
      </c>
      <c r="F1120" t="s">
        <v>13</v>
      </c>
      <c r="G1120" t="s">
        <v>7</v>
      </c>
      <c r="H1120">
        <v>1</v>
      </c>
      <c r="I1120" s="2">
        <v>35</v>
      </c>
      <c r="J1120" s="2">
        <f t="shared" si="52"/>
        <v>35</v>
      </c>
      <c r="K1120" s="2" t="str">
        <f t="shared" si="53"/>
        <v>Sale</v>
      </c>
      <c r="L1120" t="s">
        <v>8</v>
      </c>
    </row>
    <row r="1121" spans="1:12" x14ac:dyDescent="0.25">
      <c r="A1121">
        <v>6119</v>
      </c>
      <c r="B1121">
        <v>54</v>
      </c>
      <c r="C1121" s="5" t="str">
        <f>IFERROR(_xlfn.XLOOKUP(B1121, Customers_raw!A:A, Customers_raw!B:B), "Unknown Customer")</f>
        <v>Donald Moore</v>
      </c>
      <c r="D1121" s="1">
        <v>46000</v>
      </c>
      <c r="E1121" s="1" t="str">
        <f t="shared" si="51"/>
        <v>2025-12</v>
      </c>
      <c r="F1121" t="s">
        <v>18</v>
      </c>
      <c r="G1121" t="s">
        <v>6</v>
      </c>
      <c r="H1121">
        <v>1</v>
      </c>
      <c r="I1121" s="2">
        <v>89</v>
      </c>
      <c r="J1121" s="2">
        <f t="shared" si="52"/>
        <v>89</v>
      </c>
      <c r="K1121" s="2" t="str">
        <f t="shared" si="53"/>
        <v>Sale</v>
      </c>
      <c r="L1121" t="s">
        <v>8</v>
      </c>
    </row>
    <row r="1122" spans="1:12" x14ac:dyDescent="0.25">
      <c r="A1122">
        <v>6120</v>
      </c>
      <c r="B1122">
        <v>56</v>
      </c>
      <c r="C1122" s="5" t="str">
        <f>IFERROR(_xlfn.XLOOKUP(B1122, Customers_raw!A:A, Customers_raw!B:B), "Unknown Customer")</f>
        <v>Mark Hernandez</v>
      </c>
      <c r="D1122" s="1">
        <v>45898</v>
      </c>
      <c r="E1122" s="1" t="str">
        <f t="shared" si="51"/>
        <v>2025-08</v>
      </c>
      <c r="F1122" t="s">
        <v>19</v>
      </c>
      <c r="G1122" t="s">
        <v>17</v>
      </c>
      <c r="H1122">
        <v>3</v>
      </c>
      <c r="I1122" s="2">
        <v>19</v>
      </c>
      <c r="J1122" s="2">
        <f t="shared" si="52"/>
        <v>57</v>
      </c>
      <c r="K1122" s="2" t="str">
        <f t="shared" si="53"/>
        <v>Sale</v>
      </c>
      <c r="L1122" t="s">
        <v>5</v>
      </c>
    </row>
    <row r="1123" spans="1:12" x14ac:dyDescent="0.25">
      <c r="A1123">
        <v>6121</v>
      </c>
      <c r="B1123">
        <v>37</v>
      </c>
      <c r="C1123" s="5" t="str">
        <f>IFERROR(_xlfn.XLOOKUP(B1123, Customers_raw!A:A, Customers_raw!B:B), "Unknown Customer")</f>
        <v>Kenneth Lopez</v>
      </c>
      <c r="D1123" s="1">
        <v>45805</v>
      </c>
      <c r="E1123" s="1" t="str">
        <f t="shared" si="51"/>
        <v>2025-05</v>
      </c>
      <c r="F1123" t="s">
        <v>15</v>
      </c>
      <c r="G1123" t="s">
        <v>7</v>
      </c>
      <c r="H1123">
        <v>1</v>
      </c>
      <c r="I1123" s="2">
        <v>67</v>
      </c>
      <c r="J1123" s="2">
        <f t="shared" si="52"/>
        <v>67</v>
      </c>
      <c r="K1123" s="2" t="str">
        <f t="shared" si="53"/>
        <v>Sale</v>
      </c>
      <c r="L1123" t="s">
        <v>5</v>
      </c>
    </row>
    <row r="1124" spans="1:12" x14ac:dyDescent="0.25">
      <c r="A1124">
        <v>6122</v>
      </c>
      <c r="B1124">
        <v>20</v>
      </c>
      <c r="C1124" s="5" t="str">
        <f>IFERROR(_xlfn.XLOOKUP(B1124, Customers_raw!A:A, Customers_raw!B:B), "Unknown Customer")</f>
        <v>David Ramirez</v>
      </c>
      <c r="D1124" s="1">
        <v>45922</v>
      </c>
      <c r="E1124" s="1" t="str">
        <f t="shared" si="51"/>
        <v>2025-09</v>
      </c>
      <c r="F1124" t="s">
        <v>12</v>
      </c>
      <c r="G1124" t="s">
        <v>10</v>
      </c>
      <c r="H1124">
        <v>1</v>
      </c>
      <c r="I1124" s="2">
        <v>22</v>
      </c>
      <c r="J1124" s="2">
        <f t="shared" si="52"/>
        <v>22</v>
      </c>
      <c r="K1124" s="2" t="str">
        <f t="shared" si="53"/>
        <v>Sale</v>
      </c>
      <c r="L1124" t="s">
        <v>27</v>
      </c>
    </row>
    <row r="1125" spans="1:12" x14ac:dyDescent="0.25">
      <c r="A1125">
        <v>6123</v>
      </c>
      <c r="B1125">
        <v>86</v>
      </c>
      <c r="C1125" s="5" t="str">
        <f>IFERROR(_xlfn.XLOOKUP(B1125, Customers_raw!A:A, Customers_raw!B:B), "Unknown Customer")</f>
        <v>Steven Jones</v>
      </c>
      <c r="D1125" s="1">
        <v>45842</v>
      </c>
      <c r="E1125" s="1" t="str">
        <f t="shared" si="51"/>
        <v>2025-07</v>
      </c>
      <c r="F1125" t="s">
        <v>18</v>
      </c>
      <c r="G1125" t="s">
        <v>6</v>
      </c>
      <c r="H1125">
        <v>2</v>
      </c>
      <c r="I1125" s="2">
        <v>89</v>
      </c>
      <c r="J1125" s="2">
        <f t="shared" si="52"/>
        <v>178</v>
      </c>
      <c r="K1125" s="2" t="str">
        <f t="shared" si="53"/>
        <v>Sale</v>
      </c>
      <c r="L1125" t="s">
        <v>8</v>
      </c>
    </row>
    <row r="1126" spans="1:12" x14ac:dyDescent="0.25">
      <c r="A1126">
        <v>6124</v>
      </c>
      <c r="B1126">
        <v>85</v>
      </c>
      <c r="C1126" s="5" t="str">
        <f>IFERROR(_xlfn.XLOOKUP(B1126, Customers_raw!A:A, Customers_raw!B:B), "Unknown Customer")</f>
        <v>Elizabeth Martinez</v>
      </c>
      <c r="D1126" s="1">
        <v>45663</v>
      </c>
      <c r="E1126" s="1" t="str">
        <f t="shared" si="51"/>
        <v>2025-01</v>
      </c>
      <c r="F1126" t="s">
        <v>15</v>
      </c>
      <c r="G1126" t="s">
        <v>7</v>
      </c>
      <c r="H1126">
        <v>2</v>
      </c>
      <c r="I1126" s="2">
        <v>70</v>
      </c>
      <c r="J1126" s="2">
        <f t="shared" si="52"/>
        <v>140</v>
      </c>
      <c r="K1126" s="2" t="str">
        <f t="shared" si="53"/>
        <v>Sale</v>
      </c>
      <c r="L1126" t="s">
        <v>27</v>
      </c>
    </row>
    <row r="1127" spans="1:12" x14ac:dyDescent="0.25">
      <c r="A1127">
        <v>6125</v>
      </c>
      <c r="B1127">
        <v>68</v>
      </c>
      <c r="C1127" s="5" t="str">
        <f>IFERROR(_xlfn.XLOOKUP(B1127, Customers_raw!A:A, Customers_raw!B:B), "Unknown Customer")</f>
        <v>James Hernandez</v>
      </c>
      <c r="D1127" s="1">
        <v>45868</v>
      </c>
      <c r="E1127" s="1" t="str">
        <f t="shared" si="51"/>
        <v>2025-07</v>
      </c>
      <c r="F1127" t="s">
        <v>20</v>
      </c>
      <c r="G1127" t="s">
        <v>10</v>
      </c>
      <c r="H1127">
        <v>1</v>
      </c>
      <c r="I1127" s="2">
        <v>65</v>
      </c>
      <c r="J1127" s="2">
        <f t="shared" si="52"/>
        <v>65</v>
      </c>
      <c r="K1127" s="2" t="str">
        <f t="shared" si="53"/>
        <v>Sale</v>
      </c>
      <c r="L1127" t="s">
        <v>8</v>
      </c>
    </row>
    <row r="1128" spans="1:12" x14ac:dyDescent="0.25">
      <c r="A1128">
        <v>6126</v>
      </c>
      <c r="B1128">
        <v>37</v>
      </c>
      <c r="C1128" s="5" t="str">
        <f>IFERROR(_xlfn.XLOOKUP(B1128, Customers_raw!A:A, Customers_raw!B:B), "Unknown Customer")</f>
        <v>Kenneth Lopez</v>
      </c>
      <c r="D1128" s="1">
        <v>45919</v>
      </c>
      <c r="E1128" s="1" t="str">
        <f t="shared" si="51"/>
        <v>2025-09</v>
      </c>
      <c r="F1128" t="s">
        <v>13</v>
      </c>
      <c r="G1128" t="s">
        <v>7</v>
      </c>
      <c r="H1128">
        <v>2</v>
      </c>
      <c r="I1128" s="2">
        <v>32</v>
      </c>
      <c r="J1128" s="2">
        <f t="shared" si="52"/>
        <v>64</v>
      </c>
      <c r="K1128" s="2" t="str">
        <f t="shared" si="53"/>
        <v>Sale</v>
      </c>
      <c r="L1128" t="s">
        <v>5</v>
      </c>
    </row>
    <row r="1129" spans="1:12" x14ac:dyDescent="0.25">
      <c r="A1129">
        <v>6127</v>
      </c>
      <c r="B1129">
        <v>61</v>
      </c>
      <c r="C1129" s="5" t="str">
        <f>IFERROR(_xlfn.XLOOKUP(B1129, Customers_raw!A:A, Customers_raw!B:B), "Unknown Customer")</f>
        <v>Jennifer Harris</v>
      </c>
      <c r="D1129" s="1">
        <v>45929</v>
      </c>
      <c r="E1129" s="1" t="str">
        <f t="shared" si="51"/>
        <v>2025-09</v>
      </c>
      <c r="F1129" t="s">
        <v>12</v>
      </c>
      <c r="G1129" t="s">
        <v>10</v>
      </c>
      <c r="H1129">
        <v>1</v>
      </c>
      <c r="I1129" s="2">
        <v>22</v>
      </c>
      <c r="J1129" s="2">
        <f t="shared" si="52"/>
        <v>22</v>
      </c>
      <c r="K1129" s="2" t="str">
        <f t="shared" si="53"/>
        <v>Sale</v>
      </c>
      <c r="L1129" t="s">
        <v>5</v>
      </c>
    </row>
    <row r="1130" spans="1:12" x14ac:dyDescent="0.25">
      <c r="A1130">
        <v>6128</v>
      </c>
      <c r="B1130">
        <v>94</v>
      </c>
      <c r="C1130" s="5" t="str">
        <f>IFERROR(_xlfn.XLOOKUP(B1130, Customers_raw!A:A, Customers_raw!B:B), "Unknown Customer")</f>
        <v>Kenneth Jones</v>
      </c>
      <c r="D1130" s="1">
        <v>45982</v>
      </c>
      <c r="E1130" s="1" t="str">
        <f t="shared" si="51"/>
        <v>2025-11</v>
      </c>
      <c r="F1130" t="s">
        <v>19</v>
      </c>
      <c r="G1130" t="s">
        <v>17</v>
      </c>
      <c r="H1130">
        <v>2</v>
      </c>
      <c r="I1130" s="2">
        <v>16</v>
      </c>
      <c r="J1130" s="2">
        <f t="shared" si="52"/>
        <v>32</v>
      </c>
      <c r="K1130" s="2" t="str">
        <f t="shared" si="53"/>
        <v>Sale</v>
      </c>
      <c r="L1130" t="s">
        <v>8</v>
      </c>
    </row>
    <row r="1131" spans="1:12" x14ac:dyDescent="0.25">
      <c r="A1131">
        <v>6129</v>
      </c>
      <c r="B1131">
        <v>5</v>
      </c>
      <c r="C1131" s="5" t="str">
        <f>IFERROR(_xlfn.XLOOKUP(B1131, Customers_raw!A:A, Customers_raw!B:B), "Unknown Customer")</f>
        <v>Joshua Martin</v>
      </c>
      <c r="D1131" s="1">
        <v>45686</v>
      </c>
      <c r="E1131" s="1" t="str">
        <f t="shared" si="51"/>
        <v>2025-01</v>
      </c>
      <c r="F1131" t="s">
        <v>19</v>
      </c>
      <c r="G1131" t="s">
        <v>17</v>
      </c>
      <c r="H1131">
        <v>1</v>
      </c>
      <c r="I1131" s="2">
        <v>19</v>
      </c>
      <c r="J1131" s="2">
        <f t="shared" si="52"/>
        <v>19</v>
      </c>
      <c r="K1131" s="2" t="str">
        <f t="shared" si="53"/>
        <v>Sale</v>
      </c>
      <c r="L1131" t="s">
        <v>27</v>
      </c>
    </row>
    <row r="1132" spans="1:12" x14ac:dyDescent="0.25">
      <c r="A1132">
        <v>6130</v>
      </c>
      <c r="B1132">
        <v>46</v>
      </c>
      <c r="C1132" s="5" t="str">
        <f>IFERROR(_xlfn.XLOOKUP(B1132, Customers_raw!A:A, Customers_raw!B:B), "Unknown Customer")</f>
        <v>Mary Rodriguez</v>
      </c>
      <c r="D1132" s="1">
        <v>45701</v>
      </c>
      <c r="E1132" s="1" t="str">
        <f t="shared" si="51"/>
        <v>2025-02</v>
      </c>
      <c r="F1132" t="s">
        <v>11</v>
      </c>
      <c r="G1132" t="s">
        <v>6</v>
      </c>
      <c r="H1132">
        <v>1</v>
      </c>
      <c r="I1132" s="2">
        <v>18</v>
      </c>
      <c r="J1132" s="2">
        <f t="shared" si="52"/>
        <v>18</v>
      </c>
      <c r="K1132" s="2" t="str">
        <f t="shared" si="53"/>
        <v>Sale</v>
      </c>
      <c r="L1132" t="s">
        <v>8</v>
      </c>
    </row>
    <row r="1133" spans="1:12" x14ac:dyDescent="0.25">
      <c r="A1133">
        <v>6131</v>
      </c>
      <c r="B1133">
        <v>100</v>
      </c>
      <c r="C1133" s="5" t="str">
        <f>IFERROR(_xlfn.XLOOKUP(B1133, Customers_raw!A:A, Customers_raw!B:B), "Unknown Customer")</f>
        <v>Susan Williams</v>
      </c>
      <c r="D1133" s="1">
        <v>45695</v>
      </c>
      <c r="E1133" s="1" t="str">
        <f t="shared" si="51"/>
        <v>2025-02</v>
      </c>
      <c r="F1133" t="s">
        <v>15</v>
      </c>
      <c r="G1133" t="s">
        <v>7</v>
      </c>
      <c r="H1133">
        <v>2</v>
      </c>
      <c r="I1133" s="2">
        <v>67</v>
      </c>
      <c r="J1133" s="2">
        <f t="shared" si="52"/>
        <v>134</v>
      </c>
      <c r="K1133" s="2" t="str">
        <f t="shared" si="53"/>
        <v>Sale</v>
      </c>
      <c r="L1133" t="s">
        <v>27</v>
      </c>
    </row>
    <row r="1134" spans="1:12" x14ac:dyDescent="0.25">
      <c r="A1134">
        <v>6132</v>
      </c>
      <c r="B1134">
        <v>28</v>
      </c>
      <c r="C1134" s="5" t="str">
        <f>IFERROR(_xlfn.XLOOKUP(B1134, Customers_raw!A:A, Customers_raw!B:B), "Unknown Customer")</f>
        <v>Michael Lopez</v>
      </c>
      <c r="D1134" s="1">
        <v>45721</v>
      </c>
      <c r="E1134" s="1" t="str">
        <f t="shared" si="51"/>
        <v>2025-03</v>
      </c>
      <c r="F1134" t="s">
        <v>11</v>
      </c>
      <c r="G1134" t="s">
        <v>6</v>
      </c>
      <c r="H1134">
        <v>3</v>
      </c>
      <c r="I1134" s="2">
        <v>18</v>
      </c>
      <c r="J1134" s="2">
        <f t="shared" si="52"/>
        <v>54</v>
      </c>
      <c r="K1134" s="2" t="str">
        <f t="shared" si="53"/>
        <v>Sale</v>
      </c>
      <c r="L1134" t="s">
        <v>5</v>
      </c>
    </row>
    <row r="1135" spans="1:12" x14ac:dyDescent="0.25">
      <c r="A1135">
        <v>6133</v>
      </c>
      <c r="B1135">
        <v>9</v>
      </c>
      <c r="C1135" s="5" t="str">
        <f>IFERROR(_xlfn.XLOOKUP(B1135, Customers_raw!A:A, Customers_raw!B:B), "Unknown Customer")</f>
        <v>Andrew Anderson</v>
      </c>
      <c r="D1135" s="1">
        <v>45951</v>
      </c>
      <c r="E1135" s="1" t="str">
        <f t="shared" si="51"/>
        <v>2025-10</v>
      </c>
      <c r="F1135" t="s">
        <v>11</v>
      </c>
      <c r="G1135" t="s">
        <v>6</v>
      </c>
      <c r="H1135">
        <v>1</v>
      </c>
      <c r="I1135" s="2">
        <v>18</v>
      </c>
      <c r="J1135" s="2">
        <f t="shared" si="52"/>
        <v>18</v>
      </c>
      <c r="K1135" s="2" t="str">
        <f t="shared" si="53"/>
        <v>Sale</v>
      </c>
      <c r="L1135" t="s">
        <v>5</v>
      </c>
    </row>
    <row r="1136" spans="1:12" x14ac:dyDescent="0.25">
      <c r="A1136">
        <v>6134</v>
      </c>
      <c r="B1136">
        <v>31</v>
      </c>
      <c r="C1136" s="5" t="str">
        <f>IFERROR(_xlfn.XLOOKUP(B1136, Customers_raw!A:A, Customers_raw!B:B), "Unknown Customer")</f>
        <v>Nancy Harris</v>
      </c>
      <c r="D1136" s="1">
        <v>45865</v>
      </c>
      <c r="E1136" s="1" t="str">
        <f t="shared" si="51"/>
        <v>2025-07</v>
      </c>
      <c r="F1136" t="s">
        <v>19</v>
      </c>
      <c r="G1136" t="s">
        <v>17</v>
      </c>
      <c r="H1136">
        <v>1</v>
      </c>
      <c r="I1136" s="2">
        <v>19.095238095238095</v>
      </c>
      <c r="J1136" s="2">
        <f t="shared" si="52"/>
        <v>19.095238095238095</v>
      </c>
      <c r="K1136" s="2" t="str">
        <f t="shared" si="53"/>
        <v>Sale</v>
      </c>
      <c r="L1136" t="s">
        <v>27</v>
      </c>
    </row>
    <row r="1137" spans="1:12" x14ac:dyDescent="0.25">
      <c r="A1137">
        <v>6135</v>
      </c>
      <c r="B1137">
        <v>81</v>
      </c>
      <c r="C1137" s="5" t="str">
        <f>IFERROR(_xlfn.XLOOKUP(B1137, Customers_raw!A:A, Customers_raw!B:B), "Unknown Customer")</f>
        <v>Sarah Moore</v>
      </c>
      <c r="D1137" s="1">
        <v>45794</v>
      </c>
      <c r="E1137" s="1" t="str">
        <f t="shared" si="51"/>
        <v>2025-05</v>
      </c>
      <c r="F1137" t="s">
        <v>15</v>
      </c>
      <c r="G1137" t="s">
        <v>7</v>
      </c>
      <c r="H1137">
        <v>1</v>
      </c>
      <c r="I1137" s="2">
        <v>69.878787878787875</v>
      </c>
      <c r="J1137" s="2">
        <f t="shared" si="52"/>
        <v>69.878787878787875</v>
      </c>
      <c r="K1137" s="2" t="str">
        <f t="shared" si="53"/>
        <v>Sale</v>
      </c>
      <c r="L1137" t="s">
        <v>27</v>
      </c>
    </row>
    <row r="1138" spans="1:12" x14ac:dyDescent="0.25">
      <c r="A1138">
        <v>6136</v>
      </c>
      <c r="B1138">
        <v>96</v>
      </c>
      <c r="C1138" s="5" t="str">
        <f>IFERROR(_xlfn.XLOOKUP(B1138, Customers_raw!A:A, Customers_raw!B:B), "Unknown Customer")</f>
        <v>Michael White</v>
      </c>
      <c r="D1138" s="1">
        <v>45919</v>
      </c>
      <c r="E1138" s="1" t="str">
        <f t="shared" si="51"/>
        <v>2025-09</v>
      </c>
      <c r="F1138" t="s">
        <v>12</v>
      </c>
      <c r="G1138" t="s">
        <v>10</v>
      </c>
      <c r="H1138">
        <v>1</v>
      </c>
      <c r="I1138" s="2">
        <v>25</v>
      </c>
      <c r="J1138" s="2">
        <f t="shared" si="52"/>
        <v>25</v>
      </c>
      <c r="K1138" s="2" t="str">
        <f t="shared" si="53"/>
        <v>Sale</v>
      </c>
      <c r="L1138" t="s">
        <v>8</v>
      </c>
    </row>
    <row r="1139" spans="1:12" x14ac:dyDescent="0.25">
      <c r="A1139">
        <v>6137</v>
      </c>
      <c r="B1139">
        <v>27</v>
      </c>
      <c r="C1139" s="5" t="str">
        <f>IFERROR(_xlfn.XLOOKUP(B1139, Customers_raw!A:A, Customers_raw!B:B), "Unknown Customer")</f>
        <v>Nancy Lee</v>
      </c>
      <c r="D1139" s="1">
        <v>45776</v>
      </c>
      <c r="E1139" s="1" t="str">
        <f t="shared" si="51"/>
        <v>2025-04</v>
      </c>
      <c r="F1139" t="s">
        <v>20</v>
      </c>
      <c r="G1139" t="s">
        <v>10</v>
      </c>
      <c r="H1139">
        <v>2</v>
      </c>
      <c r="I1139" s="2">
        <v>65</v>
      </c>
      <c r="J1139" s="2">
        <f t="shared" si="52"/>
        <v>130</v>
      </c>
      <c r="K1139" s="2" t="str">
        <f t="shared" si="53"/>
        <v>Sale</v>
      </c>
      <c r="L1139" t="s">
        <v>5</v>
      </c>
    </row>
    <row r="1140" spans="1:12" x14ac:dyDescent="0.25">
      <c r="A1140">
        <v>6138</v>
      </c>
      <c r="B1140">
        <v>35</v>
      </c>
      <c r="C1140" s="5" t="str">
        <f>IFERROR(_xlfn.XLOOKUP(B1140, Customers_raw!A:A, Customers_raw!B:B), "Unknown Customer")</f>
        <v>Richard Clark</v>
      </c>
      <c r="D1140" s="1">
        <v>45941</v>
      </c>
      <c r="E1140" s="1" t="str">
        <f t="shared" si="51"/>
        <v>2025-10</v>
      </c>
      <c r="F1140" t="s">
        <v>18</v>
      </c>
      <c r="G1140" t="s">
        <v>6</v>
      </c>
      <c r="H1140">
        <v>3</v>
      </c>
      <c r="I1140" s="2">
        <v>86</v>
      </c>
      <c r="J1140" s="2">
        <f t="shared" si="52"/>
        <v>258</v>
      </c>
      <c r="K1140" s="2" t="str">
        <f t="shared" si="53"/>
        <v>Sale</v>
      </c>
      <c r="L1140" t="s">
        <v>23</v>
      </c>
    </row>
    <row r="1141" spans="1:12" x14ac:dyDescent="0.25">
      <c r="A1141">
        <v>6139</v>
      </c>
      <c r="B1141">
        <v>86</v>
      </c>
      <c r="C1141" s="5" t="str">
        <f>IFERROR(_xlfn.XLOOKUP(B1141, Customers_raw!A:A, Customers_raw!B:B), "Unknown Customer")</f>
        <v>Steven Jones</v>
      </c>
      <c r="D1141" s="1">
        <v>45918</v>
      </c>
      <c r="E1141" s="1" t="str">
        <f t="shared" si="51"/>
        <v>2025-09</v>
      </c>
      <c r="F1141" t="s">
        <v>18</v>
      </c>
      <c r="G1141" t="s">
        <v>6</v>
      </c>
      <c r="H1141">
        <v>-1</v>
      </c>
      <c r="I1141" s="2">
        <v>89</v>
      </c>
      <c r="J1141" s="2">
        <f t="shared" si="52"/>
        <v>-89</v>
      </c>
      <c r="K1141" s="2" t="str">
        <f t="shared" si="53"/>
        <v>Return</v>
      </c>
      <c r="L1141" t="s">
        <v>5</v>
      </c>
    </row>
    <row r="1142" spans="1:12" x14ac:dyDescent="0.25">
      <c r="A1142">
        <v>6140</v>
      </c>
      <c r="B1142">
        <v>34</v>
      </c>
      <c r="C1142" s="5" t="str">
        <f>IFERROR(_xlfn.XLOOKUP(B1142, Customers_raw!A:A, Customers_raw!B:B), "Unknown Customer")</f>
        <v>Joseph Jackson</v>
      </c>
      <c r="D1142" s="1">
        <v>45714</v>
      </c>
      <c r="E1142" s="1" t="str">
        <f t="shared" si="51"/>
        <v>2025-02</v>
      </c>
      <c r="F1142" t="s">
        <v>19</v>
      </c>
      <c r="G1142" t="s">
        <v>17</v>
      </c>
      <c r="H1142">
        <v>1</v>
      </c>
      <c r="I1142" s="2">
        <v>16</v>
      </c>
      <c r="J1142" s="2">
        <f t="shared" si="52"/>
        <v>16</v>
      </c>
      <c r="K1142" s="2" t="str">
        <f t="shared" si="53"/>
        <v>Sale</v>
      </c>
      <c r="L1142" t="s">
        <v>8</v>
      </c>
    </row>
    <row r="1143" spans="1:12" x14ac:dyDescent="0.25">
      <c r="A1143">
        <v>6141</v>
      </c>
      <c r="B1143">
        <v>103</v>
      </c>
      <c r="C1143" s="5" t="str">
        <f>IFERROR(_xlfn.XLOOKUP(B1143, Customers_raw!A:A, Customers_raw!B:B), "Unknown Customer")</f>
        <v>Mark Wilson</v>
      </c>
      <c r="D1143" s="1">
        <v>46009</v>
      </c>
      <c r="E1143" s="1" t="str">
        <f t="shared" si="51"/>
        <v>2025-12</v>
      </c>
      <c r="F1143" t="s">
        <v>15</v>
      </c>
      <c r="G1143" t="s">
        <v>7</v>
      </c>
      <c r="H1143">
        <v>2</v>
      </c>
      <c r="I1143" s="2">
        <v>70</v>
      </c>
      <c r="J1143" s="2">
        <f t="shared" si="52"/>
        <v>140</v>
      </c>
      <c r="K1143" s="2" t="str">
        <f t="shared" si="53"/>
        <v>Sale</v>
      </c>
      <c r="L1143" t="s">
        <v>5</v>
      </c>
    </row>
    <row r="1144" spans="1:12" x14ac:dyDescent="0.25">
      <c r="A1144">
        <v>6142</v>
      </c>
      <c r="B1144">
        <v>68</v>
      </c>
      <c r="C1144" s="5" t="str">
        <f>IFERROR(_xlfn.XLOOKUP(B1144, Customers_raw!A:A, Customers_raw!B:B), "Unknown Customer")</f>
        <v>James Hernandez</v>
      </c>
      <c r="D1144" s="1">
        <v>45862</v>
      </c>
      <c r="E1144" s="1" t="str">
        <f t="shared" si="51"/>
        <v>2025-07</v>
      </c>
      <c r="F1144" t="s">
        <v>22</v>
      </c>
      <c r="G1144" t="s">
        <v>17</v>
      </c>
      <c r="H1144">
        <v>2</v>
      </c>
      <c r="I1144" s="2">
        <v>27</v>
      </c>
      <c r="J1144" s="2">
        <f t="shared" si="52"/>
        <v>54</v>
      </c>
      <c r="K1144" s="2" t="str">
        <f t="shared" si="53"/>
        <v>Sale</v>
      </c>
      <c r="L1144" t="s">
        <v>5</v>
      </c>
    </row>
    <row r="1145" spans="1:12" x14ac:dyDescent="0.25">
      <c r="A1145">
        <v>6143</v>
      </c>
      <c r="B1145">
        <v>64</v>
      </c>
      <c r="C1145" s="5" t="str">
        <f>IFERROR(_xlfn.XLOOKUP(B1145, Customers_raw!A:A, Customers_raw!B:B), "Unknown Customer")</f>
        <v>Barbara Rodriguez</v>
      </c>
      <c r="D1145" s="1">
        <v>45831</v>
      </c>
      <c r="E1145" s="1" t="str">
        <f t="shared" si="51"/>
        <v>2025-06</v>
      </c>
      <c r="F1145" t="s">
        <v>20</v>
      </c>
      <c r="G1145" t="s">
        <v>10</v>
      </c>
      <c r="H1145">
        <v>3</v>
      </c>
      <c r="I1145" s="2">
        <v>62</v>
      </c>
      <c r="J1145" s="2">
        <f t="shared" si="52"/>
        <v>186</v>
      </c>
      <c r="K1145" s="2" t="str">
        <f t="shared" si="53"/>
        <v>Sale</v>
      </c>
      <c r="L1145" t="s">
        <v>5</v>
      </c>
    </row>
    <row r="1146" spans="1:12" x14ac:dyDescent="0.25">
      <c r="A1146">
        <v>6144</v>
      </c>
      <c r="B1146">
        <v>67</v>
      </c>
      <c r="C1146" s="5" t="str">
        <f>IFERROR(_xlfn.XLOOKUP(B1146, Customers_raw!A:A, Customers_raw!B:B), "Unknown Customer")</f>
        <v>Thomas Williams</v>
      </c>
      <c r="D1146" s="1">
        <v>45885</v>
      </c>
      <c r="E1146" s="1" t="str">
        <f t="shared" si="51"/>
        <v>2025-08</v>
      </c>
      <c r="F1146" t="s">
        <v>16</v>
      </c>
      <c r="G1146" t="s">
        <v>10</v>
      </c>
      <c r="H1146">
        <v>1</v>
      </c>
      <c r="I1146" s="2">
        <v>28</v>
      </c>
      <c r="J1146" s="2">
        <f t="shared" si="52"/>
        <v>28</v>
      </c>
      <c r="K1146" s="2" t="str">
        <f t="shared" si="53"/>
        <v>Sale</v>
      </c>
      <c r="L1146" t="s">
        <v>8</v>
      </c>
    </row>
    <row r="1147" spans="1:12" x14ac:dyDescent="0.25">
      <c r="A1147">
        <v>6145</v>
      </c>
      <c r="B1147">
        <v>10</v>
      </c>
      <c r="C1147" s="5" t="str">
        <f>IFERROR(_xlfn.XLOOKUP(B1147, Customers_raw!A:A, Customers_raw!B:B), "Unknown Customer")</f>
        <v>Karen Davis</v>
      </c>
      <c r="D1147" s="1">
        <v>45966</v>
      </c>
      <c r="E1147" s="1" t="str">
        <f t="shared" si="51"/>
        <v>2025-11</v>
      </c>
      <c r="F1147" t="s">
        <v>18</v>
      </c>
      <c r="G1147" t="s">
        <v>6</v>
      </c>
      <c r="H1147">
        <v>1</v>
      </c>
      <c r="I1147" s="2">
        <v>86</v>
      </c>
      <c r="J1147" s="2">
        <f t="shared" si="52"/>
        <v>86</v>
      </c>
      <c r="K1147" s="2" t="str">
        <f t="shared" si="53"/>
        <v>Sale</v>
      </c>
      <c r="L1147" t="s">
        <v>27</v>
      </c>
    </row>
    <row r="1148" spans="1:12" x14ac:dyDescent="0.25">
      <c r="A1148">
        <v>6146</v>
      </c>
      <c r="B1148">
        <v>33</v>
      </c>
      <c r="C1148" s="5" t="str">
        <f>IFERROR(_xlfn.XLOOKUP(B1148, Customers_raw!A:A, Customers_raw!B:B), "Unknown Customer")</f>
        <v>Jennifer White</v>
      </c>
      <c r="D1148" s="1">
        <v>45969</v>
      </c>
      <c r="E1148" s="1" t="str">
        <f t="shared" si="51"/>
        <v>2025-11</v>
      </c>
      <c r="F1148" t="s">
        <v>15</v>
      </c>
      <c r="G1148" t="s">
        <v>7</v>
      </c>
      <c r="H1148">
        <v>2</v>
      </c>
      <c r="I1148" s="2">
        <v>70</v>
      </c>
      <c r="J1148" s="2">
        <f t="shared" si="52"/>
        <v>140</v>
      </c>
      <c r="K1148" s="2" t="str">
        <f t="shared" si="53"/>
        <v>Sale</v>
      </c>
      <c r="L1148" t="s">
        <v>5</v>
      </c>
    </row>
    <row r="1149" spans="1:12" x14ac:dyDescent="0.25">
      <c r="A1149">
        <v>6147</v>
      </c>
      <c r="B1149">
        <v>2</v>
      </c>
      <c r="C1149" s="5" t="str">
        <f>IFERROR(_xlfn.XLOOKUP(B1149, Customers_raw!A:A, Customers_raw!B:B), "Unknown Customer")</f>
        <v>Michael Lopez</v>
      </c>
      <c r="D1149" s="1">
        <v>45702</v>
      </c>
      <c r="E1149" s="1" t="str">
        <f t="shared" si="51"/>
        <v>2025-02</v>
      </c>
      <c r="F1149" t="s">
        <v>12</v>
      </c>
      <c r="G1149" t="s">
        <v>10</v>
      </c>
      <c r="H1149">
        <v>3</v>
      </c>
      <c r="I1149" s="2">
        <v>22</v>
      </c>
      <c r="J1149" s="2">
        <f t="shared" si="52"/>
        <v>66</v>
      </c>
      <c r="K1149" s="2" t="str">
        <f t="shared" si="53"/>
        <v>Sale</v>
      </c>
      <c r="L1149" t="s">
        <v>8</v>
      </c>
    </row>
    <row r="1150" spans="1:12" x14ac:dyDescent="0.25">
      <c r="A1150">
        <v>6148</v>
      </c>
      <c r="B1150">
        <v>106</v>
      </c>
      <c r="C1150" s="5" t="str">
        <f>IFERROR(_xlfn.XLOOKUP(B1150, Customers_raw!A:A, Customers_raw!B:B), "Unknown Customer")</f>
        <v>Thomas Lopez</v>
      </c>
      <c r="D1150" s="1">
        <v>45944</v>
      </c>
      <c r="E1150" s="1" t="str">
        <f t="shared" si="51"/>
        <v>2025-10</v>
      </c>
      <c r="F1150" t="s">
        <v>9</v>
      </c>
      <c r="G1150" t="s">
        <v>6</v>
      </c>
      <c r="H1150">
        <v>3</v>
      </c>
      <c r="I1150" s="2">
        <v>45.091836734693878</v>
      </c>
      <c r="J1150" s="2">
        <f t="shared" si="52"/>
        <v>135.27551020408163</v>
      </c>
      <c r="K1150" s="2" t="str">
        <f t="shared" si="53"/>
        <v>Sale</v>
      </c>
      <c r="L1150" t="s">
        <v>5</v>
      </c>
    </row>
    <row r="1151" spans="1:12" x14ac:dyDescent="0.25">
      <c r="A1151">
        <v>6149</v>
      </c>
      <c r="B1151">
        <v>107</v>
      </c>
      <c r="C1151" s="5" t="str">
        <f>IFERROR(_xlfn.XLOOKUP(B1151, Customers_raw!A:A, Customers_raw!B:B), "Unknown Customer")</f>
        <v>Lisa Walker</v>
      </c>
      <c r="D1151" s="1">
        <v>45701</v>
      </c>
      <c r="E1151" s="1" t="str">
        <f t="shared" si="51"/>
        <v>2025-02</v>
      </c>
      <c r="F1151" t="s">
        <v>16</v>
      </c>
      <c r="G1151" t="s">
        <v>10</v>
      </c>
      <c r="H1151">
        <v>3</v>
      </c>
      <c r="I1151" s="2">
        <v>28</v>
      </c>
      <c r="J1151" s="2">
        <f t="shared" si="52"/>
        <v>84</v>
      </c>
      <c r="K1151" s="2" t="str">
        <f t="shared" si="53"/>
        <v>Sale</v>
      </c>
      <c r="L1151" t="s">
        <v>5</v>
      </c>
    </row>
    <row r="1152" spans="1:12" x14ac:dyDescent="0.25">
      <c r="A1152">
        <v>6150</v>
      </c>
      <c r="B1152">
        <v>104</v>
      </c>
      <c r="C1152" s="5" t="str">
        <f>IFERROR(_xlfn.XLOOKUP(B1152, Customers_raw!A:A, Customers_raw!B:B), "Unknown Customer")</f>
        <v>Christopher Brown</v>
      </c>
      <c r="D1152" s="1">
        <v>45882</v>
      </c>
      <c r="E1152" s="1" t="str">
        <f t="shared" si="51"/>
        <v>2025-08</v>
      </c>
      <c r="F1152" t="s">
        <v>19</v>
      </c>
      <c r="G1152" t="s">
        <v>17</v>
      </c>
      <c r="H1152">
        <v>1</v>
      </c>
      <c r="I1152" s="2">
        <v>16</v>
      </c>
      <c r="J1152" s="2">
        <f t="shared" si="52"/>
        <v>16</v>
      </c>
      <c r="K1152" s="2" t="str">
        <f t="shared" si="53"/>
        <v>Sale</v>
      </c>
      <c r="L1152" t="s">
        <v>8</v>
      </c>
    </row>
    <row r="1153" spans="1:12" x14ac:dyDescent="0.25">
      <c r="A1153">
        <v>6151</v>
      </c>
      <c r="B1153">
        <v>2</v>
      </c>
      <c r="C1153" s="5" t="str">
        <f>IFERROR(_xlfn.XLOOKUP(B1153, Customers_raw!A:A, Customers_raw!B:B), "Unknown Customer")</f>
        <v>Michael Lopez</v>
      </c>
      <c r="D1153" s="1">
        <v>45680</v>
      </c>
      <c r="E1153" s="1" t="str">
        <f t="shared" si="51"/>
        <v>2025-01</v>
      </c>
      <c r="F1153" t="s">
        <v>15</v>
      </c>
      <c r="G1153" t="s">
        <v>7</v>
      </c>
      <c r="H1153">
        <v>2</v>
      </c>
      <c r="I1153" s="2">
        <v>70</v>
      </c>
      <c r="J1153" s="2">
        <f t="shared" si="52"/>
        <v>140</v>
      </c>
      <c r="K1153" s="2" t="str">
        <f t="shared" si="53"/>
        <v>Sale</v>
      </c>
      <c r="L1153" t="s">
        <v>5</v>
      </c>
    </row>
    <row r="1154" spans="1:12" x14ac:dyDescent="0.25">
      <c r="A1154">
        <v>6152</v>
      </c>
      <c r="B1154">
        <v>96</v>
      </c>
      <c r="C1154" s="5" t="str">
        <f>IFERROR(_xlfn.XLOOKUP(B1154, Customers_raw!A:A, Customers_raw!B:B), "Unknown Customer")</f>
        <v>Michael White</v>
      </c>
      <c r="D1154" s="1">
        <v>45819</v>
      </c>
      <c r="E1154" s="1" t="str">
        <f t="shared" si="51"/>
        <v>2025-06</v>
      </c>
      <c r="F1154" t="s">
        <v>19</v>
      </c>
      <c r="G1154" t="s">
        <v>17</v>
      </c>
      <c r="H1154">
        <v>2</v>
      </c>
      <c r="I1154" s="2">
        <v>22</v>
      </c>
      <c r="J1154" s="2">
        <f t="shared" si="52"/>
        <v>44</v>
      </c>
      <c r="K1154" s="2" t="str">
        <f t="shared" si="53"/>
        <v>Sale</v>
      </c>
      <c r="L1154" t="s">
        <v>5</v>
      </c>
    </row>
    <row r="1155" spans="1:12" x14ac:dyDescent="0.25">
      <c r="A1155">
        <v>6153</v>
      </c>
      <c r="B1155">
        <v>40</v>
      </c>
      <c r="C1155" s="5" t="str">
        <f>IFERROR(_xlfn.XLOOKUP(B1155, Customers_raw!A:A, Customers_raw!B:B), "Unknown Customer")</f>
        <v>Jennifer Ramirez</v>
      </c>
      <c r="D1155" s="1">
        <v>45755</v>
      </c>
      <c r="E1155" s="1" t="str">
        <f t="shared" ref="E1155:E1218" si="54">TEXT(D:D,"YYYY-MM")</f>
        <v>2025-04</v>
      </c>
      <c r="F1155" t="s">
        <v>22</v>
      </c>
      <c r="G1155" t="s">
        <v>17</v>
      </c>
      <c r="H1155">
        <v>3</v>
      </c>
      <c r="I1155" s="2">
        <v>21</v>
      </c>
      <c r="J1155" s="2">
        <f t="shared" ref="J1155:J1218" si="55">H1155*I1155</f>
        <v>63</v>
      </c>
      <c r="K1155" s="2" t="str">
        <f t="shared" ref="K1155:K1218" si="56">IF(H1155&lt;0,"Return","Sale")</f>
        <v>Sale</v>
      </c>
      <c r="L1155" t="s">
        <v>5</v>
      </c>
    </row>
    <row r="1156" spans="1:12" x14ac:dyDescent="0.25">
      <c r="A1156">
        <v>6154</v>
      </c>
      <c r="B1156">
        <v>77</v>
      </c>
      <c r="C1156" s="5" t="str">
        <f>IFERROR(_xlfn.XLOOKUP(B1156, Customers_raw!A:A, Customers_raw!B:B), "Unknown Customer")</f>
        <v>Steven Thompson</v>
      </c>
      <c r="D1156" s="1">
        <v>45840</v>
      </c>
      <c r="E1156" s="1" t="str">
        <f t="shared" si="54"/>
        <v>2025-07</v>
      </c>
      <c r="F1156" t="s">
        <v>11</v>
      </c>
      <c r="G1156" t="s">
        <v>6</v>
      </c>
      <c r="H1156">
        <v>1</v>
      </c>
      <c r="I1156" s="2">
        <v>18</v>
      </c>
      <c r="J1156" s="2">
        <f t="shared" si="55"/>
        <v>18</v>
      </c>
      <c r="K1156" s="2" t="str">
        <f t="shared" si="56"/>
        <v>Sale</v>
      </c>
      <c r="L1156" t="s">
        <v>5</v>
      </c>
    </row>
    <row r="1157" spans="1:12" x14ac:dyDescent="0.25">
      <c r="A1157">
        <v>6155</v>
      </c>
      <c r="B1157">
        <v>59</v>
      </c>
      <c r="C1157" s="5" t="str">
        <f>IFERROR(_xlfn.XLOOKUP(B1157, Customers_raw!A:A, Customers_raw!B:B), "Unknown Customer")</f>
        <v>Betty Robinson</v>
      </c>
      <c r="D1157" s="1">
        <v>45726</v>
      </c>
      <c r="E1157" s="1" t="str">
        <f t="shared" si="54"/>
        <v>2025-03</v>
      </c>
      <c r="F1157" t="s">
        <v>20</v>
      </c>
      <c r="G1157" t="s">
        <v>10</v>
      </c>
      <c r="H1157">
        <v>1</v>
      </c>
      <c r="I1157" s="2">
        <v>65</v>
      </c>
      <c r="J1157" s="2">
        <f t="shared" si="55"/>
        <v>65</v>
      </c>
      <c r="K1157" s="2" t="str">
        <f t="shared" si="56"/>
        <v>Sale</v>
      </c>
      <c r="L1157" t="s">
        <v>5</v>
      </c>
    </row>
    <row r="1158" spans="1:12" x14ac:dyDescent="0.25">
      <c r="A1158">
        <v>6156</v>
      </c>
      <c r="B1158">
        <v>15</v>
      </c>
      <c r="C1158" s="5" t="str">
        <f>IFERROR(_xlfn.XLOOKUP(B1158, Customers_raw!A:A, Customers_raw!B:B), "Unknown Customer")</f>
        <v>Jennifer Rodriguez</v>
      </c>
      <c r="D1158" s="1">
        <v>45672</v>
      </c>
      <c r="E1158" s="1" t="str">
        <f t="shared" si="54"/>
        <v>2025-01</v>
      </c>
      <c r="F1158" t="s">
        <v>15</v>
      </c>
      <c r="G1158" t="s">
        <v>7</v>
      </c>
      <c r="H1158">
        <v>1</v>
      </c>
      <c r="I1158" s="2">
        <v>70</v>
      </c>
      <c r="J1158" s="2">
        <f t="shared" si="55"/>
        <v>70</v>
      </c>
      <c r="K1158" s="2" t="str">
        <f t="shared" si="56"/>
        <v>Sale</v>
      </c>
      <c r="L1158" t="s">
        <v>5</v>
      </c>
    </row>
    <row r="1159" spans="1:12" x14ac:dyDescent="0.25">
      <c r="A1159">
        <v>6157</v>
      </c>
      <c r="B1159">
        <v>39</v>
      </c>
      <c r="C1159" s="5" t="str">
        <f>IFERROR(_xlfn.XLOOKUP(B1159, Customers_raw!A:A, Customers_raw!B:B), "Unknown Customer")</f>
        <v>Donald Lee</v>
      </c>
      <c r="D1159" s="1">
        <v>45692</v>
      </c>
      <c r="E1159" s="1" t="str">
        <f t="shared" si="54"/>
        <v>2025-02</v>
      </c>
      <c r="F1159" t="s">
        <v>13</v>
      </c>
      <c r="G1159" t="s">
        <v>7</v>
      </c>
      <c r="H1159">
        <v>-1</v>
      </c>
      <c r="I1159" s="2">
        <v>35</v>
      </c>
      <c r="J1159" s="2">
        <f t="shared" si="55"/>
        <v>-35</v>
      </c>
      <c r="K1159" s="2" t="str">
        <f t="shared" si="56"/>
        <v>Return</v>
      </c>
      <c r="L1159" t="s">
        <v>8</v>
      </c>
    </row>
    <row r="1160" spans="1:12" x14ac:dyDescent="0.25">
      <c r="A1160">
        <v>6158</v>
      </c>
      <c r="B1160">
        <v>73</v>
      </c>
      <c r="C1160" s="5" t="str">
        <f>IFERROR(_xlfn.XLOOKUP(B1160, Customers_raw!A:A, Customers_raw!B:B), "Unknown Customer")</f>
        <v>Michael Thompson</v>
      </c>
      <c r="D1160" s="1">
        <v>45737</v>
      </c>
      <c r="E1160" s="1" t="str">
        <f t="shared" si="54"/>
        <v>2025-03</v>
      </c>
      <c r="F1160" t="s">
        <v>22</v>
      </c>
      <c r="G1160" t="s">
        <v>17</v>
      </c>
      <c r="H1160">
        <v>2</v>
      </c>
      <c r="I1160" s="2">
        <v>24</v>
      </c>
      <c r="J1160" s="2">
        <f t="shared" si="55"/>
        <v>48</v>
      </c>
      <c r="K1160" s="2" t="str">
        <f t="shared" si="56"/>
        <v>Sale</v>
      </c>
      <c r="L1160" t="s">
        <v>8</v>
      </c>
    </row>
    <row r="1161" spans="1:12" x14ac:dyDescent="0.25">
      <c r="A1161">
        <v>6159</v>
      </c>
      <c r="B1161">
        <v>90</v>
      </c>
      <c r="C1161" s="5" t="str">
        <f>IFERROR(_xlfn.XLOOKUP(B1161, Customers_raw!A:A, Customers_raw!B:B), "Unknown Customer")</f>
        <v>John Harris</v>
      </c>
      <c r="D1161" s="1">
        <v>45962</v>
      </c>
      <c r="E1161" s="1" t="str">
        <f t="shared" si="54"/>
        <v>2025-11</v>
      </c>
      <c r="F1161" t="s">
        <v>12</v>
      </c>
      <c r="G1161" t="s">
        <v>10</v>
      </c>
      <c r="H1161">
        <v>2</v>
      </c>
      <c r="I1161" s="2">
        <v>22</v>
      </c>
      <c r="J1161" s="2">
        <f t="shared" si="55"/>
        <v>44</v>
      </c>
      <c r="K1161" s="2" t="str">
        <f t="shared" si="56"/>
        <v>Sale</v>
      </c>
      <c r="L1161" t="s">
        <v>8</v>
      </c>
    </row>
    <row r="1162" spans="1:12" x14ac:dyDescent="0.25">
      <c r="A1162">
        <v>6160</v>
      </c>
      <c r="B1162">
        <v>105</v>
      </c>
      <c r="C1162" s="5" t="str">
        <f>IFERROR(_xlfn.XLOOKUP(B1162, Customers_raw!A:A, Customers_raw!B:B), "Unknown Customer")</f>
        <v>Betty Brown</v>
      </c>
      <c r="D1162" s="1">
        <v>45963</v>
      </c>
      <c r="E1162" s="1" t="str">
        <f t="shared" si="54"/>
        <v>2025-11</v>
      </c>
      <c r="F1162" t="s">
        <v>14</v>
      </c>
      <c r="G1162" t="s">
        <v>7</v>
      </c>
      <c r="H1162">
        <v>1</v>
      </c>
      <c r="I1162" s="2">
        <v>52</v>
      </c>
      <c r="J1162" s="2">
        <f t="shared" si="55"/>
        <v>52</v>
      </c>
      <c r="K1162" s="2" t="str">
        <f t="shared" si="56"/>
        <v>Sale</v>
      </c>
      <c r="L1162" t="s">
        <v>27</v>
      </c>
    </row>
    <row r="1163" spans="1:12" x14ac:dyDescent="0.25">
      <c r="A1163">
        <v>6161</v>
      </c>
      <c r="B1163">
        <v>104</v>
      </c>
      <c r="C1163" s="5" t="str">
        <f>IFERROR(_xlfn.XLOOKUP(B1163, Customers_raw!A:A, Customers_raw!B:B), "Unknown Customer")</f>
        <v>Christopher Brown</v>
      </c>
      <c r="D1163" s="1">
        <v>45681</v>
      </c>
      <c r="E1163" s="1" t="str">
        <f t="shared" si="54"/>
        <v>2025-01</v>
      </c>
      <c r="F1163" t="s">
        <v>19</v>
      </c>
      <c r="G1163" t="s">
        <v>17</v>
      </c>
      <c r="H1163">
        <v>2</v>
      </c>
      <c r="I1163" s="2">
        <v>19.095238095238095</v>
      </c>
      <c r="J1163" s="2">
        <f t="shared" si="55"/>
        <v>38.19047619047619</v>
      </c>
      <c r="K1163" s="2" t="str">
        <f t="shared" si="56"/>
        <v>Sale</v>
      </c>
      <c r="L1163" t="s">
        <v>5</v>
      </c>
    </row>
    <row r="1164" spans="1:12" x14ac:dyDescent="0.25">
      <c r="A1164">
        <v>6162</v>
      </c>
      <c r="B1164">
        <v>63</v>
      </c>
      <c r="C1164" s="5" t="str">
        <f>IFERROR(_xlfn.XLOOKUP(B1164, Customers_raw!A:A, Customers_raw!B:B), "Unknown Customer")</f>
        <v>Joseph Robinson</v>
      </c>
      <c r="D1164" s="1">
        <v>45862</v>
      </c>
      <c r="E1164" s="1" t="str">
        <f t="shared" si="54"/>
        <v>2025-07</v>
      </c>
      <c r="F1164" t="s">
        <v>9</v>
      </c>
      <c r="G1164" t="s">
        <v>6</v>
      </c>
      <c r="H1164">
        <v>1</v>
      </c>
      <c r="I1164" s="2">
        <v>45</v>
      </c>
      <c r="J1164" s="2">
        <f t="shared" si="55"/>
        <v>45</v>
      </c>
      <c r="K1164" s="2" t="str">
        <f t="shared" si="56"/>
        <v>Sale</v>
      </c>
      <c r="L1164" t="s">
        <v>23</v>
      </c>
    </row>
    <row r="1165" spans="1:12" x14ac:dyDescent="0.25">
      <c r="A1165">
        <v>6163</v>
      </c>
      <c r="B1165">
        <v>44</v>
      </c>
      <c r="C1165" s="5" t="str">
        <f>IFERROR(_xlfn.XLOOKUP(B1165, Customers_raw!A:A, Customers_raw!B:B), "Unknown Customer")</f>
        <v>Emily Jackson</v>
      </c>
      <c r="D1165" s="1">
        <v>45921</v>
      </c>
      <c r="E1165" s="1" t="str">
        <f t="shared" si="54"/>
        <v>2025-09</v>
      </c>
      <c r="F1165" t="s">
        <v>21</v>
      </c>
      <c r="G1165" t="s">
        <v>17</v>
      </c>
      <c r="H1165">
        <v>2</v>
      </c>
      <c r="I1165" s="2">
        <v>63</v>
      </c>
      <c r="J1165" s="2">
        <f t="shared" si="55"/>
        <v>126</v>
      </c>
      <c r="K1165" s="2" t="str">
        <f t="shared" si="56"/>
        <v>Sale</v>
      </c>
      <c r="L1165" t="s">
        <v>23</v>
      </c>
    </row>
    <row r="1166" spans="1:12" x14ac:dyDescent="0.25">
      <c r="A1166">
        <v>6164</v>
      </c>
      <c r="B1166">
        <v>28</v>
      </c>
      <c r="C1166" s="5" t="str">
        <f>IFERROR(_xlfn.XLOOKUP(B1166, Customers_raw!A:A, Customers_raw!B:B), "Unknown Customer")</f>
        <v>Michael Lopez</v>
      </c>
      <c r="D1166" s="1">
        <v>45767</v>
      </c>
      <c r="E1166" s="1" t="str">
        <f t="shared" si="54"/>
        <v>2025-04</v>
      </c>
      <c r="F1166" t="s">
        <v>15</v>
      </c>
      <c r="G1166" t="s">
        <v>7</v>
      </c>
      <c r="H1166">
        <v>1</v>
      </c>
      <c r="I1166" s="2">
        <v>70</v>
      </c>
      <c r="J1166" s="2">
        <f t="shared" si="55"/>
        <v>70</v>
      </c>
      <c r="K1166" s="2" t="str">
        <f t="shared" si="56"/>
        <v>Sale</v>
      </c>
      <c r="L1166" t="s">
        <v>27</v>
      </c>
    </row>
    <row r="1167" spans="1:12" x14ac:dyDescent="0.25">
      <c r="A1167">
        <v>6165</v>
      </c>
      <c r="B1167">
        <v>68</v>
      </c>
      <c r="C1167" s="5" t="str">
        <f>IFERROR(_xlfn.XLOOKUP(B1167, Customers_raw!A:A, Customers_raw!B:B), "Unknown Customer")</f>
        <v>James Hernandez</v>
      </c>
      <c r="D1167" s="1">
        <v>46018</v>
      </c>
      <c r="E1167" s="1" t="str">
        <f t="shared" si="54"/>
        <v>2025-12</v>
      </c>
      <c r="F1167" t="s">
        <v>15</v>
      </c>
      <c r="G1167" t="s">
        <v>7</v>
      </c>
      <c r="H1167">
        <v>2</v>
      </c>
      <c r="I1167" s="2">
        <v>69.878787878787875</v>
      </c>
      <c r="J1167" s="2">
        <f t="shared" si="55"/>
        <v>139.75757575757575</v>
      </c>
      <c r="K1167" s="2" t="str">
        <f t="shared" si="56"/>
        <v>Sale</v>
      </c>
      <c r="L1167" t="s">
        <v>8</v>
      </c>
    </row>
    <row r="1168" spans="1:12" x14ac:dyDescent="0.25">
      <c r="A1168">
        <v>6166</v>
      </c>
      <c r="B1168">
        <v>67</v>
      </c>
      <c r="C1168" s="5" t="str">
        <f>IFERROR(_xlfn.XLOOKUP(B1168, Customers_raw!A:A, Customers_raw!B:B), "Unknown Customer")</f>
        <v>Thomas Williams</v>
      </c>
      <c r="D1168" s="1">
        <v>45680</v>
      </c>
      <c r="E1168" s="1" t="str">
        <f t="shared" si="54"/>
        <v>2025-01</v>
      </c>
      <c r="F1168" t="s">
        <v>16</v>
      </c>
      <c r="G1168" t="s">
        <v>10</v>
      </c>
      <c r="H1168">
        <v>1</v>
      </c>
      <c r="I1168" s="2">
        <v>28</v>
      </c>
      <c r="J1168" s="2">
        <f t="shared" si="55"/>
        <v>28</v>
      </c>
      <c r="K1168" s="2" t="str">
        <f t="shared" si="56"/>
        <v>Sale</v>
      </c>
      <c r="L1168" t="s">
        <v>5</v>
      </c>
    </row>
    <row r="1169" spans="1:12" x14ac:dyDescent="0.25">
      <c r="A1169">
        <v>6167</v>
      </c>
      <c r="B1169">
        <v>46</v>
      </c>
      <c r="C1169" s="5" t="str">
        <f>IFERROR(_xlfn.XLOOKUP(B1169, Customers_raw!A:A, Customers_raw!B:B), "Unknown Customer")</f>
        <v>Mary Rodriguez</v>
      </c>
      <c r="D1169" s="1">
        <v>45909</v>
      </c>
      <c r="E1169" s="1" t="str">
        <f t="shared" si="54"/>
        <v>2025-09</v>
      </c>
      <c r="F1169" t="s">
        <v>9</v>
      </c>
      <c r="G1169" t="s">
        <v>6</v>
      </c>
      <c r="H1169">
        <v>-2</v>
      </c>
      <c r="I1169" s="2">
        <v>45.091836734693878</v>
      </c>
      <c r="J1169" s="2">
        <f t="shared" si="55"/>
        <v>-90.183673469387756</v>
      </c>
      <c r="K1169" s="2" t="str">
        <f t="shared" si="56"/>
        <v>Return</v>
      </c>
      <c r="L1169" t="s">
        <v>5</v>
      </c>
    </row>
    <row r="1170" spans="1:12" x14ac:dyDescent="0.25">
      <c r="A1170">
        <v>6168</v>
      </c>
      <c r="B1170">
        <v>69</v>
      </c>
      <c r="C1170" s="5" t="str">
        <f>IFERROR(_xlfn.XLOOKUP(B1170, Customers_raw!A:A, Customers_raw!B:B), "Unknown Customer")</f>
        <v>Jessica Brown</v>
      </c>
      <c r="D1170" s="1">
        <v>45914</v>
      </c>
      <c r="E1170" s="1" t="str">
        <f t="shared" si="54"/>
        <v>2025-09</v>
      </c>
      <c r="F1170" t="s">
        <v>19</v>
      </c>
      <c r="G1170" t="s">
        <v>17</v>
      </c>
      <c r="H1170">
        <v>1</v>
      </c>
      <c r="I1170" s="2">
        <v>19</v>
      </c>
      <c r="J1170" s="2">
        <f t="shared" si="55"/>
        <v>19</v>
      </c>
      <c r="K1170" s="2" t="str">
        <f t="shared" si="56"/>
        <v>Sale</v>
      </c>
      <c r="L1170" t="s">
        <v>5</v>
      </c>
    </row>
    <row r="1171" spans="1:12" x14ac:dyDescent="0.25">
      <c r="A1171">
        <v>6169</v>
      </c>
      <c r="B1171">
        <v>89</v>
      </c>
      <c r="C1171" s="5" t="str">
        <f>IFERROR(_xlfn.XLOOKUP(B1171, Customers_raw!A:A, Customers_raw!B:B), "Unknown Customer")</f>
        <v>Andrew Thompson</v>
      </c>
      <c r="D1171" s="1">
        <v>45900</v>
      </c>
      <c r="E1171" s="1" t="str">
        <f t="shared" si="54"/>
        <v>2025-08</v>
      </c>
      <c r="F1171" t="s">
        <v>20</v>
      </c>
      <c r="G1171" t="s">
        <v>10</v>
      </c>
      <c r="H1171">
        <v>2</v>
      </c>
      <c r="I1171" s="2">
        <v>65</v>
      </c>
      <c r="J1171" s="2">
        <f t="shared" si="55"/>
        <v>130</v>
      </c>
      <c r="K1171" s="2" t="str">
        <f t="shared" si="56"/>
        <v>Sale</v>
      </c>
      <c r="L1171" t="s">
        <v>5</v>
      </c>
    </row>
    <row r="1172" spans="1:12" x14ac:dyDescent="0.25">
      <c r="A1172">
        <v>6170</v>
      </c>
      <c r="B1172">
        <v>54</v>
      </c>
      <c r="C1172" s="5" t="str">
        <f>IFERROR(_xlfn.XLOOKUP(B1172, Customers_raw!A:A, Customers_raw!B:B), "Unknown Customer")</f>
        <v>Donald Moore</v>
      </c>
      <c r="D1172" s="1">
        <v>45915</v>
      </c>
      <c r="E1172" s="1" t="str">
        <f t="shared" si="54"/>
        <v>2025-09</v>
      </c>
      <c r="F1172" t="s">
        <v>14</v>
      </c>
      <c r="G1172" t="s">
        <v>7</v>
      </c>
      <c r="H1172">
        <v>1</v>
      </c>
      <c r="I1172" s="2">
        <v>55</v>
      </c>
      <c r="J1172" s="2">
        <f t="shared" si="55"/>
        <v>55</v>
      </c>
      <c r="K1172" s="2" t="str">
        <f t="shared" si="56"/>
        <v>Sale</v>
      </c>
      <c r="L1172" t="s">
        <v>8</v>
      </c>
    </row>
    <row r="1173" spans="1:12" x14ac:dyDescent="0.25">
      <c r="A1173">
        <v>6171</v>
      </c>
      <c r="B1173">
        <v>26</v>
      </c>
      <c r="C1173" s="5" t="str">
        <f>IFERROR(_xlfn.XLOOKUP(B1173, Customers_raw!A:A, Customers_raw!B:B), "Unknown Customer")</f>
        <v>Betty Johnson</v>
      </c>
      <c r="D1173" s="1">
        <v>45832</v>
      </c>
      <c r="E1173" s="1" t="str">
        <f t="shared" si="54"/>
        <v>2025-06</v>
      </c>
      <c r="F1173" t="s">
        <v>11</v>
      </c>
      <c r="G1173" t="s">
        <v>6</v>
      </c>
      <c r="H1173">
        <v>3</v>
      </c>
      <c r="I1173" s="2">
        <v>18</v>
      </c>
      <c r="J1173" s="2">
        <f t="shared" si="55"/>
        <v>54</v>
      </c>
      <c r="K1173" s="2" t="str">
        <f t="shared" si="56"/>
        <v>Sale</v>
      </c>
      <c r="L1173" t="s">
        <v>5</v>
      </c>
    </row>
    <row r="1174" spans="1:12" x14ac:dyDescent="0.25">
      <c r="A1174">
        <v>6172</v>
      </c>
      <c r="B1174">
        <v>84</v>
      </c>
      <c r="C1174" s="5" t="str">
        <f>IFERROR(_xlfn.XLOOKUP(B1174, Customers_raw!A:A, Customers_raw!B:B), "Unknown Customer")</f>
        <v>Kimberly Lewis</v>
      </c>
      <c r="D1174" s="1">
        <v>45868</v>
      </c>
      <c r="E1174" s="1" t="str">
        <f t="shared" si="54"/>
        <v>2025-07</v>
      </c>
      <c r="F1174" t="s">
        <v>22</v>
      </c>
      <c r="G1174" t="s">
        <v>17</v>
      </c>
      <c r="H1174">
        <v>1</v>
      </c>
      <c r="I1174" s="2">
        <v>24</v>
      </c>
      <c r="J1174" s="2">
        <f t="shared" si="55"/>
        <v>24</v>
      </c>
      <c r="K1174" s="2" t="str">
        <f t="shared" si="56"/>
        <v>Sale</v>
      </c>
      <c r="L1174" t="s">
        <v>5</v>
      </c>
    </row>
    <row r="1175" spans="1:12" x14ac:dyDescent="0.25">
      <c r="A1175">
        <v>6173</v>
      </c>
      <c r="B1175">
        <v>36</v>
      </c>
      <c r="C1175" s="5" t="str">
        <f>IFERROR(_xlfn.XLOOKUP(B1175, Customers_raw!A:A, Customers_raw!B:B), "Unknown Customer")</f>
        <v>Daniel Harris</v>
      </c>
      <c r="D1175" s="1">
        <v>45765</v>
      </c>
      <c r="E1175" s="1" t="str">
        <f t="shared" si="54"/>
        <v>2025-04</v>
      </c>
      <c r="F1175" t="s">
        <v>16</v>
      </c>
      <c r="G1175" t="s">
        <v>10</v>
      </c>
      <c r="H1175">
        <v>-1</v>
      </c>
      <c r="I1175" s="2">
        <v>28</v>
      </c>
      <c r="J1175" s="2">
        <f t="shared" si="55"/>
        <v>-28</v>
      </c>
      <c r="K1175" s="2" t="str">
        <f t="shared" si="56"/>
        <v>Return</v>
      </c>
      <c r="L1175" t="s">
        <v>27</v>
      </c>
    </row>
    <row r="1176" spans="1:12" x14ac:dyDescent="0.25">
      <c r="A1176">
        <v>6174</v>
      </c>
      <c r="B1176">
        <v>1</v>
      </c>
      <c r="C1176" s="5" t="str">
        <f>IFERROR(_xlfn.XLOOKUP(B1176, Customers_raw!A:A, Customers_raw!B:B), "Unknown Customer")</f>
        <v>Christopher Jones</v>
      </c>
      <c r="D1176" s="1">
        <v>45668</v>
      </c>
      <c r="E1176" s="1" t="str">
        <f t="shared" si="54"/>
        <v>2025-01</v>
      </c>
      <c r="F1176" t="s">
        <v>22</v>
      </c>
      <c r="G1176" t="s">
        <v>17</v>
      </c>
      <c r="H1176">
        <v>1</v>
      </c>
      <c r="I1176" s="2">
        <v>21</v>
      </c>
      <c r="J1176" s="2">
        <f t="shared" si="55"/>
        <v>21</v>
      </c>
      <c r="K1176" s="2" t="str">
        <f t="shared" si="56"/>
        <v>Sale</v>
      </c>
      <c r="L1176" t="s">
        <v>5</v>
      </c>
    </row>
    <row r="1177" spans="1:12" x14ac:dyDescent="0.25">
      <c r="A1177">
        <v>6175</v>
      </c>
      <c r="B1177">
        <v>95</v>
      </c>
      <c r="C1177" s="5" t="str">
        <f>IFERROR(_xlfn.XLOOKUP(B1177, Customers_raw!A:A, Customers_raw!B:B), "Unknown Customer")</f>
        <v>Michelle Martin</v>
      </c>
      <c r="D1177" s="1">
        <v>45974</v>
      </c>
      <c r="E1177" s="1" t="str">
        <f t="shared" si="54"/>
        <v>2025-11</v>
      </c>
      <c r="F1177" t="s">
        <v>20</v>
      </c>
      <c r="G1177" t="s">
        <v>10</v>
      </c>
      <c r="H1177">
        <v>1</v>
      </c>
      <c r="I1177" s="2">
        <v>65</v>
      </c>
      <c r="J1177" s="2">
        <f t="shared" si="55"/>
        <v>65</v>
      </c>
      <c r="K1177" s="2" t="str">
        <f t="shared" si="56"/>
        <v>Sale</v>
      </c>
      <c r="L1177" t="s">
        <v>27</v>
      </c>
    </row>
    <row r="1178" spans="1:12" x14ac:dyDescent="0.25">
      <c r="A1178">
        <v>6176</v>
      </c>
      <c r="B1178">
        <v>10</v>
      </c>
      <c r="C1178" s="5" t="str">
        <f>IFERROR(_xlfn.XLOOKUP(B1178, Customers_raw!A:A, Customers_raw!B:B), "Unknown Customer")</f>
        <v>Karen Davis</v>
      </c>
      <c r="D1178" s="1">
        <v>45940</v>
      </c>
      <c r="E1178" s="1" t="str">
        <f t="shared" si="54"/>
        <v>2025-10</v>
      </c>
      <c r="F1178" t="s">
        <v>16</v>
      </c>
      <c r="G1178" t="s">
        <v>10</v>
      </c>
      <c r="H1178">
        <v>1</v>
      </c>
      <c r="I1178" s="2">
        <v>28</v>
      </c>
      <c r="J1178" s="2">
        <f t="shared" si="55"/>
        <v>28</v>
      </c>
      <c r="K1178" s="2" t="str">
        <f t="shared" si="56"/>
        <v>Sale</v>
      </c>
      <c r="L1178" t="s">
        <v>8</v>
      </c>
    </row>
    <row r="1179" spans="1:12" x14ac:dyDescent="0.25">
      <c r="A1179">
        <v>6177</v>
      </c>
      <c r="B1179">
        <v>37</v>
      </c>
      <c r="C1179" s="5" t="str">
        <f>IFERROR(_xlfn.XLOOKUP(B1179, Customers_raw!A:A, Customers_raw!B:B), "Unknown Customer")</f>
        <v>Kenneth Lopez</v>
      </c>
      <c r="D1179" s="1">
        <v>45692</v>
      </c>
      <c r="E1179" s="1" t="str">
        <f t="shared" si="54"/>
        <v>2025-02</v>
      </c>
      <c r="F1179" t="s">
        <v>20</v>
      </c>
      <c r="G1179" t="s">
        <v>10</v>
      </c>
      <c r="H1179">
        <v>3</v>
      </c>
      <c r="I1179" s="2">
        <v>65</v>
      </c>
      <c r="J1179" s="2">
        <f t="shared" si="55"/>
        <v>195</v>
      </c>
      <c r="K1179" s="2" t="str">
        <f t="shared" si="56"/>
        <v>Sale</v>
      </c>
      <c r="L1179" t="s">
        <v>27</v>
      </c>
    </row>
    <row r="1180" spans="1:12" x14ac:dyDescent="0.25">
      <c r="A1180">
        <v>6178</v>
      </c>
      <c r="B1180">
        <v>104</v>
      </c>
      <c r="C1180" s="5" t="str">
        <f>IFERROR(_xlfn.XLOOKUP(B1180, Customers_raw!A:A, Customers_raw!B:B), "Unknown Customer")</f>
        <v>Christopher Brown</v>
      </c>
      <c r="D1180" s="1">
        <v>45708</v>
      </c>
      <c r="E1180" s="1" t="str">
        <f t="shared" si="54"/>
        <v>2025-02</v>
      </c>
      <c r="F1180" t="s">
        <v>18</v>
      </c>
      <c r="G1180" t="s">
        <v>6</v>
      </c>
      <c r="H1180">
        <v>2</v>
      </c>
      <c r="I1180" s="2">
        <v>89</v>
      </c>
      <c r="J1180" s="2">
        <f t="shared" si="55"/>
        <v>178</v>
      </c>
      <c r="K1180" s="2" t="str">
        <f t="shared" si="56"/>
        <v>Sale</v>
      </c>
      <c r="L1180" t="s">
        <v>8</v>
      </c>
    </row>
    <row r="1181" spans="1:12" x14ac:dyDescent="0.25">
      <c r="A1181">
        <v>6179</v>
      </c>
      <c r="B1181">
        <v>13</v>
      </c>
      <c r="C1181" s="5" t="str">
        <f>IFERROR(_xlfn.XLOOKUP(B1181, Customers_raw!A:A, Customers_raw!B:B), "Unknown Customer")</f>
        <v>Anthony Johnson</v>
      </c>
      <c r="D1181" s="1">
        <v>45722</v>
      </c>
      <c r="E1181" s="1" t="str">
        <f t="shared" si="54"/>
        <v>2025-03</v>
      </c>
      <c r="F1181" t="s">
        <v>15</v>
      </c>
      <c r="G1181" t="s">
        <v>7</v>
      </c>
      <c r="H1181">
        <v>2</v>
      </c>
      <c r="I1181" s="2">
        <v>70</v>
      </c>
      <c r="J1181" s="2">
        <f t="shared" si="55"/>
        <v>140</v>
      </c>
      <c r="K1181" s="2" t="str">
        <f t="shared" si="56"/>
        <v>Sale</v>
      </c>
      <c r="L1181" t="s">
        <v>5</v>
      </c>
    </row>
    <row r="1182" spans="1:12" x14ac:dyDescent="0.25">
      <c r="A1182">
        <v>6180</v>
      </c>
      <c r="B1182">
        <v>91</v>
      </c>
      <c r="C1182" s="5" t="str">
        <f>IFERROR(_xlfn.XLOOKUP(B1182, Customers_raw!A:A, Customers_raw!B:B), "Unknown Customer")</f>
        <v>Donald Rodriguez</v>
      </c>
      <c r="D1182" s="1">
        <v>45737</v>
      </c>
      <c r="E1182" s="1" t="str">
        <f t="shared" si="54"/>
        <v>2025-03</v>
      </c>
      <c r="F1182" t="s">
        <v>12</v>
      </c>
      <c r="G1182" t="s">
        <v>10</v>
      </c>
      <c r="H1182">
        <v>3</v>
      </c>
      <c r="I1182" s="2">
        <v>19</v>
      </c>
      <c r="J1182" s="2">
        <f t="shared" si="55"/>
        <v>57</v>
      </c>
      <c r="K1182" s="2" t="str">
        <f t="shared" si="56"/>
        <v>Sale</v>
      </c>
      <c r="L1182" t="s">
        <v>5</v>
      </c>
    </row>
    <row r="1183" spans="1:12" x14ac:dyDescent="0.25">
      <c r="A1183">
        <v>6181</v>
      </c>
      <c r="B1183">
        <v>33</v>
      </c>
      <c r="C1183" s="5" t="str">
        <f>IFERROR(_xlfn.XLOOKUP(B1183, Customers_raw!A:A, Customers_raw!B:B), "Unknown Customer")</f>
        <v>Jennifer White</v>
      </c>
      <c r="D1183" s="1">
        <v>45933</v>
      </c>
      <c r="E1183" s="1" t="str">
        <f t="shared" si="54"/>
        <v>2025-10</v>
      </c>
      <c r="F1183" t="s">
        <v>20</v>
      </c>
      <c r="G1183" t="s">
        <v>10</v>
      </c>
      <c r="H1183">
        <v>1</v>
      </c>
      <c r="I1183" s="2">
        <v>65</v>
      </c>
      <c r="J1183" s="2">
        <f t="shared" si="55"/>
        <v>65</v>
      </c>
      <c r="K1183" s="2" t="str">
        <f t="shared" si="56"/>
        <v>Sale</v>
      </c>
      <c r="L1183" t="s">
        <v>5</v>
      </c>
    </row>
    <row r="1184" spans="1:12" x14ac:dyDescent="0.25">
      <c r="A1184">
        <v>6182</v>
      </c>
      <c r="B1184">
        <v>47</v>
      </c>
      <c r="C1184" s="5" t="str">
        <f>IFERROR(_xlfn.XLOOKUP(B1184, Customers_raw!A:A, Customers_raw!B:B), "Unknown Customer")</f>
        <v>Christopher Rodriguez</v>
      </c>
      <c r="D1184" s="1">
        <v>45889</v>
      </c>
      <c r="E1184" s="1" t="str">
        <f t="shared" si="54"/>
        <v>2025-08</v>
      </c>
      <c r="F1184" t="s">
        <v>19</v>
      </c>
      <c r="G1184" t="s">
        <v>17</v>
      </c>
      <c r="H1184">
        <v>1</v>
      </c>
      <c r="I1184" s="2">
        <v>22</v>
      </c>
      <c r="J1184" s="2">
        <f t="shared" si="55"/>
        <v>22</v>
      </c>
      <c r="K1184" s="2" t="str">
        <f t="shared" si="56"/>
        <v>Sale</v>
      </c>
      <c r="L1184" t="s">
        <v>5</v>
      </c>
    </row>
    <row r="1185" spans="1:12" x14ac:dyDescent="0.25">
      <c r="A1185">
        <v>6183</v>
      </c>
      <c r="B1185">
        <v>54</v>
      </c>
      <c r="C1185" s="5" t="str">
        <f>IFERROR(_xlfn.XLOOKUP(B1185, Customers_raw!A:A, Customers_raw!B:B), "Unknown Customer")</f>
        <v>Donald Moore</v>
      </c>
      <c r="D1185" s="1">
        <v>45922</v>
      </c>
      <c r="E1185" s="1" t="str">
        <f t="shared" si="54"/>
        <v>2025-09</v>
      </c>
      <c r="F1185" t="s">
        <v>22</v>
      </c>
      <c r="G1185" t="s">
        <v>17</v>
      </c>
      <c r="H1185">
        <v>2</v>
      </c>
      <c r="I1185" s="2">
        <v>21</v>
      </c>
      <c r="J1185" s="2">
        <f t="shared" si="55"/>
        <v>42</v>
      </c>
      <c r="K1185" s="2" t="str">
        <f t="shared" si="56"/>
        <v>Sale</v>
      </c>
      <c r="L1185" t="s">
        <v>8</v>
      </c>
    </row>
    <row r="1186" spans="1:12" x14ac:dyDescent="0.25">
      <c r="A1186">
        <v>6184</v>
      </c>
      <c r="B1186">
        <v>27</v>
      </c>
      <c r="C1186" s="5" t="str">
        <f>IFERROR(_xlfn.XLOOKUP(B1186, Customers_raw!A:A, Customers_raw!B:B), "Unknown Customer")</f>
        <v>Nancy Lee</v>
      </c>
      <c r="D1186" s="1">
        <v>45859</v>
      </c>
      <c r="E1186" s="1" t="str">
        <f t="shared" si="54"/>
        <v>2025-07</v>
      </c>
      <c r="F1186" t="s">
        <v>11</v>
      </c>
      <c r="G1186" t="s">
        <v>6</v>
      </c>
      <c r="H1186">
        <v>1</v>
      </c>
      <c r="I1186" s="2">
        <v>18</v>
      </c>
      <c r="J1186" s="2">
        <f t="shared" si="55"/>
        <v>18</v>
      </c>
      <c r="K1186" s="2" t="str">
        <f t="shared" si="56"/>
        <v>Sale</v>
      </c>
      <c r="L1186" t="s">
        <v>5</v>
      </c>
    </row>
    <row r="1187" spans="1:12" x14ac:dyDescent="0.25">
      <c r="A1187">
        <v>6185</v>
      </c>
      <c r="B1187">
        <v>59</v>
      </c>
      <c r="C1187" s="5" t="str">
        <f>IFERROR(_xlfn.XLOOKUP(B1187, Customers_raw!A:A, Customers_raw!B:B), "Unknown Customer")</f>
        <v>Betty Robinson</v>
      </c>
      <c r="D1187" s="1">
        <v>45921</v>
      </c>
      <c r="E1187" s="1" t="str">
        <f t="shared" si="54"/>
        <v>2025-09</v>
      </c>
      <c r="F1187" t="s">
        <v>9</v>
      </c>
      <c r="G1187" t="s">
        <v>6</v>
      </c>
      <c r="H1187">
        <v>1</v>
      </c>
      <c r="I1187" s="2">
        <v>48</v>
      </c>
      <c r="J1187" s="2">
        <f t="shared" si="55"/>
        <v>48</v>
      </c>
      <c r="K1187" s="2" t="str">
        <f t="shared" si="56"/>
        <v>Sale</v>
      </c>
      <c r="L1187" t="s">
        <v>8</v>
      </c>
    </row>
    <row r="1188" spans="1:12" x14ac:dyDescent="0.25">
      <c r="A1188">
        <v>6186</v>
      </c>
      <c r="B1188">
        <v>58</v>
      </c>
      <c r="C1188" s="5" t="str">
        <f>IFERROR(_xlfn.XLOOKUP(B1188, Customers_raw!A:A, Customers_raw!B:B), "Unknown Customer")</f>
        <v>Thomas Robinson</v>
      </c>
      <c r="D1188" s="1">
        <v>46018</v>
      </c>
      <c r="E1188" s="1" t="str">
        <f t="shared" si="54"/>
        <v>2025-12</v>
      </c>
      <c r="F1188" t="s">
        <v>20</v>
      </c>
      <c r="G1188" t="s">
        <v>10</v>
      </c>
      <c r="H1188">
        <v>3</v>
      </c>
      <c r="I1188" s="2">
        <v>62</v>
      </c>
      <c r="J1188" s="2">
        <f t="shared" si="55"/>
        <v>186</v>
      </c>
      <c r="K1188" s="2" t="str">
        <f t="shared" si="56"/>
        <v>Sale</v>
      </c>
      <c r="L1188" t="s">
        <v>8</v>
      </c>
    </row>
    <row r="1189" spans="1:12" x14ac:dyDescent="0.25">
      <c r="A1189">
        <v>6187</v>
      </c>
      <c r="B1189">
        <v>74</v>
      </c>
      <c r="C1189" s="5" t="str">
        <f>IFERROR(_xlfn.XLOOKUP(B1189, Customers_raw!A:A, Customers_raw!B:B), "Unknown Customer")</f>
        <v>Betty Moore</v>
      </c>
      <c r="D1189" s="1">
        <v>45865</v>
      </c>
      <c r="E1189" s="1" t="str">
        <f t="shared" si="54"/>
        <v>2025-07</v>
      </c>
      <c r="F1189" t="s">
        <v>20</v>
      </c>
      <c r="G1189" t="s">
        <v>10</v>
      </c>
      <c r="H1189">
        <v>3</v>
      </c>
      <c r="I1189" s="2">
        <v>65</v>
      </c>
      <c r="J1189" s="2">
        <f t="shared" si="55"/>
        <v>195</v>
      </c>
      <c r="K1189" s="2" t="str">
        <f t="shared" si="56"/>
        <v>Sale</v>
      </c>
      <c r="L1189" t="s">
        <v>27</v>
      </c>
    </row>
    <row r="1190" spans="1:12" x14ac:dyDescent="0.25">
      <c r="A1190">
        <v>6188</v>
      </c>
      <c r="B1190">
        <v>75</v>
      </c>
      <c r="C1190" s="5" t="str">
        <f>IFERROR(_xlfn.XLOOKUP(B1190, Customers_raw!A:A, Customers_raw!B:B), "Unknown Customer")</f>
        <v>David Wilson</v>
      </c>
      <c r="D1190" s="1">
        <v>45963</v>
      </c>
      <c r="E1190" s="1" t="str">
        <f t="shared" si="54"/>
        <v>2025-11</v>
      </c>
      <c r="F1190" t="s">
        <v>21</v>
      </c>
      <c r="G1190" t="s">
        <v>17</v>
      </c>
      <c r="H1190">
        <v>1</v>
      </c>
      <c r="I1190" s="2">
        <v>57</v>
      </c>
      <c r="J1190" s="2">
        <f t="shared" si="55"/>
        <v>57</v>
      </c>
      <c r="K1190" s="2" t="str">
        <f t="shared" si="56"/>
        <v>Sale</v>
      </c>
      <c r="L1190" t="s">
        <v>8</v>
      </c>
    </row>
    <row r="1191" spans="1:12" x14ac:dyDescent="0.25">
      <c r="A1191">
        <v>6189</v>
      </c>
      <c r="B1191">
        <v>99</v>
      </c>
      <c r="C1191" s="5" t="str">
        <f>IFERROR(_xlfn.XLOOKUP(B1191, Customers_raw!A:A, Customers_raw!B:B), "Unknown Customer")</f>
        <v>Steven Thomas</v>
      </c>
      <c r="D1191" s="1">
        <v>45985</v>
      </c>
      <c r="E1191" s="1" t="str">
        <f t="shared" si="54"/>
        <v>2025-11</v>
      </c>
      <c r="F1191" t="s">
        <v>18</v>
      </c>
      <c r="G1191" t="s">
        <v>6</v>
      </c>
      <c r="H1191">
        <v>1</v>
      </c>
      <c r="I1191" s="2">
        <v>89</v>
      </c>
      <c r="J1191" s="2">
        <f t="shared" si="55"/>
        <v>89</v>
      </c>
      <c r="K1191" s="2" t="str">
        <f t="shared" si="56"/>
        <v>Sale</v>
      </c>
      <c r="L1191" t="s">
        <v>5</v>
      </c>
    </row>
    <row r="1192" spans="1:12" x14ac:dyDescent="0.25">
      <c r="A1192">
        <v>6190</v>
      </c>
      <c r="B1192">
        <v>41</v>
      </c>
      <c r="C1192" s="5" t="str">
        <f>IFERROR(_xlfn.XLOOKUP(B1192, Customers_raw!A:A, Customers_raw!B:B), "Unknown Customer")</f>
        <v>Margaret Clark</v>
      </c>
      <c r="D1192" s="1">
        <v>45840</v>
      </c>
      <c r="E1192" s="1" t="str">
        <f t="shared" si="54"/>
        <v>2025-07</v>
      </c>
      <c r="F1192" t="s">
        <v>15</v>
      </c>
      <c r="G1192" t="s">
        <v>7</v>
      </c>
      <c r="H1192">
        <v>2</v>
      </c>
      <c r="I1192" s="2">
        <v>67</v>
      </c>
      <c r="J1192" s="2">
        <f t="shared" si="55"/>
        <v>134</v>
      </c>
      <c r="K1192" s="2" t="str">
        <f t="shared" si="56"/>
        <v>Sale</v>
      </c>
      <c r="L1192" t="s">
        <v>5</v>
      </c>
    </row>
    <row r="1193" spans="1:12" x14ac:dyDescent="0.25">
      <c r="A1193">
        <v>6191</v>
      </c>
      <c r="B1193">
        <v>97</v>
      </c>
      <c r="C1193" s="5" t="str">
        <f>IFERROR(_xlfn.XLOOKUP(B1193, Customers_raw!A:A, Customers_raw!B:B), "Unknown Customer")</f>
        <v>Charles Thomas</v>
      </c>
      <c r="D1193" s="1">
        <v>45833</v>
      </c>
      <c r="E1193" s="1" t="str">
        <f t="shared" si="54"/>
        <v>2025-06</v>
      </c>
      <c r="F1193" t="s">
        <v>15</v>
      </c>
      <c r="G1193" t="s">
        <v>7</v>
      </c>
      <c r="H1193">
        <v>1</v>
      </c>
      <c r="I1193" s="2">
        <v>70</v>
      </c>
      <c r="J1193" s="2">
        <f t="shared" si="55"/>
        <v>70</v>
      </c>
      <c r="K1193" s="2" t="str">
        <f t="shared" si="56"/>
        <v>Sale</v>
      </c>
      <c r="L1193" t="s">
        <v>27</v>
      </c>
    </row>
    <row r="1194" spans="1:12" x14ac:dyDescent="0.25">
      <c r="A1194">
        <v>6192</v>
      </c>
      <c r="B1194">
        <v>91</v>
      </c>
      <c r="C1194" s="5" t="str">
        <f>IFERROR(_xlfn.XLOOKUP(B1194, Customers_raw!A:A, Customers_raw!B:B), "Unknown Customer")</f>
        <v>Donald Rodriguez</v>
      </c>
      <c r="D1194" s="1">
        <v>45943</v>
      </c>
      <c r="E1194" s="1" t="str">
        <f t="shared" si="54"/>
        <v>2025-10</v>
      </c>
      <c r="F1194" t="s">
        <v>11</v>
      </c>
      <c r="G1194" t="s">
        <v>6</v>
      </c>
      <c r="H1194">
        <v>2</v>
      </c>
      <c r="I1194" s="2">
        <v>17.804347826086957</v>
      </c>
      <c r="J1194" s="2">
        <f t="shared" si="55"/>
        <v>35.608695652173914</v>
      </c>
      <c r="K1194" s="2" t="str">
        <f t="shared" si="56"/>
        <v>Sale</v>
      </c>
      <c r="L1194" t="s">
        <v>8</v>
      </c>
    </row>
    <row r="1195" spans="1:12" x14ac:dyDescent="0.25">
      <c r="A1195">
        <v>6193</v>
      </c>
      <c r="B1195">
        <v>54</v>
      </c>
      <c r="C1195" s="5" t="str">
        <f>IFERROR(_xlfn.XLOOKUP(B1195, Customers_raw!A:A, Customers_raw!B:B), "Unknown Customer")</f>
        <v>Donald Moore</v>
      </c>
      <c r="D1195" s="1">
        <v>45669</v>
      </c>
      <c r="E1195" s="1" t="str">
        <f t="shared" si="54"/>
        <v>2025-01</v>
      </c>
      <c r="F1195" t="s">
        <v>16</v>
      </c>
      <c r="G1195" t="s">
        <v>10</v>
      </c>
      <c r="H1195">
        <v>1</v>
      </c>
      <c r="I1195" s="2">
        <v>28</v>
      </c>
      <c r="J1195" s="2">
        <f t="shared" si="55"/>
        <v>28</v>
      </c>
      <c r="K1195" s="2" t="str">
        <f t="shared" si="56"/>
        <v>Sale</v>
      </c>
      <c r="L1195" t="s">
        <v>27</v>
      </c>
    </row>
    <row r="1196" spans="1:12" x14ac:dyDescent="0.25">
      <c r="A1196">
        <v>6194</v>
      </c>
      <c r="B1196">
        <v>68</v>
      </c>
      <c r="C1196" s="5" t="str">
        <f>IFERROR(_xlfn.XLOOKUP(B1196, Customers_raw!A:A, Customers_raw!B:B), "Unknown Customer")</f>
        <v>James Hernandez</v>
      </c>
      <c r="D1196" s="1">
        <v>45926</v>
      </c>
      <c r="E1196" s="1" t="str">
        <f t="shared" si="54"/>
        <v>2025-09</v>
      </c>
      <c r="F1196" t="s">
        <v>11</v>
      </c>
      <c r="G1196" t="s">
        <v>6</v>
      </c>
      <c r="H1196">
        <v>1</v>
      </c>
      <c r="I1196" s="2">
        <v>21</v>
      </c>
      <c r="J1196" s="2">
        <f t="shared" si="55"/>
        <v>21</v>
      </c>
      <c r="K1196" s="2" t="str">
        <f t="shared" si="56"/>
        <v>Sale</v>
      </c>
      <c r="L1196" t="s">
        <v>5</v>
      </c>
    </row>
    <row r="1197" spans="1:12" x14ac:dyDescent="0.25">
      <c r="A1197">
        <v>6195</v>
      </c>
      <c r="B1197">
        <v>25</v>
      </c>
      <c r="C1197" s="5" t="str">
        <f>IFERROR(_xlfn.XLOOKUP(B1197, Customers_raw!A:A, Customers_raw!B:B), "Unknown Customer")</f>
        <v>Emily Wilson</v>
      </c>
      <c r="D1197" s="1">
        <v>45678</v>
      </c>
      <c r="E1197" s="1" t="str">
        <f t="shared" si="54"/>
        <v>2025-01</v>
      </c>
      <c r="F1197" t="s">
        <v>14</v>
      </c>
      <c r="G1197" t="s">
        <v>7</v>
      </c>
      <c r="H1197">
        <v>2</v>
      </c>
      <c r="I1197" s="2">
        <v>55</v>
      </c>
      <c r="J1197" s="2">
        <f t="shared" si="55"/>
        <v>110</v>
      </c>
      <c r="K1197" s="2" t="str">
        <f t="shared" si="56"/>
        <v>Sale</v>
      </c>
      <c r="L1197" t="s">
        <v>23</v>
      </c>
    </row>
    <row r="1198" spans="1:12" x14ac:dyDescent="0.25">
      <c r="A1198">
        <v>6196</v>
      </c>
      <c r="B1198">
        <v>78</v>
      </c>
      <c r="C1198" s="5" t="str">
        <f>IFERROR(_xlfn.XLOOKUP(B1198, Customers_raw!A:A, Customers_raw!B:B), "Unknown Customer")</f>
        <v>Sandra Garcia</v>
      </c>
      <c r="D1198" s="1">
        <v>45698</v>
      </c>
      <c r="E1198" s="1" t="str">
        <f t="shared" si="54"/>
        <v>2025-02</v>
      </c>
      <c r="F1198" t="s">
        <v>20</v>
      </c>
      <c r="G1198" t="s">
        <v>10</v>
      </c>
      <c r="H1198">
        <v>2</v>
      </c>
      <c r="I1198" s="2">
        <v>68</v>
      </c>
      <c r="J1198" s="2">
        <f t="shared" si="55"/>
        <v>136</v>
      </c>
      <c r="K1198" s="2" t="str">
        <f t="shared" si="56"/>
        <v>Sale</v>
      </c>
      <c r="L1198" t="s">
        <v>8</v>
      </c>
    </row>
    <row r="1199" spans="1:12" x14ac:dyDescent="0.25">
      <c r="A1199">
        <v>6197</v>
      </c>
      <c r="B1199">
        <v>15</v>
      </c>
      <c r="C1199" s="5" t="str">
        <f>IFERROR(_xlfn.XLOOKUP(B1199, Customers_raw!A:A, Customers_raw!B:B), "Unknown Customer")</f>
        <v>Jennifer Rodriguez</v>
      </c>
      <c r="D1199" s="1">
        <v>45757</v>
      </c>
      <c r="E1199" s="1" t="str">
        <f t="shared" si="54"/>
        <v>2025-04</v>
      </c>
      <c r="F1199" t="s">
        <v>9</v>
      </c>
      <c r="G1199" t="s">
        <v>6</v>
      </c>
      <c r="H1199">
        <v>-1</v>
      </c>
      <c r="I1199" s="2">
        <v>42</v>
      </c>
      <c r="J1199" s="2">
        <f t="shared" si="55"/>
        <v>-42</v>
      </c>
      <c r="K1199" s="2" t="str">
        <f t="shared" si="56"/>
        <v>Return</v>
      </c>
      <c r="L1199" t="s">
        <v>5</v>
      </c>
    </row>
    <row r="1200" spans="1:12" x14ac:dyDescent="0.25">
      <c r="A1200">
        <v>6198</v>
      </c>
      <c r="B1200">
        <v>91</v>
      </c>
      <c r="C1200" s="5" t="str">
        <f>IFERROR(_xlfn.XLOOKUP(B1200, Customers_raw!A:A, Customers_raw!B:B), "Unknown Customer")</f>
        <v>Donald Rodriguez</v>
      </c>
      <c r="D1200" s="1">
        <v>45722</v>
      </c>
      <c r="E1200" s="1" t="str">
        <f t="shared" si="54"/>
        <v>2025-03</v>
      </c>
      <c r="F1200" t="s">
        <v>14</v>
      </c>
      <c r="G1200" t="s">
        <v>7</v>
      </c>
      <c r="H1200">
        <v>1</v>
      </c>
      <c r="I1200" s="2">
        <v>58</v>
      </c>
      <c r="J1200" s="2">
        <f t="shared" si="55"/>
        <v>58</v>
      </c>
      <c r="K1200" s="2" t="str">
        <f t="shared" si="56"/>
        <v>Sale</v>
      </c>
      <c r="L1200" t="s">
        <v>8</v>
      </c>
    </row>
    <row r="1201" spans="1:12" x14ac:dyDescent="0.25">
      <c r="A1201">
        <v>6199</v>
      </c>
      <c r="B1201">
        <v>17</v>
      </c>
      <c r="C1201" s="5" t="str">
        <f>IFERROR(_xlfn.XLOOKUP(B1201, Customers_raw!A:A, Customers_raw!B:B), "Unknown Customer")</f>
        <v>Mary Thomas</v>
      </c>
      <c r="D1201" s="1">
        <v>45862</v>
      </c>
      <c r="E1201" s="1" t="str">
        <f t="shared" si="54"/>
        <v>2025-07</v>
      </c>
      <c r="F1201" t="s">
        <v>12</v>
      </c>
      <c r="G1201" t="s">
        <v>10</v>
      </c>
      <c r="H1201">
        <v>2</v>
      </c>
      <c r="I1201" s="2">
        <v>19</v>
      </c>
      <c r="J1201" s="2">
        <f t="shared" si="55"/>
        <v>38</v>
      </c>
      <c r="K1201" s="2" t="str">
        <f t="shared" si="56"/>
        <v>Sale</v>
      </c>
      <c r="L1201" t="s">
        <v>5</v>
      </c>
    </row>
    <row r="1202" spans="1:12" x14ac:dyDescent="0.25">
      <c r="A1202">
        <v>6200</v>
      </c>
      <c r="B1202">
        <v>94</v>
      </c>
      <c r="C1202" s="5" t="str">
        <f>IFERROR(_xlfn.XLOOKUP(B1202, Customers_raw!A:A, Customers_raw!B:B), "Unknown Customer")</f>
        <v>Kenneth Jones</v>
      </c>
      <c r="D1202" s="1">
        <v>45782</v>
      </c>
      <c r="E1202" s="1" t="str">
        <f t="shared" si="54"/>
        <v>2025-05</v>
      </c>
      <c r="F1202" t="s">
        <v>9</v>
      </c>
      <c r="G1202" t="s">
        <v>6</v>
      </c>
      <c r="H1202">
        <v>1</v>
      </c>
      <c r="I1202" s="2">
        <v>48</v>
      </c>
      <c r="J1202" s="2">
        <f t="shared" si="55"/>
        <v>48</v>
      </c>
      <c r="K1202" s="2" t="str">
        <f t="shared" si="56"/>
        <v>Sale</v>
      </c>
      <c r="L1202" t="s">
        <v>5</v>
      </c>
    </row>
    <row r="1203" spans="1:12" x14ac:dyDescent="0.25">
      <c r="A1203">
        <v>6201</v>
      </c>
      <c r="B1203">
        <v>46</v>
      </c>
      <c r="C1203" s="5" t="str">
        <f>IFERROR(_xlfn.XLOOKUP(B1203, Customers_raw!A:A, Customers_raw!B:B), "Unknown Customer")</f>
        <v>Mary Rodriguez</v>
      </c>
      <c r="D1203" s="1">
        <v>45718</v>
      </c>
      <c r="E1203" s="1" t="str">
        <f t="shared" si="54"/>
        <v>2025-03</v>
      </c>
      <c r="F1203" t="s">
        <v>19</v>
      </c>
      <c r="G1203" t="s">
        <v>17</v>
      </c>
      <c r="H1203">
        <v>1</v>
      </c>
      <c r="I1203" s="2">
        <v>16</v>
      </c>
      <c r="J1203" s="2">
        <f t="shared" si="55"/>
        <v>16</v>
      </c>
      <c r="K1203" s="2" t="str">
        <f t="shared" si="56"/>
        <v>Sale</v>
      </c>
      <c r="L1203" t="s">
        <v>27</v>
      </c>
    </row>
    <row r="1204" spans="1:12" x14ac:dyDescent="0.25">
      <c r="A1204">
        <v>6202</v>
      </c>
      <c r="B1204">
        <v>58</v>
      </c>
      <c r="C1204" s="5" t="str">
        <f>IFERROR(_xlfn.XLOOKUP(B1204, Customers_raw!A:A, Customers_raw!B:B), "Unknown Customer")</f>
        <v>Thomas Robinson</v>
      </c>
      <c r="D1204" s="1">
        <v>45675</v>
      </c>
      <c r="E1204" s="1" t="str">
        <f t="shared" si="54"/>
        <v>2025-01</v>
      </c>
      <c r="F1204" t="s">
        <v>16</v>
      </c>
      <c r="G1204" t="s">
        <v>10</v>
      </c>
      <c r="H1204">
        <v>3</v>
      </c>
      <c r="I1204" s="2">
        <v>28</v>
      </c>
      <c r="J1204" s="2">
        <f t="shared" si="55"/>
        <v>84</v>
      </c>
      <c r="K1204" s="2" t="str">
        <f t="shared" si="56"/>
        <v>Sale</v>
      </c>
      <c r="L1204" t="s">
        <v>8</v>
      </c>
    </row>
    <row r="1205" spans="1:12" x14ac:dyDescent="0.25">
      <c r="A1205">
        <v>6203</v>
      </c>
      <c r="B1205">
        <v>11</v>
      </c>
      <c r="C1205" s="5" t="str">
        <f>IFERROR(_xlfn.XLOOKUP(B1205, Customers_raw!A:A, Customers_raw!B:B), "Unknown Customer")</f>
        <v>Ashley Robinson</v>
      </c>
      <c r="D1205" s="1">
        <v>45925</v>
      </c>
      <c r="E1205" s="1" t="str">
        <f t="shared" si="54"/>
        <v>2025-09</v>
      </c>
      <c r="F1205" t="s">
        <v>16</v>
      </c>
      <c r="G1205" t="s">
        <v>10</v>
      </c>
      <c r="H1205">
        <v>-2</v>
      </c>
      <c r="I1205" s="2">
        <v>31</v>
      </c>
      <c r="J1205" s="2">
        <f t="shared" si="55"/>
        <v>-62</v>
      </c>
      <c r="K1205" s="2" t="str">
        <f t="shared" si="56"/>
        <v>Return</v>
      </c>
      <c r="L1205" t="s">
        <v>27</v>
      </c>
    </row>
    <row r="1206" spans="1:12" x14ac:dyDescent="0.25">
      <c r="A1206">
        <v>6204</v>
      </c>
      <c r="B1206">
        <v>73</v>
      </c>
      <c r="C1206" s="5" t="str">
        <f>IFERROR(_xlfn.XLOOKUP(B1206, Customers_raw!A:A, Customers_raw!B:B), "Unknown Customer")</f>
        <v>Michael Thompson</v>
      </c>
      <c r="D1206" s="1">
        <v>45768</v>
      </c>
      <c r="E1206" s="1" t="str">
        <f t="shared" si="54"/>
        <v>2025-04</v>
      </c>
      <c r="F1206" t="s">
        <v>11</v>
      </c>
      <c r="G1206" t="s">
        <v>6</v>
      </c>
      <c r="H1206">
        <v>1</v>
      </c>
      <c r="I1206" s="2">
        <v>18</v>
      </c>
      <c r="J1206" s="2">
        <f t="shared" si="55"/>
        <v>18</v>
      </c>
      <c r="K1206" s="2" t="str">
        <f t="shared" si="56"/>
        <v>Sale</v>
      </c>
      <c r="L1206" t="s">
        <v>8</v>
      </c>
    </row>
    <row r="1207" spans="1:12" x14ac:dyDescent="0.25">
      <c r="A1207">
        <v>6205</v>
      </c>
      <c r="B1207">
        <v>60</v>
      </c>
      <c r="C1207" s="5" t="str">
        <f>IFERROR(_xlfn.XLOOKUP(B1207, Customers_raw!A:A, Customers_raw!B:B), "Unknown Customer")</f>
        <v>Margaret Moore</v>
      </c>
      <c r="D1207" s="1">
        <v>45721</v>
      </c>
      <c r="E1207" s="1" t="str">
        <f t="shared" si="54"/>
        <v>2025-03</v>
      </c>
      <c r="F1207" t="s">
        <v>21</v>
      </c>
      <c r="G1207" t="s">
        <v>17</v>
      </c>
      <c r="H1207">
        <v>1</v>
      </c>
      <c r="I1207" s="2">
        <v>63</v>
      </c>
      <c r="J1207" s="2">
        <f t="shared" si="55"/>
        <v>63</v>
      </c>
      <c r="K1207" s="2" t="str">
        <f t="shared" si="56"/>
        <v>Sale</v>
      </c>
      <c r="L1207" t="s">
        <v>8</v>
      </c>
    </row>
    <row r="1208" spans="1:12" x14ac:dyDescent="0.25">
      <c r="A1208">
        <v>6206</v>
      </c>
      <c r="B1208">
        <v>47</v>
      </c>
      <c r="C1208" s="5" t="str">
        <f>IFERROR(_xlfn.XLOOKUP(B1208, Customers_raw!A:A, Customers_raw!B:B), "Unknown Customer")</f>
        <v>Christopher Rodriguez</v>
      </c>
      <c r="D1208" s="1">
        <v>45786</v>
      </c>
      <c r="E1208" s="1" t="str">
        <f t="shared" si="54"/>
        <v>2025-05</v>
      </c>
      <c r="F1208" t="s">
        <v>15</v>
      </c>
      <c r="G1208" t="s">
        <v>7</v>
      </c>
      <c r="H1208">
        <v>2</v>
      </c>
      <c r="I1208" s="2">
        <v>70</v>
      </c>
      <c r="J1208" s="2">
        <f t="shared" si="55"/>
        <v>140</v>
      </c>
      <c r="K1208" s="2" t="str">
        <f t="shared" si="56"/>
        <v>Sale</v>
      </c>
      <c r="L1208" t="s">
        <v>27</v>
      </c>
    </row>
    <row r="1209" spans="1:12" x14ac:dyDescent="0.25">
      <c r="A1209">
        <v>6207</v>
      </c>
      <c r="B1209">
        <v>107</v>
      </c>
      <c r="C1209" s="5" t="str">
        <f>IFERROR(_xlfn.XLOOKUP(B1209, Customers_raw!A:A, Customers_raw!B:B), "Unknown Customer")</f>
        <v>Lisa Walker</v>
      </c>
      <c r="D1209" s="1">
        <v>45863</v>
      </c>
      <c r="E1209" s="1" t="str">
        <f t="shared" si="54"/>
        <v>2025-07</v>
      </c>
      <c r="F1209" t="s">
        <v>16</v>
      </c>
      <c r="G1209" t="s">
        <v>10</v>
      </c>
      <c r="H1209">
        <v>1</v>
      </c>
      <c r="I1209" s="2">
        <v>28</v>
      </c>
      <c r="J1209" s="2">
        <f t="shared" si="55"/>
        <v>28</v>
      </c>
      <c r="K1209" s="2" t="str">
        <f t="shared" si="56"/>
        <v>Sale</v>
      </c>
      <c r="L1209" t="s">
        <v>27</v>
      </c>
    </row>
    <row r="1210" spans="1:12" x14ac:dyDescent="0.25">
      <c r="A1210">
        <v>6208</v>
      </c>
      <c r="B1210">
        <v>46</v>
      </c>
      <c r="C1210" s="5" t="str">
        <f>IFERROR(_xlfn.XLOOKUP(B1210, Customers_raw!A:A, Customers_raw!B:B), "Unknown Customer")</f>
        <v>Mary Rodriguez</v>
      </c>
      <c r="D1210" s="1">
        <v>45928</v>
      </c>
      <c r="E1210" s="1" t="str">
        <f t="shared" si="54"/>
        <v>2025-09</v>
      </c>
      <c r="F1210" t="s">
        <v>14</v>
      </c>
      <c r="G1210" t="s">
        <v>7</v>
      </c>
      <c r="H1210">
        <v>2</v>
      </c>
      <c r="I1210" s="2">
        <v>58</v>
      </c>
      <c r="J1210" s="2">
        <f t="shared" si="55"/>
        <v>116</v>
      </c>
      <c r="K1210" s="2" t="str">
        <f t="shared" si="56"/>
        <v>Sale</v>
      </c>
      <c r="L1210" t="s">
        <v>8</v>
      </c>
    </row>
    <row r="1211" spans="1:12" x14ac:dyDescent="0.25">
      <c r="A1211">
        <v>6209</v>
      </c>
      <c r="B1211">
        <v>43</v>
      </c>
      <c r="C1211" s="5" t="str">
        <f>IFERROR(_xlfn.XLOOKUP(B1211, Customers_raw!A:A, Customers_raw!B:B), "Unknown Customer")</f>
        <v>Sandra Clark</v>
      </c>
      <c r="D1211" s="1">
        <v>45977</v>
      </c>
      <c r="E1211" s="1" t="str">
        <f t="shared" si="54"/>
        <v>2025-11</v>
      </c>
      <c r="F1211" t="s">
        <v>14</v>
      </c>
      <c r="G1211" t="s">
        <v>7</v>
      </c>
      <c r="H1211">
        <v>3</v>
      </c>
      <c r="I1211" s="2">
        <v>52</v>
      </c>
      <c r="J1211" s="2">
        <f t="shared" si="55"/>
        <v>156</v>
      </c>
      <c r="K1211" s="2" t="str">
        <f t="shared" si="56"/>
        <v>Sale</v>
      </c>
      <c r="L1211" t="s">
        <v>27</v>
      </c>
    </row>
    <row r="1212" spans="1:12" x14ac:dyDescent="0.25">
      <c r="A1212">
        <v>6210</v>
      </c>
      <c r="B1212">
        <v>76</v>
      </c>
      <c r="C1212" s="5" t="str">
        <f>IFERROR(_xlfn.XLOOKUP(B1212, Customers_raw!A:A, Customers_raw!B:B), "Unknown Customer")</f>
        <v>Thomas Anderson</v>
      </c>
      <c r="D1212" s="1">
        <v>45998</v>
      </c>
      <c r="E1212" s="1" t="str">
        <f t="shared" si="54"/>
        <v>2025-12</v>
      </c>
      <c r="F1212" t="s">
        <v>13</v>
      </c>
      <c r="G1212" t="s">
        <v>7</v>
      </c>
      <c r="H1212">
        <v>1</v>
      </c>
      <c r="I1212" s="2">
        <v>32</v>
      </c>
      <c r="J1212" s="2">
        <f t="shared" si="55"/>
        <v>32</v>
      </c>
      <c r="K1212" s="2" t="str">
        <f t="shared" si="56"/>
        <v>Sale</v>
      </c>
      <c r="L1212" t="s">
        <v>8</v>
      </c>
    </row>
    <row r="1213" spans="1:12" x14ac:dyDescent="0.25">
      <c r="A1213">
        <v>6211</v>
      </c>
      <c r="B1213">
        <v>47</v>
      </c>
      <c r="C1213" s="5" t="str">
        <f>IFERROR(_xlfn.XLOOKUP(B1213, Customers_raw!A:A, Customers_raw!B:B), "Unknown Customer")</f>
        <v>Christopher Rodriguez</v>
      </c>
      <c r="D1213" s="1">
        <v>45849</v>
      </c>
      <c r="E1213" s="1" t="str">
        <f t="shared" si="54"/>
        <v>2025-07</v>
      </c>
      <c r="F1213" t="s">
        <v>16</v>
      </c>
      <c r="G1213" t="s">
        <v>10</v>
      </c>
      <c r="H1213">
        <v>1</v>
      </c>
      <c r="I1213" s="2">
        <v>31</v>
      </c>
      <c r="J1213" s="2">
        <f t="shared" si="55"/>
        <v>31</v>
      </c>
      <c r="K1213" s="2" t="str">
        <f t="shared" si="56"/>
        <v>Sale</v>
      </c>
      <c r="L1213" t="s">
        <v>5</v>
      </c>
    </row>
    <row r="1214" spans="1:12" x14ac:dyDescent="0.25">
      <c r="A1214">
        <v>6212</v>
      </c>
      <c r="B1214">
        <v>42</v>
      </c>
      <c r="C1214" s="5" t="str">
        <f>IFERROR(_xlfn.XLOOKUP(B1214, Customers_raw!A:A, Customers_raw!B:B), "Unknown Customer")</f>
        <v>Jennifer Harris</v>
      </c>
      <c r="D1214" s="1">
        <v>45937</v>
      </c>
      <c r="E1214" s="1" t="str">
        <f t="shared" si="54"/>
        <v>2025-10</v>
      </c>
      <c r="F1214" t="s">
        <v>16</v>
      </c>
      <c r="G1214" t="s">
        <v>10</v>
      </c>
      <c r="H1214">
        <v>2</v>
      </c>
      <c r="I1214" s="2">
        <v>28</v>
      </c>
      <c r="J1214" s="2">
        <f t="shared" si="55"/>
        <v>56</v>
      </c>
      <c r="K1214" s="2" t="str">
        <f t="shared" si="56"/>
        <v>Sale</v>
      </c>
      <c r="L1214" t="s">
        <v>5</v>
      </c>
    </row>
    <row r="1215" spans="1:12" x14ac:dyDescent="0.25">
      <c r="A1215">
        <v>6213</v>
      </c>
      <c r="B1215">
        <v>46</v>
      </c>
      <c r="C1215" s="5" t="str">
        <f>IFERROR(_xlfn.XLOOKUP(B1215, Customers_raw!A:A, Customers_raw!B:B), "Unknown Customer")</f>
        <v>Mary Rodriguez</v>
      </c>
      <c r="D1215" s="1">
        <v>45925</v>
      </c>
      <c r="E1215" s="1" t="str">
        <f t="shared" si="54"/>
        <v>2025-09</v>
      </c>
      <c r="F1215" t="s">
        <v>14</v>
      </c>
      <c r="G1215" t="s">
        <v>7</v>
      </c>
      <c r="H1215">
        <v>1</v>
      </c>
      <c r="I1215" s="2">
        <v>55</v>
      </c>
      <c r="J1215" s="2">
        <f t="shared" si="55"/>
        <v>55</v>
      </c>
      <c r="K1215" s="2" t="str">
        <f t="shared" si="56"/>
        <v>Sale</v>
      </c>
      <c r="L1215" t="s">
        <v>27</v>
      </c>
    </row>
    <row r="1216" spans="1:12" x14ac:dyDescent="0.25">
      <c r="A1216">
        <v>6214</v>
      </c>
      <c r="B1216">
        <v>102</v>
      </c>
      <c r="C1216" s="5" t="str">
        <f>IFERROR(_xlfn.XLOOKUP(B1216, Customers_raw!A:A, Customers_raw!B:B), "Unknown Customer")</f>
        <v>Ashley Wilson</v>
      </c>
      <c r="D1216" s="1">
        <v>45909</v>
      </c>
      <c r="E1216" s="1" t="str">
        <f t="shared" si="54"/>
        <v>2025-09</v>
      </c>
      <c r="F1216" t="s">
        <v>11</v>
      </c>
      <c r="G1216" t="s">
        <v>6</v>
      </c>
      <c r="H1216">
        <v>2</v>
      </c>
      <c r="I1216" s="2">
        <v>15</v>
      </c>
      <c r="J1216" s="2">
        <f t="shared" si="55"/>
        <v>30</v>
      </c>
      <c r="K1216" s="2" t="str">
        <f t="shared" si="56"/>
        <v>Sale</v>
      </c>
      <c r="L1216" t="s">
        <v>8</v>
      </c>
    </row>
    <row r="1217" spans="1:12" x14ac:dyDescent="0.25">
      <c r="A1217">
        <v>6215</v>
      </c>
      <c r="B1217">
        <v>88</v>
      </c>
      <c r="C1217" s="5" t="str">
        <f>IFERROR(_xlfn.XLOOKUP(B1217, Customers_raw!A:A, Customers_raw!B:B), "Unknown Customer")</f>
        <v>Michael Wilson</v>
      </c>
      <c r="D1217" s="1">
        <v>45660</v>
      </c>
      <c r="E1217" s="1" t="str">
        <f t="shared" si="54"/>
        <v>2025-01</v>
      </c>
      <c r="F1217" t="s">
        <v>13</v>
      </c>
      <c r="G1217" t="s">
        <v>7</v>
      </c>
      <c r="H1217">
        <v>3</v>
      </c>
      <c r="I1217" s="2">
        <v>35</v>
      </c>
      <c r="J1217" s="2">
        <f t="shared" si="55"/>
        <v>105</v>
      </c>
      <c r="K1217" s="2" t="str">
        <f t="shared" si="56"/>
        <v>Sale</v>
      </c>
      <c r="L1217" t="s">
        <v>27</v>
      </c>
    </row>
    <row r="1218" spans="1:12" x14ac:dyDescent="0.25">
      <c r="A1218">
        <v>6216</v>
      </c>
      <c r="B1218">
        <v>64</v>
      </c>
      <c r="C1218" s="5" t="str">
        <f>IFERROR(_xlfn.XLOOKUP(B1218, Customers_raw!A:A, Customers_raw!B:B), "Unknown Customer")</f>
        <v>Barbara Rodriguez</v>
      </c>
      <c r="D1218" s="1">
        <v>45711</v>
      </c>
      <c r="E1218" s="1" t="str">
        <f t="shared" si="54"/>
        <v>2025-02</v>
      </c>
      <c r="F1218" t="s">
        <v>12</v>
      </c>
      <c r="G1218" t="s">
        <v>10</v>
      </c>
      <c r="H1218">
        <v>2</v>
      </c>
      <c r="I1218" s="2">
        <v>25</v>
      </c>
      <c r="J1218" s="2">
        <f t="shared" si="55"/>
        <v>50</v>
      </c>
      <c r="K1218" s="2" t="str">
        <f t="shared" si="56"/>
        <v>Sale</v>
      </c>
      <c r="L1218" t="s">
        <v>23</v>
      </c>
    </row>
    <row r="1219" spans="1:12" x14ac:dyDescent="0.25">
      <c r="A1219">
        <v>6217</v>
      </c>
      <c r="B1219">
        <v>25</v>
      </c>
      <c r="C1219" s="5" t="str">
        <f>IFERROR(_xlfn.XLOOKUP(B1219, Customers_raw!A:A, Customers_raw!B:B), "Unknown Customer")</f>
        <v>Emily Wilson</v>
      </c>
      <c r="D1219" s="1">
        <v>45697</v>
      </c>
      <c r="E1219" s="1" t="str">
        <f t="shared" ref="E1219:E1282" si="57">TEXT(D:D,"YYYY-MM")</f>
        <v>2025-02</v>
      </c>
      <c r="F1219" t="s">
        <v>18</v>
      </c>
      <c r="G1219" t="s">
        <v>6</v>
      </c>
      <c r="H1219">
        <v>1</v>
      </c>
      <c r="I1219" s="2">
        <v>89</v>
      </c>
      <c r="J1219" s="2">
        <f t="shared" ref="J1219:J1282" si="58">H1219*I1219</f>
        <v>89</v>
      </c>
      <c r="K1219" s="2" t="str">
        <f t="shared" ref="K1219:K1282" si="59">IF(H1219&lt;0,"Return","Sale")</f>
        <v>Sale</v>
      </c>
      <c r="L1219" t="s">
        <v>5</v>
      </c>
    </row>
    <row r="1220" spans="1:12" x14ac:dyDescent="0.25">
      <c r="A1220">
        <v>6218</v>
      </c>
      <c r="B1220">
        <v>77</v>
      </c>
      <c r="C1220" s="5" t="str">
        <f>IFERROR(_xlfn.XLOOKUP(B1220, Customers_raw!A:A, Customers_raw!B:B), "Unknown Customer")</f>
        <v>Steven Thompson</v>
      </c>
      <c r="D1220" s="1">
        <v>45667</v>
      </c>
      <c r="E1220" s="1" t="str">
        <f t="shared" si="57"/>
        <v>2025-01</v>
      </c>
      <c r="F1220" t="s">
        <v>11</v>
      </c>
      <c r="G1220" t="s">
        <v>6</v>
      </c>
      <c r="H1220">
        <v>1</v>
      </c>
      <c r="I1220" s="2">
        <v>18</v>
      </c>
      <c r="J1220" s="2">
        <f t="shared" si="58"/>
        <v>18</v>
      </c>
      <c r="K1220" s="2" t="str">
        <f t="shared" si="59"/>
        <v>Sale</v>
      </c>
      <c r="L1220" t="s">
        <v>8</v>
      </c>
    </row>
    <row r="1221" spans="1:12" x14ac:dyDescent="0.25">
      <c r="A1221">
        <v>6219</v>
      </c>
      <c r="B1221">
        <v>26</v>
      </c>
      <c r="C1221" s="5" t="str">
        <f>IFERROR(_xlfn.XLOOKUP(B1221, Customers_raw!A:A, Customers_raw!B:B), "Unknown Customer")</f>
        <v>Betty Johnson</v>
      </c>
      <c r="D1221" s="1">
        <v>45950</v>
      </c>
      <c r="E1221" s="1" t="str">
        <f t="shared" si="57"/>
        <v>2025-10</v>
      </c>
      <c r="F1221" t="s">
        <v>22</v>
      </c>
      <c r="G1221" t="s">
        <v>17</v>
      </c>
      <c r="H1221">
        <v>1</v>
      </c>
      <c r="I1221" s="2">
        <v>24</v>
      </c>
      <c r="J1221" s="2">
        <f t="shared" si="58"/>
        <v>24</v>
      </c>
      <c r="K1221" s="2" t="str">
        <f t="shared" si="59"/>
        <v>Sale</v>
      </c>
      <c r="L1221" t="s">
        <v>23</v>
      </c>
    </row>
    <row r="1222" spans="1:12" x14ac:dyDescent="0.25">
      <c r="A1222">
        <v>6220</v>
      </c>
      <c r="B1222">
        <v>16</v>
      </c>
      <c r="C1222" s="5" t="str">
        <f>IFERROR(_xlfn.XLOOKUP(B1222, Customers_raw!A:A, Customers_raw!B:B), "Unknown Customer")</f>
        <v>Karen Perez</v>
      </c>
      <c r="D1222" s="1">
        <v>45782</v>
      </c>
      <c r="E1222" s="1" t="str">
        <f t="shared" si="57"/>
        <v>2025-05</v>
      </c>
      <c r="F1222" t="s">
        <v>13</v>
      </c>
      <c r="G1222" t="s">
        <v>7</v>
      </c>
      <c r="H1222">
        <v>3</v>
      </c>
      <c r="I1222" s="2">
        <v>35</v>
      </c>
      <c r="J1222" s="2">
        <f t="shared" si="58"/>
        <v>105</v>
      </c>
      <c r="K1222" s="2" t="str">
        <f t="shared" si="59"/>
        <v>Sale</v>
      </c>
      <c r="L1222" t="s">
        <v>8</v>
      </c>
    </row>
    <row r="1223" spans="1:12" x14ac:dyDescent="0.25">
      <c r="A1223">
        <v>6221</v>
      </c>
      <c r="B1223">
        <v>37</v>
      </c>
      <c r="C1223" s="5" t="str">
        <f>IFERROR(_xlfn.XLOOKUP(B1223, Customers_raw!A:A, Customers_raw!B:B), "Unknown Customer")</f>
        <v>Kenneth Lopez</v>
      </c>
      <c r="D1223" s="1">
        <v>45718</v>
      </c>
      <c r="E1223" s="1" t="str">
        <f t="shared" si="57"/>
        <v>2025-03</v>
      </c>
      <c r="F1223" t="s">
        <v>20</v>
      </c>
      <c r="G1223" t="s">
        <v>10</v>
      </c>
      <c r="H1223">
        <v>-1</v>
      </c>
      <c r="I1223" s="2">
        <v>65</v>
      </c>
      <c r="J1223" s="2">
        <f t="shared" si="58"/>
        <v>-65</v>
      </c>
      <c r="K1223" s="2" t="str">
        <f t="shared" si="59"/>
        <v>Return</v>
      </c>
      <c r="L1223" t="s">
        <v>5</v>
      </c>
    </row>
    <row r="1224" spans="1:12" x14ac:dyDescent="0.25">
      <c r="A1224">
        <v>6222</v>
      </c>
      <c r="B1224">
        <v>33</v>
      </c>
      <c r="C1224" s="5" t="str">
        <f>IFERROR(_xlfn.XLOOKUP(B1224, Customers_raw!A:A, Customers_raw!B:B), "Unknown Customer")</f>
        <v>Jennifer White</v>
      </c>
      <c r="D1224" s="1">
        <v>45783</v>
      </c>
      <c r="E1224" s="1" t="str">
        <f t="shared" si="57"/>
        <v>2025-05</v>
      </c>
      <c r="F1224" t="s">
        <v>9</v>
      </c>
      <c r="G1224" t="s">
        <v>6</v>
      </c>
      <c r="H1224">
        <v>2</v>
      </c>
      <c r="I1224" s="2">
        <v>48</v>
      </c>
      <c r="J1224" s="2">
        <f t="shared" si="58"/>
        <v>96</v>
      </c>
      <c r="K1224" s="2" t="str">
        <f t="shared" si="59"/>
        <v>Sale</v>
      </c>
      <c r="L1224" t="s">
        <v>5</v>
      </c>
    </row>
    <row r="1225" spans="1:12" x14ac:dyDescent="0.25">
      <c r="A1225">
        <v>6223</v>
      </c>
      <c r="B1225">
        <v>86</v>
      </c>
      <c r="C1225" s="5" t="str">
        <f>IFERROR(_xlfn.XLOOKUP(B1225, Customers_raw!A:A, Customers_raw!B:B), "Unknown Customer")</f>
        <v>Steven Jones</v>
      </c>
      <c r="D1225" s="1">
        <v>45683</v>
      </c>
      <c r="E1225" s="1" t="str">
        <f t="shared" si="57"/>
        <v>2025-01</v>
      </c>
      <c r="F1225" t="s">
        <v>16</v>
      </c>
      <c r="G1225" t="s">
        <v>10</v>
      </c>
      <c r="H1225">
        <v>1</v>
      </c>
      <c r="I1225" s="2">
        <v>28</v>
      </c>
      <c r="J1225" s="2">
        <f t="shared" si="58"/>
        <v>28</v>
      </c>
      <c r="K1225" s="2" t="str">
        <f t="shared" si="59"/>
        <v>Sale</v>
      </c>
      <c r="L1225" t="s">
        <v>8</v>
      </c>
    </row>
    <row r="1226" spans="1:12" x14ac:dyDescent="0.25">
      <c r="A1226">
        <v>6224</v>
      </c>
      <c r="B1226">
        <v>4</v>
      </c>
      <c r="C1226" s="5" t="str">
        <f>IFERROR(_xlfn.XLOOKUP(B1226, Customers_raw!A:A, Customers_raw!B:B), "Unknown Customer")</f>
        <v>Joshua Brown</v>
      </c>
      <c r="D1226" s="1">
        <v>45912</v>
      </c>
      <c r="E1226" s="1" t="str">
        <f t="shared" si="57"/>
        <v>2025-09</v>
      </c>
      <c r="F1226" t="s">
        <v>16</v>
      </c>
      <c r="G1226" t="s">
        <v>10</v>
      </c>
      <c r="H1226">
        <v>1</v>
      </c>
      <c r="I1226" s="2">
        <v>31</v>
      </c>
      <c r="J1226" s="2">
        <f t="shared" si="58"/>
        <v>31</v>
      </c>
      <c r="K1226" s="2" t="str">
        <f t="shared" si="59"/>
        <v>Sale</v>
      </c>
      <c r="L1226" t="s">
        <v>5</v>
      </c>
    </row>
    <row r="1227" spans="1:12" x14ac:dyDescent="0.25">
      <c r="A1227">
        <v>6225</v>
      </c>
      <c r="B1227">
        <v>45</v>
      </c>
      <c r="C1227" s="5" t="str">
        <f>IFERROR(_xlfn.XLOOKUP(B1227, Customers_raw!A:A, Customers_raw!B:B), "Unknown Customer")</f>
        <v>Michael Moore</v>
      </c>
      <c r="D1227" s="1">
        <v>45798</v>
      </c>
      <c r="E1227" s="1" t="str">
        <f t="shared" si="57"/>
        <v>2025-05</v>
      </c>
      <c r="F1227" t="s">
        <v>12</v>
      </c>
      <c r="G1227" t="s">
        <v>10</v>
      </c>
      <c r="H1227">
        <v>1</v>
      </c>
      <c r="I1227" s="2">
        <v>25</v>
      </c>
      <c r="J1227" s="2">
        <f t="shared" si="58"/>
        <v>25</v>
      </c>
      <c r="K1227" s="2" t="str">
        <f t="shared" si="59"/>
        <v>Sale</v>
      </c>
      <c r="L1227" t="s">
        <v>5</v>
      </c>
    </row>
    <row r="1228" spans="1:12" x14ac:dyDescent="0.25">
      <c r="A1228">
        <v>6226</v>
      </c>
      <c r="B1228">
        <v>91</v>
      </c>
      <c r="C1228" s="5" t="str">
        <f>IFERROR(_xlfn.XLOOKUP(B1228, Customers_raw!A:A, Customers_raw!B:B), "Unknown Customer")</f>
        <v>Donald Rodriguez</v>
      </c>
      <c r="D1228" s="1">
        <v>45968</v>
      </c>
      <c r="E1228" s="1" t="str">
        <f t="shared" si="57"/>
        <v>2025-11</v>
      </c>
      <c r="F1228" t="s">
        <v>15</v>
      </c>
      <c r="G1228" t="s">
        <v>7</v>
      </c>
      <c r="H1228">
        <v>1</v>
      </c>
      <c r="I1228" s="2">
        <v>67</v>
      </c>
      <c r="J1228" s="2">
        <f t="shared" si="58"/>
        <v>67</v>
      </c>
      <c r="K1228" s="2" t="str">
        <f t="shared" si="59"/>
        <v>Sale</v>
      </c>
      <c r="L1228" t="s">
        <v>27</v>
      </c>
    </row>
    <row r="1229" spans="1:12" x14ac:dyDescent="0.25">
      <c r="A1229">
        <v>6227</v>
      </c>
      <c r="B1229">
        <v>20</v>
      </c>
      <c r="C1229" s="5" t="str">
        <f>IFERROR(_xlfn.XLOOKUP(B1229, Customers_raw!A:A, Customers_raw!B:B), "Unknown Customer")</f>
        <v>David Ramirez</v>
      </c>
      <c r="D1229" s="1">
        <v>45947</v>
      </c>
      <c r="E1229" s="1" t="str">
        <f t="shared" si="57"/>
        <v>2025-10</v>
      </c>
      <c r="F1229" t="s">
        <v>12</v>
      </c>
      <c r="G1229" t="s">
        <v>10</v>
      </c>
      <c r="H1229">
        <v>2</v>
      </c>
      <c r="I1229" s="2">
        <v>22</v>
      </c>
      <c r="J1229" s="2">
        <f t="shared" si="58"/>
        <v>44</v>
      </c>
      <c r="K1229" s="2" t="str">
        <f t="shared" si="59"/>
        <v>Sale</v>
      </c>
      <c r="L1229" t="s">
        <v>27</v>
      </c>
    </row>
    <row r="1230" spans="1:12" x14ac:dyDescent="0.25">
      <c r="A1230">
        <v>6228</v>
      </c>
      <c r="B1230">
        <v>15</v>
      </c>
      <c r="C1230" s="5" t="str">
        <f>IFERROR(_xlfn.XLOOKUP(B1230, Customers_raw!A:A, Customers_raw!B:B), "Unknown Customer")</f>
        <v>Jennifer Rodriguez</v>
      </c>
      <c r="D1230" s="1">
        <v>45888</v>
      </c>
      <c r="E1230" s="1" t="str">
        <f t="shared" si="57"/>
        <v>2025-08</v>
      </c>
      <c r="F1230" t="s">
        <v>18</v>
      </c>
      <c r="G1230" t="s">
        <v>6</v>
      </c>
      <c r="H1230">
        <v>1</v>
      </c>
      <c r="I1230" s="2">
        <v>89</v>
      </c>
      <c r="J1230" s="2">
        <f t="shared" si="58"/>
        <v>89</v>
      </c>
      <c r="K1230" s="2" t="str">
        <f t="shared" si="59"/>
        <v>Sale</v>
      </c>
      <c r="L1230" t="s">
        <v>5</v>
      </c>
    </row>
    <row r="1231" spans="1:12" x14ac:dyDescent="0.25">
      <c r="A1231">
        <v>6229</v>
      </c>
      <c r="B1231">
        <v>58</v>
      </c>
      <c r="C1231" s="5" t="str">
        <f>IFERROR(_xlfn.XLOOKUP(B1231, Customers_raw!A:A, Customers_raw!B:B), "Unknown Customer")</f>
        <v>Thomas Robinson</v>
      </c>
      <c r="D1231" s="1">
        <v>45879</v>
      </c>
      <c r="E1231" s="1" t="str">
        <f t="shared" si="57"/>
        <v>2025-08</v>
      </c>
      <c r="F1231" t="s">
        <v>19</v>
      </c>
      <c r="G1231" t="s">
        <v>17</v>
      </c>
      <c r="H1231">
        <v>1</v>
      </c>
      <c r="I1231" s="2">
        <v>19</v>
      </c>
      <c r="J1231" s="2">
        <f t="shared" si="58"/>
        <v>19</v>
      </c>
      <c r="K1231" s="2" t="str">
        <f t="shared" si="59"/>
        <v>Sale</v>
      </c>
      <c r="L1231" t="s">
        <v>5</v>
      </c>
    </row>
    <row r="1232" spans="1:12" x14ac:dyDescent="0.25">
      <c r="A1232">
        <v>6230</v>
      </c>
      <c r="B1232">
        <v>99</v>
      </c>
      <c r="C1232" s="5" t="str">
        <f>IFERROR(_xlfn.XLOOKUP(B1232, Customers_raw!A:A, Customers_raw!B:B), "Unknown Customer")</f>
        <v>Steven Thomas</v>
      </c>
      <c r="D1232" s="1">
        <v>46000</v>
      </c>
      <c r="E1232" s="1" t="str">
        <f t="shared" si="57"/>
        <v>2025-12</v>
      </c>
      <c r="F1232" t="s">
        <v>19</v>
      </c>
      <c r="G1232" t="s">
        <v>17</v>
      </c>
      <c r="H1232">
        <v>1</v>
      </c>
      <c r="I1232" s="2">
        <v>16</v>
      </c>
      <c r="J1232" s="2">
        <f t="shared" si="58"/>
        <v>16</v>
      </c>
      <c r="K1232" s="2" t="str">
        <f t="shared" si="59"/>
        <v>Sale</v>
      </c>
      <c r="L1232" t="s">
        <v>27</v>
      </c>
    </row>
    <row r="1233" spans="1:12" x14ac:dyDescent="0.25">
      <c r="A1233">
        <v>6231</v>
      </c>
      <c r="B1233">
        <v>43</v>
      </c>
      <c r="C1233" s="5" t="str">
        <f>IFERROR(_xlfn.XLOOKUP(B1233, Customers_raw!A:A, Customers_raw!B:B), "Unknown Customer")</f>
        <v>Sandra Clark</v>
      </c>
      <c r="D1233" s="1">
        <v>45690</v>
      </c>
      <c r="E1233" s="1" t="str">
        <f t="shared" si="57"/>
        <v>2025-02</v>
      </c>
      <c r="F1233" t="s">
        <v>13</v>
      </c>
      <c r="G1233" t="s">
        <v>7</v>
      </c>
      <c r="H1233">
        <v>3</v>
      </c>
      <c r="I1233" s="2">
        <v>32</v>
      </c>
      <c r="J1233" s="2">
        <f t="shared" si="58"/>
        <v>96</v>
      </c>
      <c r="K1233" s="2" t="str">
        <f t="shared" si="59"/>
        <v>Sale</v>
      </c>
      <c r="L1233" t="s">
        <v>8</v>
      </c>
    </row>
    <row r="1234" spans="1:12" x14ac:dyDescent="0.25">
      <c r="A1234">
        <v>6232</v>
      </c>
      <c r="B1234">
        <v>36</v>
      </c>
      <c r="C1234" s="5" t="str">
        <f>IFERROR(_xlfn.XLOOKUP(B1234, Customers_raw!A:A, Customers_raw!B:B), "Unknown Customer")</f>
        <v>Daniel Harris</v>
      </c>
      <c r="D1234" s="1">
        <v>45851</v>
      </c>
      <c r="E1234" s="1" t="str">
        <f t="shared" si="57"/>
        <v>2025-07</v>
      </c>
      <c r="F1234" t="s">
        <v>22</v>
      </c>
      <c r="G1234" t="s">
        <v>17</v>
      </c>
      <c r="H1234">
        <v>2</v>
      </c>
      <c r="I1234" s="2">
        <v>23.742857142857144</v>
      </c>
      <c r="J1234" s="2">
        <f t="shared" si="58"/>
        <v>47.485714285714288</v>
      </c>
      <c r="K1234" s="2" t="str">
        <f t="shared" si="59"/>
        <v>Sale</v>
      </c>
      <c r="L1234" t="s">
        <v>8</v>
      </c>
    </row>
    <row r="1235" spans="1:12" x14ac:dyDescent="0.25">
      <c r="A1235">
        <v>6233</v>
      </c>
      <c r="B1235">
        <v>98</v>
      </c>
      <c r="C1235" s="5" t="str">
        <f>IFERROR(_xlfn.XLOOKUP(B1235, Customers_raw!A:A, Customers_raw!B:B), "Unknown Customer")</f>
        <v>Karen Williams</v>
      </c>
      <c r="D1235" s="1">
        <v>45943</v>
      </c>
      <c r="E1235" s="1" t="str">
        <f t="shared" si="57"/>
        <v>2025-10</v>
      </c>
      <c r="F1235" t="s">
        <v>22</v>
      </c>
      <c r="G1235" t="s">
        <v>17</v>
      </c>
      <c r="H1235">
        <v>2</v>
      </c>
      <c r="I1235" s="2">
        <v>24</v>
      </c>
      <c r="J1235" s="2">
        <f t="shared" si="58"/>
        <v>48</v>
      </c>
      <c r="K1235" s="2" t="str">
        <f t="shared" si="59"/>
        <v>Sale</v>
      </c>
      <c r="L1235" t="s">
        <v>27</v>
      </c>
    </row>
    <row r="1236" spans="1:12" x14ac:dyDescent="0.25">
      <c r="A1236">
        <v>6234</v>
      </c>
      <c r="B1236">
        <v>3</v>
      </c>
      <c r="C1236" s="5" t="str">
        <f>IFERROR(_xlfn.XLOOKUP(B1236, Customers_raw!A:A, Customers_raw!B:B), "Unknown Customer")</f>
        <v>Anthony Williams</v>
      </c>
      <c r="D1236" s="1">
        <v>45971</v>
      </c>
      <c r="E1236" s="1" t="str">
        <f t="shared" si="57"/>
        <v>2025-11</v>
      </c>
      <c r="F1236" t="s">
        <v>9</v>
      </c>
      <c r="G1236" t="s">
        <v>6</v>
      </c>
      <c r="H1236">
        <v>2</v>
      </c>
      <c r="I1236" s="2">
        <v>45</v>
      </c>
      <c r="J1236" s="2">
        <f t="shared" si="58"/>
        <v>90</v>
      </c>
      <c r="K1236" s="2" t="str">
        <f t="shared" si="59"/>
        <v>Sale</v>
      </c>
      <c r="L1236" t="s">
        <v>8</v>
      </c>
    </row>
    <row r="1237" spans="1:12" x14ac:dyDescent="0.25">
      <c r="A1237">
        <v>6235</v>
      </c>
      <c r="B1237">
        <v>63</v>
      </c>
      <c r="C1237" s="5" t="str">
        <f>IFERROR(_xlfn.XLOOKUP(B1237, Customers_raw!A:A, Customers_raw!B:B), "Unknown Customer")</f>
        <v>Joseph Robinson</v>
      </c>
      <c r="D1237" s="1">
        <v>45906</v>
      </c>
      <c r="E1237" s="1" t="str">
        <f t="shared" si="57"/>
        <v>2025-09</v>
      </c>
      <c r="F1237" t="s">
        <v>16</v>
      </c>
      <c r="G1237" t="s">
        <v>10</v>
      </c>
      <c r="H1237">
        <v>2</v>
      </c>
      <c r="I1237" s="2">
        <v>31</v>
      </c>
      <c r="J1237" s="2">
        <f t="shared" si="58"/>
        <v>62</v>
      </c>
      <c r="K1237" s="2" t="str">
        <f t="shared" si="59"/>
        <v>Sale</v>
      </c>
      <c r="L1237" t="s">
        <v>27</v>
      </c>
    </row>
    <row r="1238" spans="1:12" x14ac:dyDescent="0.25">
      <c r="A1238">
        <v>6236</v>
      </c>
      <c r="B1238">
        <v>30</v>
      </c>
      <c r="C1238" s="5" t="str">
        <f>IFERROR(_xlfn.XLOOKUP(B1238, Customers_raw!A:A, Customers_raw!B:B), "Unknown Customer")</f>
        <v>Sandra Taylor</v>
      </c>
      <c r="D1238" s="1">
        <v>45731</v>
      </c>
      <c r="E1238" s="1" t="str">
        <f t="shared" si="57"/>
        <v>2025-03</v>
      </c>
      <c r="F1238" t="s">
        <v>22</v>
      </c>
      <c r="G1238" t="s">
        <v>17</v>
      </c>
      <c r="H1238">
        <v>1</v>
      </c>
      <c r="I1238" s="2">
        <v>24</v>
      </c>
      <c r="J1238" s="2">
        <f t="shared" si="58"/>
        <v>24</v>
      </c>
      <c r="K1238" s="2" t="str">
        <f t="shared" si="59"/>
        <v>Sale</v>
      </c>
      <c r="L1238" t="s">
        <v>5</v>
      </c>
    </row>
    <row r="1239" spans="1:12" x14ac:dyDescent="0.25">
      <c r="A1239">
        <v>6237</v>
      </c>
      <c r="B1239">
        <v>54</v>
      </c>
      <c r="C1239" s="5" t="str">
        <f>IFERROR(_xlfn.XLOOKUP(B1239, Customers_raw!A:A, Customers_raw!B:B), "Unknown Customer")</f>
        <v>Donald Moore</v>
      </c>
      <c r="D1239" s="1">
        <v>45858</v>
      </c>
      <c r="E1239" s="1" t="str">
        <f t="shared" si="57"/>
        <v>2025-07</v>
      </c>
      <c r="F1239" t="s">
        <v>19</v>
      </c>
      <c r="G1239" t="s">
        <v>17</v>
      </c>
      <c r="H1239">
        <v>2</v>
      </c>
      <c r="I1239" s="2">
        <v>19</v>
      </c>
      <c r="J1239" s="2">
        <f t="shared" si="58"/>
        <v>38</v>
      </c>
      <c r="K1239" s="2" t="str">
        <f t="shared" si="59"/>
        <v>Sale</v>
      </c>
      <c r="L1239" t="s">
        <v>5</v>
      </c>
    </row>
    <row r="1240" spans="1:12" x14ac:dyDescent="0.25">
      <c r="A1240">
        <v>6238</v>
      </c>
      <c r="B1240">
        <v>70</v>
      </c>
      <c r="C1240" s="5" t="str">
        <f>IFERROR(_xlfn.XLOOKUP(B1240, Customers_raw!A:A, Customers_raw!B:B), "Unknown Customer")</f>
        <v>Karen Perez</v>
      </c>
      <c r="D1240" s="1">
        <v>45948</v>
      </c>
      <c r="E1240" s="1" t="str">
        <f t="shared" si="57"/>
        <v>2025-10</v>
      </c>
      <c r="F1240" t="s">
        <v>19</v>
      </c>
      <c r="G1240" t="s">
        <v>17</v>
      </c>
      <c r="H1240">
        <v>3</v>
      </c>
      <c r="I1240" s="2">
        <v>19</v>
      </c>
      <c r="J1240" s="2">
        <f t="shared" si="58"/>
        <v>57</v>
      </c>
      <c r="K1240" s="2" t="str">
        <f t="shared" si="59"/>
        <v>Sale</v>
      </c>
      <c r="L1240" t="s">
        <v>8</v>
      </c>
    </row>
    <row r="1241" spans="1:12" x14ac:dyDescent="0.25">
      <c r="A1241">
        <v>6239</v>
      </c>
      <c r="B1241">
        <v>39</v>
      </c>
      <c r="C1241" s="5" t="str">
        <f>IFERROR(_xlfn.XLOOKUP(B1241, Customers_raw!A:A, Customers_raw!B:B), "Unknown Customer")</f>
        <v>Donald Lee</v>
      </c>
      <c r="D1241" s="1">
        <v>46010</v>
      </c>
      <c r="E1241" s="1" t="str">
        <f t="shared" si="57"/>
        <v>2025-12</v>
      </c>
      <c r="F1241" t="s">
        <v>22</v>
      </c>
      <c r="G1241" t="s">
        <v>17</v>
      </c>
      <c r="H1241">
        <v>1</v>
      </c>
      <c r="I1241" s="2">
        <v>24</v>
      </c>
      <c r="J1241" s="2">
        <f t="shared" si="58"/>
        <v>24</v>
      </c>
      <c r="K1241" s="2" t="str">
        <f t="shared" si="59"/>
        <v>Sale</v>
      </c>
      <c r="L1241" t="s">
        <v>8</v>
      </c>
    </row>
    <row r="1242" spans="1:12" x14ac:dyDescent="0.25">
      <c r="A1242">
        <v>6240</v>
      </c>
      <c r="B1242">
        <v>108</v>
      </c>
      <c r="C1242" s="5" t="str">
        <f>IFERROR(_xlfn.XLOOKUP(B1242, Customers_raw!A:A, Customers_raw!B:B), "Unknown Customer")</f>
        <v>Charles Perez</v>
      </c>
      <c r="D1242" s="1">
        <v>45804</v>
      </c>
      <c r="E1242" s="1" t="str">
        <f t="shared" si="57"/>
        <v>2025-05</v>
      </c>
      <c r="F1242" t="s">
        <v>18</v>
      </c>
      <c r="G1242" t="s">
        <v>6</v>
      </c>
      <c r="H1242">
        <v>2</v>
      </c>
      <c r="I1242" s="2">
        <v>89.144230769230774</v>
      </c>
      <c r="J1242" s="2">
        <f t="shared" si="58"/>
        <v>178.28846153846155</v>
      </c>
      <c r="K1242" s="2" t="str">
        <f t="shared" si="59"/>
        <v>Sale</v>
      </c>
      <c r="L1242" t="s">
        <v>27</v>
      </c>
    </row>
    <row r="1243" spans="1:12" x14ac:dyDescent="0.25">
      <c r="A1243">
        <v>6241</v>
      </c>
      <c r="B1243">
        <v>44</v>
      </c>
      <c r="C1243" s="5" t="str">
        <f>IFERROR(_xlfn.XLOOKUP(B1243, Customers_raw!A:A, Customers_raw!B:B), "Unknown Customer")</f>
        <v>Emily Jackson</v>
      </c>
      <c r="D1243" s="1">
        <v>45915</v>
      </c>
      <c r="E1243" s="1" t="str">
        <f t="shared" si="57"/>
        <v>2025-09</v>
      </c>
      <c r="F1243" t="s">
        <v>9</v>
      </c>
      <c r="G1243" t="s">
        <v>6</v>
      </c>
      <c r="H1243">
        <v>3</v>
      </c>
      <c r="I1243" s="2">
        <v>45</v>
      </c>
      <c r="J1243" s="2">
        <f t="shared" si="58"/>
        <v>135</v>
      </c>
      <c r="K1243" s="2" t="str">
        <f t="shared" si="59"/>
        <v>Sale</v>
      </c>
      <c r="L1243" t="s">
        <v>5</v>
      </c>
    </row>
    <row r="1244" spans="1:12" x14ac:dyDescent="0.25">
      <c r="A1244">
        <v>6242</v>
      </c>
      <c r="B1244">
        <v>50</v>
      </c>
      <c r="C1244" s="5" t="str">
        <f>IFERROR(_xlfn.XLOOKUP(B1244, Customers_raw!A:A, Customers_raw!B:B), "Unknown Customer")</f>
        <v>Elizabeth Garcia</v>
      </c>
      <c r="D1244" s="1">
        <v>45950</v>
      </c>
      <c r="E1244" s="1" t="str">
        <f t="shared" si="57"/>
        <v>2025-10</v>
      </c>
      <c r="F1244" t="s">
        <v>22</v>
      </c>
      <c r="G1244" t="s">
        <v>17</v>
      </c>
      <c r="H1244">
        <v>1</v>
      </c>
      <c r="I1244" s="2">
        <v>24</v>
      </c>
      <c r="J1244" s="2">
        <f t="shared" si="58"/>
        <v>24</v>
      </c>
      <c r="K1244" s="2" t="str">
        <f t="shared" si="59"/>
        <v>Sale</v>
      </c>
      <c r="L1244" t="s">
        <v>5</v>
      </c>
    </row>
    <row r="1245" spans="1:12" x14ac:dyDescent="0.25">
      <c r="A1245">
        <v>6243</v>
      </c>
      <c r="B1245">
        <v>4</v>
      </c>
      <c r="C1245" s="5" t="str">
        <f>IFERROR(_xlfn.XLOOKUP(B1245, Customers_raw!A:A, Customers_raw!B:B), "Unknown Customer")</f>
        <v>Joshua Brown</v>
      </c>
      <c r="D1245" s="1">
        <v>45843</v>
      </c>
      <c r="E1245" s="1" t="str">
        <f t="shared" si="57"/>
        <v>2025-07</v>
      </c>
      <c r="F1245" t="s">
        <v>12</v>
      </c>
      <c r="G1245" t="s">
        <v>10</v>
      </c>
      <c r="H1245">
        <v>3</v>
      </c>
      <c r="I1245" s="2">
        <v>22</v>
      </c>
      <c r="J1245" s="2">
        <f t="shared" si="58"/>
        <v>66</v>
      </c>
      <c r="K1245" s="2" t="str">
        <f t="shared" si="59"/>
        <v>Sale</v>
      </c>
      <c r="L1245" t="s">
        <v>8</v>
      </c>
    </row>
    <row r="1246" spans="1:12" x14ac:dyDescent="0.25">
      <c r="A1246">
        <v>6244</v>
      </c>
      <c r="B1246">
        <v>18</v>
      </c>
      <c r="C1246" s="5" t="str">
        <f>IFERROR(_xlfn.XLOOKUP(B1246, Customers_raw!A:A, Customers_raw!B:B), "Unknown Customer")</f>
        <v>Susan Sanchez</v>
      </c>
      <c r="D1246" s="1">
        <v>45947</v>
      </c>
      <c r="E1246" s="1" t="str">
        <f t="shared" si="57"/>
        <v>2025-10</v>
      </c>
      <c r="F1246" t="s">
        <v>18</v>
      </c>
      <c r="G1246" t="s">
        <v>6</v>
      </c>
      <c r="H1246">
        <v>3</v>
      </c>
      <c r="I1246" s="2">
        <v>89</v>
      </c>
      <c r="J1246" s="2">
        <f t="shared" si="58"/>
        <v>267</v>
      </c>
      <c r="K1246" s="2" t="str">
        <f t="shared" si="59"/>
        <v>Sale</v>
      </c>
      <c r="L1246" t="s">
        <v>5</v>
      </c>
    </row>
    <row r="1247" spans="1:12" x14ac:dyDescent="0.25">
      <c r="A1247">
        <v>6245</v>
      </c>
      <c r="B1247">
        <v>80</v>
      </c>
      <c r="C1247" s="5" t="str">
        <f>IFERROR(_xlfn.XLOOKUP(B1247, Customers_raw!A:A, Customers_raw!B:B), "Unknown Customer")</f>
        <v>Susan Lopez</v>
      </c>
      <c r="D1247" s="1">
        <v>45993</v>
      </c>
      <c r="E1247" s="1" t="str">
        <f t="shared" si="57"/>
        <v>2025-12</v>
      </c>
      <c r="F1247" t="s">
        <v>22</v>
      </c>
      <c r="G1247" t="s">
        <v>17</v>
      </c>
      <c r="H1247">
        <v>3</v>
      </c>
      <c r="I1247" s="2">
        <v>24</v>
      </c>
      <c r="J1247" s="2">
        <f t="shared" si="58"/>
        <v>72</v>
      </c>
      <c r="K1247" s="2" t="str">
        <f t="shared" si="59"/>
        <v>Sale</v>
      </c>
      <c r="L1247" t="s">
        <v>8</v>
      </c>
    </row>
    <row r="1248" spans="1:12" x14ac:dyDescent="0.25">
      <c r="A1248">
        <v>6246</v>
      </c>
      <c r="B1248">
        <v>46</v>
      </c>
      <c r="C1248" s="5" t="str">
        <f>IFERROR(_xlfn.XLOOKUP(B1248, Customers_raw!A:A, Customers_raw!B:B), "Unknown Customer")</f>
        <v>Mary Rodriguez</v>
      </c>
      <c r="D1248" s="1">
        <v>45668</v>
      </c>
      <c r="E1248" s="1" t="str">
        <f t="shared" si="57"/>
        <v>2025-01</v>
      </c>
      <c r="F1248" t="s">
        <v>22</v>
      </c>
      <c r="G1248" t="s">
        <v>17</v>
      </c>
      <c r="H1248">
        <v>2</v>
      </c>
      <c r="I1248" s="2">
        <v>27</v>
      </c>
      <c r="J1248" s="2">
        <f t="shared" si="58"/>
        <v>54</v>
      </c>
      <c r="K1248" s="2" t="str">
        <f t="shared" si="59"/>
        <v>Sale</v>
      </c>
      <c r="L1248" t="s">
        <v>27</v>
      </c>
    </row>
    <row r="1249" spans="1:12" x14ac:dyDescent="0.25">
      <c r="A1249">
        <v>6247</v>
      </c>
      <c r="B1249">
        <v>58</v>
      </c>
      <c r="C1249" s="5" t="str">
        <f>IFERROR(_xlfn.XLOOKUP(B1249, Customers_raw!A:A, Customers_raw!B:B), "Unknown Customer")</f>
        <v>Thomas Robinson</v>
      </c>
      <c r="D1249" s="1">
        <v>45890</v>
      </c>
      <c r="E1249" s="1" t="str">
        <f t="shared" si="57"/>
        <v>2025-08</v>
      </c>
      <c r="F1249" t="s">
        <v>21</v>
      </c>
      <c r="G1249" t="s">
        <v>17</v>
      </c>
      <c r="H1249">
        <v>1</v>
      </c>
      <c r="I1249" s="2">
        <v>57</v>
      </c>
      <c r="J1249" s="2">
        <f t="shared" si="58"/>
        <v>57</v>
      </c>
      <c r="K1249" s="2" t="str">
        <f t="shared" si="59"/>
        <v>Sale</v>
      </c>
      <c r="L1249" t="s">
        <v>5</v>
      </c>
    </row>
    <row r="1250" spans="1:12" x14ac:dyDescent="0.25">
      <c r="A1250">
        <v>6248</v>
      </c>
      <c r="B1250">
        <v>28</v>
      </c>
      <c r="C1250" s="5" t="str">
        <f>IFERROR(_xlfn.XLOOKUP(B1250, Customers_raw!A:A, Customers_raw!B:B), "Unknown Customer")</f>
        <v>Michael Lopez</v>
      </c>
      <c r="D1250" s="1">
        <v>45827</v>
      </c>
      <c r="E1250" s="1" t="str">
        <f t="shared" si="57"/>
        <v>2025-06</v>
      </c>
      <c r="F1250" t="s">
        <v>22</v>
      </c>
      <c r="G1250" t="s">
        <v>17</v>
      </c>
      <c r="H1250">
        <v>-1</v>
      </c>
      <c r="I1250" s="2">
        <v>24</v>
      </c>
      <c r="J1250" s="2">
        <f t="shared" si="58"/>
        <v>-24</v>
      </c>
      <c r="K1250" s="2" t="str">
        <f t="shared" si="59"/>
        <v>Return</v>
      </c>
      <c r="L1250" t="s">
        <v>8</v>
      </c>
    </row>
    <row r="1251" spans="1:12" x14ac:dyDescent="0.25">
      <c r="A1251">
        <v>6249</v>
      </c>
      <c r="B1251">
        <v>38</v>
      </c>
      <c r="C1251" s="5" t="str">
        <f>IFERROR(_xlfn.XLOOKUP(B1251, Customers_raw!A:A, Customers_raw!B:B), "Unknown Customer")</f>
        <v>Jennifer Davis</v>
      </c>
      <c r="D1251" s="1">
        <v>45953</v>
      </c>
      <c r="E1251" s="1" t="str">
        <f t="shared" si="57"/>
        <v>2025-10</v>
      </c>
      <c r="F1251" t="s">
        <v>12</v>
      </c>
      <c r="G1251" t="s">
        <v>10</v>
      </c>
      <c r="H1251">
        <v>1</v>
      </c>
      <c r="I1251" s="2">
        <v>25</v>
      </c>
      <c r="J1251" s="2">
        <f t="shared" si="58"/>
        <v>25</v>
      </c>
      <c r="K1251" s="2" t="str">
        <f t="shared" si="59"/>
        <v>Sale</v>
      </c>
      <c r="L1251" t="s">
        <v>27</v>
      </c>
    </row>
    <row r="1252" spans="1:12" x14ac:dyDescent="0.25">
      <c r="A1252">
        <v>6250</v>
      </c>
      <c r="B1252">
        <v>47</v>
      </c>
      <c r="C1252" s="5" t="str">
        <f>IFERROR(_xlfn.XLOOKUP(B1252, Customers_raw!A:A, Customers_raw!B:B), "Unknown Customer")</f>
        <v>Christopher Rodriguez</v>
      </c>
      <c r="D1252" s="1">
        <v>45851</v>
      </c>
      <c r="E1252" s="1" t="str">
        <f t="shared" si="57"/>
        <v>2025-07</v>
      </c>
      <c r="F1252" t="s">
        <v>9</v>
      </c>
      <c r="G1252" t="s">
        <v>6</v>
      </c>
      <c r="H1252">
        <v>2</v>
      </c>
      <c r="I1252" s="2">
        <v>45</v>
      </c>
      <c r="J1252" s="2">
        <f t="shared" si="58"/>
        <v>90</v>
      </c>
      <c r="K1252" s="2" t="str">
        <f t="shared" si="59"/>
        <v>Sale</v>
      </c>
      <c r="L1252" t="s">
        <v>5</v>
      </c>
    </row>
    <row r="1253" spans="1:12" x14ac:dyDescent="0.25">
      <c r="A1253">
        <v>6251</v>
      </c>
      <c r="B1253">
        <v>4</v>
      </c>
      <c r="C1253" s="5" t="str">
        <f>IFERROR(_xlfn.XLOOKUP(B1253, Customers_raw!A:A, Customers_raw!B:B), "Unknown Customer")</f>
        <v>Joshua Brown</v>
      </c>
      <c r="D1253" s="1">
        <v>45715</v>
      </c>
      <c r="E1253" s="1" t="str">
        <f t="shared" si="57"/>
        <v>2025-02</v>
      </c>
      <c r="F1253" t="s">
        <v>16</v>
      </c>
      <c r="G1253" t="s">
        <v>10</v>
      </c>
      <c r="H1253">
        <v>1</v>
      </c>
      <c r="I1253" s="2">
        <v>28</v>
      </c>
      <c r="J1253" s="2">
        <f t="shared" si="58"/>
        <v>28</v>
      </c>
      <c r="K1253" s="2" t="str">
        <f t="shared" si="59"/>
        <v>Sale</v>
      </c>
      <c r="L1253" t="s">
        <v>8</v>
      </c>
    </row>
    <row r="1254" spans="1:12" x14ac:dyDescent="0.25">
      <c r="A1254">
        <v>6252</v>
      </c>
      <c r="B1254">
        <v>30</v>
      </c>
      <c r="C1254" s="5" t="str">
        <f>IFERROR(_xlfn.XLOOKUP(B1254, Customers_raw!A:A, Customers_raw!B:B), "Unknown Customer")</f>
        <v>Sandra Taylor</v>
      </c>
      <c r="D1254" s="1">
        <v>45895</v>
      </c>
      <c r="E1254" s="1" t="str">
        <f t="shared" si="57"/>
        <v>2025-08</v>
      </c>
      <c r="F1254" t="s">
        <v>11</v>
      </c>
      <c r="G1254" t="s">
        <v>6</v>
      </c>
      <c r="H1254">
        <v>2</v>
      </c>
      <c r="I1254" s="2">
        <v>17.804347826086957</v>
      </c>
      <c r="J1254" s="2">
        <f t="shared" si="58"/>
        <v>35.608695652173914</v>
      </c>
      <c r="K1254" s="2" t="str">
        <f t="shared" si="59"/>
        <v>Sale</v>
      </c>
      <c r="L1254" t="s">
        <v>8</v>
      </c>
    </row>
    <row r="1255" spans="1:12" x14ac:dyDescent="0.25">
      <c r="A1255">
        <v>6253</v>
      </c>
      <c r="B1255">
        <v>82</v>
      </c>
      <c r="C1255" s="5" t="str">
        <f>IFERROR(_xlfn.XLOOKUP(B1255, Customers_raw!A:A, Customers_raw!B:B), "Unknown Customer")</f>
        <v>Thomas Ramirez</v>
      </c>
      <c r="D1255" s="1">
        <v>45729</v>
      </c>
      <c r="E1255" s="1" t="str">
        <f t="shared" si="57"/>
        <v>2025-03</v>
      </c>
      <c r="F1255" t="s">
        <v>18</v>
      </c>
      <c r="G1255" t="s">
        <v>6</v>
      </c>
      <c r="H1255">
        <v>1</v>
      </c>
      <c r="I1255" s="2">
        <v>86</v>
      </c>
      <c r="J1255" s="2">
        <f t="shared" si="58"/>
        <v>86</v>
      </c>
      <c r="K1255" s="2" t="str">
        <f t="shared" si="59"/>
        <v>Sale</v>
      </c>
      <c r="L1255" t="s">
        <v>8</v>
      </c>
    </row>
    <row r="1256" spans="1:12" x14ac:dyDescent="0.25">
      <c r="A1256">
        <v>6254</v>
      </c>
      <c r="B1256">
        <v>14</v>
      </c>
      <c r="C1256" s="5" t="str">
        <f>IFERROR(_xlfn.XLOOKUP(B1256, Customers_raw!A:A, Customers_raw!B:B), "Unknown Customer")</f>
        <v>Christopher Hernandez</v>
      </c>
      <c r="D1256" s="1">
        <v>45722</v>
      </c>
      <c r="E1256" s="1" t="str">
        <f t="shared" si="57"/>
        <v>2025-03</v>
      </c>
      <c r="F1256" t="s">
        <v>19</v>
      </c>
      <c r="G1256" t="s">
        <v>17</v>
      </c>
      <c r="H1256">
        <v>1</v>
      </c>
      <c r="I1256" s="2">
        <v>16</v>
      </c>
      <c r="J1256" s="2">
        <f t="shared" si="58"/>
        <v>16</v>
      </c>
      <c r="K1256" s="2" t="str">
        <f t="shared" si="59"/>
        <v>Sale</v>
      </c>
      <c r="L1256" t="s">
        <v>5</v>
      </c>
    </row>
    <row r="1257" spans="1:12" x14ac:dyDescent="0.25">
      <c r="A1257">
        <v>6255</v>
      </c>
      <c r="B1257">
        <v>80</v>
      </c>
      <c r="C1257" s="5" t="str">
        <f>IFERROR(_xlfn.XLOOKUP(B1257, Customers_raw!A:A, Customers_raw!B:B), "Unknown Customer")</f>
        <v>Susan Lopez</v>
      </c>
      <c r="D1257" s="1">
        <v>45845</v>
      </c>
      <c r="E1257" s="1" t="str">
        <f t="shared" si="57"/>
        <v>2025-07</v>
      </c>
      <c r="F1257" t="s">
        <v>18</v>
      </c>
      <c r="G1257" t="s">
        <v>6</v>
      </c>
      <c r="H1257">
        <v>1</v>
      </c>
      <c r="I1257" s="2">
        <v>89</v>
      </c>
      <c r="J1257" s="2">
        <f t="shared" si="58"/>
        <v>89</v>
      </c>
      <c r="K1257" s="2" t="str">
        <f t="shared" si="59"/>
        <v>Sale</v>
      </c>
      <c r="L1257" t="s">
        <v>27</v>
      </c>
    </row>
    <row r="1258" spans="1:12" x14ac:dyDescent="0.25">
      <c r="A1258">
        <v>6256</v>
      </c>
      <c r="B1258">
        <v>92</v>
      </c>
      <c r="C1258" s="5" t="str">
        <f>IFERROR(_xlfn.XLOOKUP(B1258, Customers_raw!A:A, Customers_raw!B:B), "Unknown Customer")</f>
        <v>Joseph Harris</v>
      </c>
      <c r="D1258" s="1">
        <v>45961</v>
      </c>
      <c r="E1258" s="1" t="str">
        <f t="shared" si="57"/>
        <v>2025-10</v>
      </c>
      <c r="F1258" t="s">
        <v>14</v>
      </c>
      <c r="G1258" t="s">
        <v>7</v>
      </c>
      <c r="H1258">
        <v>2</v>
      </c>
      <c r="I1258" s="2">
        <v>55</v>
      </c>
      <c r="J1258" s="2">
        <f t="shared" si="58"/>
        <v>110</v>
      </c>
      <c r="K1258" s="2" t="str">
        <f t="shared" si="59"/>
        <v>Sale</v>
      </c>
      <c r="L1258" t="s">
        <v>8</v>
      </c>
    </row>
    <row r="1259" spans="1:12" x14ac:dyDescent="0.25">
      <c r="A1259">
        <v>6257</v>
      </c>
      <c r="B1259">
        <v>29</v>
      </c>
      <c r="C1259" s="5" t="str">
        <f>IFERROR(_xlfn.XLOOKUP(B1259, Customers_raw!A:A, Customers_raw!B:B), "Unknown Customer")</f>
        <v>Thomas Lopez</v>
      </c>
      <c r="D1259" s="1">
        <v>45863</v>
      </c>
      <c r="E1259" s="1" t="str">
        <f t="shared" si="57"/>
        <v>2025-07</v>
      </c>
      <c r="F1259" t="s">
        <v>12</v>
      </c>
      <c r="G1259" t="s">
        <v>10</v>
      </c>
      <c r="H1259">
        <v>2</v>
      </c>
      <c r="I1259" s="2">
        <v>22</v>
      </c>
      <c r="J1259" s="2">
        <f t="shared" si="58"/>
        <v>44</v>
      </c>
      <c r="K1259" s="2" t="str">
        <f t="shared" si="59"/>
        <v>Sale</v>
      </c>
      <c r="L1259" t="s">
        <v>5</v>
      </c>
    </row>
    <row r="1260" spans="1:12" x14ac:dyDescent="0.25">
      <c r="A1260">
        <v>6258</v>
      </c>
      <c r="B1260">
        <v>69</v>
      </c>
      <c r="C1260" s="5" t="str">
        <f>IFERROR(_xlfn.XLOOKUP(B1260, Customers_raw!A:A, Customers_raw!B:B), "Unknown Customer")</f>
        <v>Jessica Brown</v>
      </c>
      <c r="D1260" s="1">
        <v>45750</v>
      </c>
      <c r="E1260" s="1" t="str">
        <f t="shared" si="57"/>
        <v>2025-04</v>
      </c>
      <c r="F1260" t="s">
        <v>14</v>
      </c>
      <c r="G1260" t="s">
        <v>7</v>
      </c>
      <c r="H1260">
        <v>1</v>
      </c>
      <c r="I1260" s="2">
        <v>58</v>
      </c>
      <c r="J1260" s="2">
        <f t="shared" si="58"/>
        <v>58</v>
      </c>
      <c r="K1260" s="2" t="str">
        <f t="shared" si="59"/>
        <v>Sale</v>
      </c>
      <c r="L1260" t="s">
        <v>8</v>
      </c>
    </row>
    <row r="1261" spans="1:12" x14ac:dyDescent="0.25">
      <c r="A1261">
        <v>6259</v>
      </c>
      <c r="B1261">
        <v>20</v>
      </c>
      <c r="C1261" s="5" t="str">
        <f>IFERROR(_xlfn.XLOOKUP(B1261, Customers_raw!A:A, Customers_raw!B:B), "Unknown Customer")</f>
        <v>David Ramirez</v>
      </c>
      <c r="D1261" s="1">
        <v>45844</v>
      </c>
      <c r="E1261" s="1" t="str">
        <f t="shared" si="57"/>
        <v>2025-07</v>
      </c>
      <c r="F1261" t="s">
        <v>16</v>
      </c>
      <c r="G1261" t="s">
        <v>10</v>
      </c>
      <c r="H1261">
        <v>1</v>
      </c>
      <c r="I1261" s="2">
        <v>25</v>
      </c>
      <c r="J1261" s="2">
        <f t="shared" si="58"/>
        <v>25</v>
      </c>
      <c r="K1261" s="2" t="str">
        <f t="shared" si="59"/>
        <v>Sale</v>
      </c>
      <c r="L1261" t="s">
        <v>8</v>
      </c>
    </row>
    <row r="1262" spans="1:12" x14ac:dyDescent="0.25">
      <c r="A1262">
        <v>6260</v>
      </c>
      <c r="B1262">
        <v>87</v>
      </c>
      <c r="C1262" s="5" t="str">
        <f>IFERROR(_xlfn.XLOOKUP(B1262, Customers_raw!A:A, Customers_raw!B:B), "Unknown Customer")</f>
        <v>Joseph Williams</v>
      </c>
      <c r="D1262" s="1">
        <v>45831</v>
      </c>
      <c r="E1262" s="1" t="str">
        <f t="shared" si="57"/>
        <v>2025-06</v>
      </c>
      <c r="F1262" t="s">
        <v>22</v>
      </c>
      <c r="G1262" t="s">
        <v>17</v>
      </c>
      <c r="H1262">
        <v>1</v>
      </c>
      <c r="I1262" s="2">
        <v>24</v>
      </c>
      <c r="J1262" s="2">
        <f t="shared" si="58"/>
        <v>24</v>
      </c>
      <c r="K1262" s="2" t="str">
        <f t="shared" si="59"/>
        <v>Sale</v>
      </c>
      <c r="L1262" t="s">
        <v>27</v>
      </c>
    </row>
    <row r="1263" spans="1:12" x14ac:dyDescent="0.25">
      <c r="A1263">
        <v>6261</v>
      </c>
      <c r="B1263">
        <v>21</v>
      </c>
      <c r="C1263" s="5" t="str">
        <f>IFERROR(_xlfn.XLOOKUP(B1263, Customers_raw!A:A, Customers_raw!B:B), "Unknown Customer")</f>
        <v>Daniel Thompson</v>
      </c>
      <c r="D1263" s="1">
        <v>45970</v>
      </c>
      <c r="E1263" s="1" t="str">
        <f t="shared" si="57"/>
        <v>2025-11</v>
      </c>
      <c r="F1263" t="s">
        <v>14</v>
      </c>
      <c r="G1263" t="s">
        <v>7</v>
      </c>
      <c r="H1263">
        <v>2</v>
      </c>
      <c r="I1263" s="2">
        <v>58</v>
      </c>
      <c r="J1263" s="2">
        <f t="shared" si="58"/>
        <v>116</v>
      </c>
      <c r="K1263" s="2" t="str">
        <f t="shared" si="59"/>
        <v>Sale</v>
      </c>
      <c r="L1263" t="s">
        <v>5</v>
      </c>
    </row>
    <row r="1264" spans="1:12" x14ac:dyDescent="0.25">
      <c r="A1264">
        <v>6262</v>
      </c>
      <c r="B1264">
        <v>75</v>
      </c>
      <c r="C1264" s="5" t="str">
        <f>IFERROR(_xlfn.XLOOKUP(B1264, Customers_raw!A:A, Customers_raw!B:B), "Unknown Customer")</f>
        <v>David Wilson</v>
      </c>
      <c r="D1264" s="1">
        <v>45998</v>
      </c>
      <c r="E1264" s="1" t="str">
        <f t="shared" si="57"/>
        <v>2025-12</v>
      </c>
      <c r="F1264" t="s">
        <v>9</v>
      </c>
      <c r="G1264" t="s">
        <v>6</v>
      </c>
      <c r="H1264">
        <v>1</v>
      </c>
      <c r="I1264" s="2">
        <v>42</v>
      </c>
      <c r="J1264" s="2">
        <f t="shared" si="58"/>
        <v>42</v>
      </c>
      <c r="K1264" s="2" t="str">
        <f t="shared" si="59"/>
        <v>Sale</v>
      </c>
      <c r="L1264" t="s">
        <v>8</v>
      </c>
    </row>
    <row r="1265" spans="1:12" x14ac:dyDescent="0.25">
      <c r="A1265">
        <v>6263</v>
      </c>
      <c r="B1265">
        <v>78</v>
      </c>
      <c r="C1265" s="5" t="str">
        <f>IFERROR(_xlfn.XLOOKUP(B1265, Customers_raw!A:A, Customers_raw!B:B), "Unknown Customer")</f>
        <v>Sandra Garcia</v>
      </c>
      <c r="D1265" s="1">
        <v>45675</v>
      </c>
      <c r="E1265" s="1" t="str">
        <f t="shared" si="57"/>
        <v>2025-01</v>
      </c>
      <c r="F1265" t="s">
        <v>21</v>
      </c>
      <c r="G1265" t="s">
        <v>17</v>
      </c>
      <c r="H1265">
        <v>1</v>
      </c>
      <c r="I1265" s="2">
        <v>57</v>
      </c>
      <c r="J1265" s="2">
        <f t="shared" si="58"/>
        <v>57</v>
      </c>
      <c r="K1265" s="2" t="str">
        <f t="shared" si="59"/>
        <v>Sale</v>
      </c>
      <c r="L1265" t="s">
        <v>5</v>
      </c>
    </row>
    <row r="1266" spans="1:12" x14ac:dyDescent="0.25">
      <c r="A1266">
        <v>6264</v>
      </c>
      <c r="B1266">
        <v>93</v>
      </c>
      <c r="C1266" s="5" t="str">
        <f>IFERROR(_xlfn.XLOOKUP(B1266, Customers_raw!A:A, Customers_raw!B:B), "Unknown Customer")</f>
        <v>Charles Sanchez</v>
      </c>
      <c r="D1266" s="1">
        <v>45680</v>
      </c>
      <c r="E1266" s="1" t="str">
        <f t="shared" si="57"/>
        <v>2025-01</v>
      </c>
      <c r="F1266" t="s">
        <v>14</v>
      </c>
      <c r="G1266" t="s">
        <v>7</v>
      </c>
      <c r="H1266">
        <v>2</v>
      </c>
      <c r="I1266" s="2">
        <v>58</v>
      </c>
      <c r="J1266" s="2">
        <f t="shared" si="58"/>
        <v>116</v>
      </c>
      <c r="K1266" s="2" t="str">
        <f t="shared" si="59"/>
        <v>Sale</v>
      </c>
      <c r="L1266" t="s">
        <v>27</v>
      </c>
    </row>
    <row r="1267" spans="1:12" x14ac:dyDescent="0.25">
      <c r="A1267">
        <v>6265</v>
      </c>
      <c r="B1267">
        <v>57</v>
      </c>
      <c r="C1267" s="5" t="str">
        <f>IFERROR(_xlfn.XLOOKUP(B1267, Customers_raw!A:A, Customers_raw!B:B), "Unknown Customer")</f>
        <v>Karen Clark</v>
      </c>
      <c r="D1267" s="1">
        <v>45769</v>
      </c>
      <c r="E1267" s="1" t="str">
        <f t="shared" si="57"/>
        <v>2025-04</v>
      </c>
      <c r="F1267" t="s">
        <v>20</v>
      </c>
      <c r="G1267" t="s">
        <v>10</v>
      </c>
      <c r="H1267">
        <v>2</v>
      </c>
      <c r="I1267" s="2">
        <v>68</v>
      </c>
      <c r="J1267" s="2">
        <f t="shared" si="58"/>
        <v>136</v>
      </c>
      <c r="K1267" s="2" t="str">
        <f t="shared" si="59"/>
        <v>Sale</v>
      </c>
      <c r="L1267" t="s">
        <v>8</v>
      </c>
    </row>
    <row r="1268" spans="1:12" x14ac:dyDescent="0.25">
      <c r="A1268">
        <v>6266</v>
      </c>
      <c r="B1268">
        <v>55</v>
      </c>
      <c r="C1268" s="5" t="str">
        <f>IFERROR(_xlfn.XLOOKUP(B1268, Customers_raw!A:A, Customers_raw!B:B), "Unknown Customer")</f>
        <v>Thomas Walker</v>
      </c>
      <c r="D1268" s="1">
        <v>45978</v>
      </c>
      <c r="E1268" s="1" t="str">
        <f t="shared" si="57"/>
        <v>2025-11</v>
      </c>
      <c r="F1268" t="s">
        <v>13</v>
      </c>
      <c r="G1268" t="s">
        <v>7</v>
      </c>
      <c r="H1268">
        <v>-3</v>
      </c>
      <c r="I1268" s="2">
        <v>32</v>
      </c>
      <c r="J1268" s="2">
        <f t="shared" si="58"/>
        <v>-96</v>
      </c>
      <c r="K1268" s="2" t="str">
        <f t="shared" si="59"/>
        <v>Return</v>
      </c>
      <c r="L1268" t="s">
        <v>8</v>
      </c>
    </row>
    <row r="1269" spans="1:12" x14ac:dyDescent="0.25">
      <c r="A1269">
        <v>6267</v>
      </c>
      <c r="B1269">
        <v>79</v>
      </c>
      <c r="C1269" s="5" t="str">
        <f>IFERROR(_xlfn.XLOOKUP(B1269, Customers_raw!A:A, Customers_raw!B:B), "Unknown Customer")</f>
        <v>Nancy Jackson</v>
      </c>
      <c r="D1269" s="1">
        <v>45946</v>
      </c>
      <c r="E1269" s="1" t="str">
        <f t="shared" si="57"/>
        <v>2025-10</v>
      </c>
      <c r="F1269" t="s">
        <v>21</v>
      </c>
      <c r="G1269" t="s">
        <v>17</v>
      </c>
      <c r="H1269">
        <v>1</v>
      </c>
      <c r="I1269" s="2">
        <v>63</v>
      </c>
      <c r="J1269" s="2">
        <f t="shared" si="58"/>
        <v>63</v>
      </c>
      <c r="K1269" s="2" t="str">
        <f t="shared" si="59"/>
        <v>Sale</v>
      </c>
      <c r="L1269" t="s">
        <v>5</v>
      </c>
    </row>
    <row r="1270" spans="1:12" x14ac:dyDescent="0.25">
      <c r="A1270">
        <v>6268</v>
      </c>
      <c r="B1270">
        <v>108</v>
      </c>
      <c r="C1270" s="5" t="str">
        <f>IFERROR(_xlfn.XLOOKUP(B1270, Customers_raw!A:A, Customers_raw!B:B), "Unknown Customer")</f>
        <v>Charles Perez</v>
      </c>
      <c r="D1270" s="1">
        <v>45957</v>
      </c>
      <c r="E1270" s="1" t="str">
        <f t="shared" si="57"/>
        <v>2025-10</v>
      </c>
      <c r="F1270" t="s">
        <v>13</v>
      </c>
      <c r="G1270" t="s">
        <v>7</v>
      </c>
      <c r="H1270">
        <v>1</v>
      </c>
      <c r="I1270" s="2">
        <v>32</v>
      </c>
      <c r="J1270" s="2">
        <f t="shared" si="58"/>
        <v>32</v>
      </c>
      <c r="K1270" s="2" t="str">
        <f t="shared" si="59"/>
        <v>Sale</v>
      </c>
      <c r="L1270" t="s">
        <v>8</v>
      </c>
    </row>
    <row r="1271" spans="1:12" x14ac:dyDescent="0.25">
      <c r="A1271">
        <v>6269</v>
      </c>
      <c r="B1271">
        <v>68</v>
      </c>
      <c r="C1271" s="5" t="str">
        <f>IFERROR(_xlfn.XLOOKUP(B1271, Customers_raw!A:A, Customers_raw!B:B), "Unknown Customer")</f>
        <v>James Hernandez</v>
      </c>
      <c r="D1271" s="1">
        <v>45988</v>
      </c>
      <c r="E1271" s="1" t="str">
        <f t="shared" si="57"/>
        <v>2025-11</v>
      </c>
      <c r="F1271" t="s">
        <v>12</v>
      </c>
      <c r="G1271" t="s">
        <v>10</v>
      </c>
      <c r="H1271">
        <v>3</v>
      </c>
      <c r="I1271" s="2">
        <v>22</v>
      </c>
      <c r="J1271" s="2">
        <f t="shared" si="58"/>
        <v>66</v>
      </c>
      <c r="K1271" s="2" t="str">
        <f t="shared" si="59"/>
        <v>Sale</v>
      </c>
      <c r="L1271" t="s">
        <v>8</v>
      </c>
    </row>
    <row r="1272" spans="1:12" x14ac:dyDescent="0.25">
      <c r="A1272">
        <v>6270</v>
      </c>
      <c r="B1272">
        <v>58</v>
      </c>
      <c r="C1272" s="5" t="str">
        <f>IFERROR(_xlfn.XLOOKUP(B1272, Customers_raw!A:A, Customers_raw!B:B), "Unknown Customer")</f>
        <v>Thomas Robinson</v>
      </c>
      <c r="D1272" s="1">
        <v>45813</v>
      </c>
      <c r="E1272" s="1" t="str">
        <f t="shared" si="57"/>
        <v>2025-06</v>
      </c>
      <c r="F1272" t="s">
        <v>19</v>
      </c>
      <c r="G1272" t="s">
        <v>17</v>
      </c>
      <c r="H1272">
        <v>2</v>
      </c>
      <c r="I1272" s="2">
        <v>19</v>
      </c>
      <c r="J1272" s="2">
        <f t="shared" si="58"/>
        <v>38</v>
      </c>
      <c r="K1272" s="2" t="str">
        <f t="shared" si="59"/>
        <v>Sale</v>
      </c>
      <c r="L1272" t="s">
        <v>27</v>
      </c>
    </row>
    <row r="1273" spans="1:12" x14ac:dyDescent="0.25">
      <c r="A1273">
        <v>6271</v>
      </c>
      <c r="B1273">
        <v>53</v>
      </c>
      <c r="C1273" s="5" t="str">
        <f>IFERROR(_xlfn.XLOOKUP(B1273, Customers_raw!A:A, Customers_raw!B:B), "Unknown Customer")</f>
        <v>John Thomas</v>
      </c>
      <c r="D1273" s="1">
        <v>45999</v>
      </c>
      <c r="E1273" s="1" t="str">
        <f t="shared" si="57"/>
        <v>2025-12</v>
      </c>
      <c r="F1273" t="s">
        <v>9</v>
      </c>
      <c r="G1273" t="s">
        <v>6</v>
      </c>
      <c r="H1273">
        <v>1</v>
      </c>
      <c r="I1273" s="2">
        <v>42</v>
      </c>
      <c r="J1273" s="2">
        <f t="shared" si="58"/>
        <v>42</v>
      </c>
      <c r="K1273" s="2" t="str">
        <f t="shared" si="59"/>
        <v>Sale</v>
      </c>
      <c r="L1273" t="s">
        <v>27</v>
      </c>
    </row>
    <row r="1274" spans="1:12" x14ac:dyDescent="0.25">
      <c r="A1274">
        <v>6272</v>
      </c>
      <c r="B1274">
        <v>45</v>
      </c>
      <c r="C1274" s="5" t="str">
        <f>IFERROR(_xlfn.XLOOKUP(B1274, Customers_raw!A:A, Customers_raw!B:B), "Unknown Customer")</f>
        <v>Michael Moore</v>
      </c>
      <c r="D1274" s="1">
        <v>45913</v>
      </c>
      <c r="E1274" s="1" t="str">
        <f t="shared" si="57"/>
        <v>2025-09</v>
      </c>
      <c r="F1274" t="s">
        <v>14</v>
      </c>
      <c r="G1274" t="s">
        <v>7</v>
      </c>
      <c r="H1274">
        <v>1</v>
      </c>
      <c r="I1274" s="2">
        <v>52</v>
      </c>
      <c r="J1274" s="2">
        <f t="shared" si="58"/>
        <v>52</v>
      </c>
      <c r="K1274" s="2" t="str">
        <f t="shared" si="59"/>
        <v>Sale</v>
      </c>
      <c r="L1274" t="s">
        <v>5</v>
      </c>
    </row>
    <row r="1275" spans="1:12" x14ac:dyDescent="0.25">
      <c r="A1275">
        <v>6273</v>
      </c>
      <c r="B1275">
        <v>82</v>
      </c>
      <c r="C1275" s="5" t="str">
        <f>IFERROR(_xlfn.XLOOKUP(B1275, Customers_raw!A:A, Customers_raw!B:B), "Unknown Customer")</f>
        <v>Thomas Ramirez</v>
      </c>
      <c r="D1275" s="1">
        <v>45752</v>
      </c>
      <c r="E1275" s="1" t="str">
        <f t="shared" si="57"/>
        <v>2025-04</v>
      </c>
      <c r="F1275" t="s">
        <v>22</v>
      </c>
      <c r="G1275" t="s">
        <v>17</v>
      </c>
      <c r="H1275">
        <v>1</v>
      </c>
      <c r="I1275" s="2">
        <v>27</v>
      </c>
      <c r="J1275" s="2">
        <f t="shared" si="58"/>
        <v>27</v>
      </c>
      <c r="K1275" s="2" t="str">
        <f t="shared" si="59"/>
        <v>Sale</v>
      </c>
      <c r="L1275" t="s">
        <v>8</v>
      </c>
    </row>
    <row r="1276" spans="1:12" x14ac:dyDescent="0.25">
      <c r="A1276">
        <v>6274</v>
      </c>
      <c r="B1276">
        <v>70</v>
      </c>
      <c r="C1276" s="5" t="str">
        <f>IFERROR(_xlfn.XLOOKUP(B1276, Customers_raw!A:A, Customers_raw!B:B), "Unknown Customer")</f>
        <v>Karen Perez</v>
      </c>
      <c r="D1276" s="1">
        <v>45824</v>
      </c>
      <c r="E1276" s="1" t="str">
        <f t="shared" si="57"/>
        <v>2025-06</v>
      </c>
      <c r="F1276" t="s">
        <v>16</v>
      </c>
      <c r="G1276" t="s">
        <v>10</v>
      </c>
      <c r="H1276">
        <v>2</v>
      </c>
      <c r="I1276" s="2">
        <v>28</v>
      </c>
      <c r="J1276" s="2">
        <f t="shared" si="58"/>
        <v>56</v>
      </c>
      <c r="K1276" s="2" t="str">
        <f t="shared" si="59"/>
        <v>Sale</v>
      </c>
      <c r="L1276" t="s">
        <v>5</v>
      </c>
    </row>
    <row r="1277" spans="1:12" x14ac:dyDescent="0.25">
      <c r="A1277">
        <v>6275</v>
      </c>
      <c r="B1277">
        <v>83</v>
      </c>
      <c r="C1277" s="5" t="str">
        <f>IFERROR(_xlfn.XLOOKUP(B1277, Customers_raw!A:A, Customers_raw!B:B), "Unknown Customer")</f>
        <v>Mary Martinez</v>
      </c>
      <c r="D1277" s="1">
        <v>45758</v>
      </c>
      <c r="E1277" s="1" t="str">
        <f t="shared" si="57"/>
        <v>2025-04</v>
      </c>
      <c r="F1277" t="s">
        <v>14</v>
      </c>
      <c r="G1277" t="s">
        <v>7</v>
      </c>
      <c r="H1277">
        <v>2</v>
      </c>
      <c r="I1277" s="2">
        <v>52</v>
      </c>
      <c r="J1277" s="2">
        <f t="shared" si="58"/>
        <v>104</v>
      </c>
      <c r="K1277" s="2" t="str">
        <f t="shared" si="59"/>
        <v>Sale</v>
      </c>
      <c r="L1277" t="s">
        <v>5</v>
      </c>
    </row>
    <row r="1278" spans="1:12" x14ac:dyDescent="0.25">
      <c r="A1278">
        <v>6276</v>
      </c>
      <c r="B1278">
        <v>99</v>
      </c>
      <c r="C1278" s="5" t="str">
        <f>IFERROR(_xlfn.XLOOKUP(B1278, Customers_raw!A:A, Customers_raw!B:B), "Unknown Customer")</f>
        <v>Steven Thomas</v>
      </c>
      <c r="D1278" s="1">
        <v>46003</v>
      </c>
      <c r="E1278" s="1" t="str">
        <f t="shared" si="57"/>
        <v>2025-12</v>
      </c>
      <c r="F1278" t="s">
        <v>15</v>
      </c>
      <c r="G1278" t="s">
        <v>7</v>
      </c>
      <c r="H1278">
        <v>-1</v>
      </c>
      <c r="I1278" s="2">
        <v>73</v>
      </c>
      <c r="J1278" s="2">
        <f t="shared" si="58"/>
        <v>-73</v>
      </c>
      <c r="K1278" s="2" t="str">
        <f t="shared" si="59"/>
        <v>Return</v>
      </c>
      <c r="L1278" t="s">
        <v>5</v>
      </c>
    </row>
    <row r="1279" spans="1:12" x14ac:dyDescent="0.25">
      <c r="A1279">
        <v>6277</v>
      </c>
      <c r="B1279">
        <v>31</v>
      </c>
      <c r="C1279" s="5" t="str">
        <f>IFERROR(_xlfn.XLOOKUP(B1279, Customers_raw!A:A, Customers_raw!B:B), "Unknown Customer")</f>
        <v>Nancy Harris</v>
      </c>
      <c r="D1279" s="1">
        <v>45963</v>
      </c>
      <c r="E1279" s="1" t="str">
        <f t="shared" si="57"/>
        <v>2025-11</v>
      </c>
      <c r="F1279" t="s">
        <v>14</v>
      </c>
      <c r="G1279" t="s">
        <v>7</v>
      </c>
      <c r="H1279">
        <v>1</v>
      </c>
      <c r="I1279" s="2">
        <v>58</v>
      </c>
      <c r="J1279" s="2">
        <f t="shared" si="58"/>
        <v>58</v>
      </c>
      <c r="K1279" s="2" t="str">
        <f t="shared" si="59"/>
        <v>Sale</v>
      </c>
      <c r="L1279" t="s">
        <v>27</v>
      </c>
    </row>
    <row r="1280" spans="1:12" x14ac:dyDescent="0.25">
      <c r="A1280">
        <v>6278</v>
      </c>
      <c r="B1280">
        <v>101</v>
      </c>
      <c r="C1280" s="5" t="str">
        <f>IFERROR(_xlfn.XLOOKUP(B1280, Customers_raw!A:A, Customers_raw!B:B), "Unknown Customer")</f>
        <v>David Lee</v>
      </c>
      <c r="D1280" s="1">
        <v>45903</v>
      </c>
      <c r="E1280" s="1" t="str">
        <f t="shared" si="57"/>
        <v>2025-09</v>
      </c>
      <c r="F1280" t="s">
        <v>20</v>
      </c>
      <c r="G1280" t="s">
        <v>10</v>
      </c>
      <c r="H1280">
        <v>1</v>
      </c>
      <c r="I1280" s="2">
        <v>65</v>
      </c>
      <c r="J1280" s="2">
        <f t="shared" si="58"/>
        <v>65</v>
      </c>
      <c r="K1280" s="2" t="str">
        <f t="shared" si="59"/>
        <v>Sale</v>
      </c>
      <c r="L1280" t="s">
        <v>8</v>
      </c>
    </row>
    <row r="1281" spans="1:12" x14ac:dyDescent="0.25">
      <c r="A1281">
        <v>6279</v>
      </c>
      <c r="B1281">
        <v>102</v>
      </c>
      <c r="C1281" s="5" t="str">
        <f>IFERROR(_xlfn.XLOOKUP(B1281, Customers_raw!A:A, Customers_raw!B:B), "Unknown Customer")</f>
        <v>Ashley Wilson</v>
      </c>
      <c r="D1281" s="1">
        <v>45783</v>
      </c>
      <c r="E1281" s="1" t="str">
        <f t="shared" si="57"/>
        <v>2025-05</v>
      </c>
      <c r="F1281" t="s">
        <v>12</v>
      </c>
      <c r="G1281" t="s">
        <v>10</v>
      </c>
      <c r="H1281">
        <v>1</v>
      </c>
      <c r="I1281" s="2">
        <v>25</v>
      </c>
      <c r="J1281" s="2">
        <f t="shared" si="58"/>
        <v>25</v>
      </c>
      <c r="K1281" s="2" t="str">
        <f t="shared" si="59"/>
        <v>Sale</v>
      </c>
      <c r="L1281" t="s">
        <v>8</v>
      </c>
    </row>
    <row r="1282" spans="1:12" x14ac:dyDescent="0.25">
      <c r="A1282">
        <v>6280</v>
      </c>
      <c r="B1282">
        <v>37</v>
      </c>
      <c r="C1282" s="5" t="str">
        <f>IFERROR(_xlfn.XLOOKUP(B1282, Customers_raw!A:A, Customers_raw!B:B), "Unknown Customer")</f>
        <v>Kenneth Lopez</v>
      </c>
      <c r="D1282" s="1">
        <v>45848</v>
      </c>
      <c r="E1282" s="1" t="str">
        <f t="shared" si="57"/>
        <v>2025-07</v>
      </c>
      <c r="F1282" t="s">
        <v>12</v>
      </c>
      <c r="G1282" t="s">
        <v>10</v>
      </c>
      <c r="H1282">
        <v>3</v>
      </c>
      <c r="I1282" s="2">
        <v>22</v>
      </c>
      <c r="J1282" s="2">
        <f t="shared" si="58"/>
        <v>66</v>
      </c>
      <c r="K1282" s="2" t="str">
        <f t="shared" si="59"/>
        <v>Sale</v>
      </c>
      <c r="L1282" t="s">
        <v>5</v>
      </c>
    </row>
    <row r="1283" spans="1:12" x14ac:dyDescent="0.25">
      <c r="A1283">
        <v>6281</v>
      </c>
      <c r="B1283">
        <v>6</v>
      </c>
      <c r="C1283" s="5" t="str">
        <f>IFERROR(_xlfn.XLOOKUP(B1283, Customers_raw!A:A, Customers_raw!B:B), "Unknown Customer")</f>
        <v>David Martinez</v>
      </c>
      <c r="D1283" s="1">
        <v>45954</v>
      </c>
      <c r="E1283" s="1" t="str">
        <f t="shared" ref="E1283:E1301" si="60">TEXT(D:D,"YYYY-MM")</f>
        <v>2025-10</v>
      </c>
      <c r="F1283" t="s">
        <v>14</v>
      </c>
      <c r="G1283" t="s">
        <v>7</v>
      </c>
      <c r="H1283">
        <v>3</v>
      </c>
      <c r="I1283" s="2">
        <v>52</v>
      </c>
      <c r="J1283" s="2">
        <f t="shared" ref="J1283:J1301" si="61">H1283*I1283</f>
        <v>156</v>
      </c>
      <c r="K1283" s="2" t="str">
        <f t="shared" ref="K1283:K1301" si="62">IF(H1283&lt;0,"Return","Sale")</f>
        <v>Sale</v>
      </c>
      <c r="L1283" t="s">
        <v>5</v>
      </c>
    </row>
    <row r="1284" spans="1:12" x14ac:dyDescent="0.25">
      <c r="A1284">
        <v>6282</v>
      </c>
      <c r="B1284">
        <v>86</v>
      </c>
      <c r="C1284" s="5" t="str">
        <f>IFERROR(_xlfn.XLOOKUP(B1284, Customers_raw!A:A, Customers_raw!B:B), "Unknown Customer")</f>
        <v>Steven Jones</v>
      </c>
      <c r="D1284" s="1">
        <v>45718</v>
      </c>
      <c r="E1284" s="1" t="str">
        <f t="shared" si="60"/>
        <v>2025-03</v>
      </c>
      <c r="F1284" t="s">
        <v>11</v>
      </c>
      <c r="G1284" t="s">
        <v>6</v>
      </c>
      <c r="H1284">
        <v>1</v>
      </c>
      <c r="I1284" s="2">
        <v>15</v>
      </c>
      <c r="J1284" s="2">
        <f t="shared" si="61"/>
        <v>15</v>
      </c>
      <c r="K1284" s="2" t="str">
        <f t="shared" si="62"/>
        <v>Sale</v>
      </c>
      <c r="L1284" t="s">
        <v>8</v>
      </c>
    </row>
    <row r="1285" spans="1:12" x14ac:dyDescent="0.25">
      <c r="A1285">
        <v>6283</v>
      </c>
      <c r="B1285">
        <v>92</v>
      </c>
      <c r="C1285" s="5" t="str">
        <f>IFERROR(_xlfn.XLOOKUP(B1285, Customers_raw!A:A, Customers_raw!B:B), "Unknown Customer")</f>
        <v>Joseph Harris</v>
      </c>
      <c r="D1285" s="1">
        <v>45702</v>
      </c>
      <c r="E1285" s="1" t="str">
        <f t="shared" si="60"/>
        <v>2025-02</v>
      </c>
      <c r="F1285" t="s">
        <v>16</v>
      </c>
      <c r="G1285" t="s">
        <v>10</v>
      </c>
      <c r="H1285">
        <v>1</v>
      </c>
      <c r="I1285" s="2">
        <v>28</v>
      </c>
      <c r="J1285" s="2">
        <f t="shared" si="61"/>
        <v>28</v>
      </c>
      <c r="K1285" s="2" t="str">
        <f t="shared" si="62"/>
        <v>Sale</v>
      </c>
      <c r="L1285" t="s">
        <v>23</v>
      </c>
    </row>
    <row r="1286" spans="1:12" x14ac:dyDescent="0.25">
      <c r="A1286">
        <v>6284</v>
      </c>
      <c r="B1286">
        <v>65</v>
      </c>
      <c r="C1286" s="5" t="str">
        <f>IFERROR(_xlfn.XLOOKUP(B1286, Customers_raw!A:A, Customers_raw!B:B), "Unknown Customer")</f>
        <v>Betty Jones</v>
      </c>
      <c r="D1286" s="1">
        <v>46000</v>
      </c>
      <c r="E1286" s="1" t="str">
        <f t="shared" si="60"/>
        <v>2025-12</v>
      </c>
      <c r="F1286" t="s">
        <v>22</v>
      </c>
      <c r="G1286" t="s">
        <v>17</v>
      </c>
      <c r="H1286">
        <v>1</v>
      </c>
      <c r="I1286" s="2">
        <v>24</v>
      </c>
      <c r="J1286" s="2">
        <f t="shared" si="61"/>
        <v>24</v>
      </c>
      <c r="K1286" s="2" t="str">
        <f t="shared" si="62"/>
        <v>Sale</v>
      </c>
      <c r="L1286" t="s">
        <v>5</v>
      </c>
    </row>
    <row r="1287" spans="1:12" x14ac:dyDescent="0.25">
      <c r="A1287">
        <v>6285</v>
      </c>
      <c r="B1287">
        <v>44</v>
      </c>
      <c r="C1287" s="5" t="str">
        <f>IFERROR(_xlfn.XLOOKUP(B1287, Customers_raw!A:A, Customers_raw!B:B), "Unknown Customer")</f>
        <v>Emily Jackson</v>
      </c>
      <c r="D1287" s="1">
        <v>45863</v>
      </c>
      <c r="E1287" s="1" t="str">
        <f t="shared" si="60"/>
        <v>2025-07</v>
      </c>
      <c r="F1287" t="s">
        <v>14</v>
      </c>
      <c r="G1287" t="s">
        <v>7</v>
      </c>
      <c r="H1287">
        <v>-1</v>
      </c>
      <c r="I1287" s="2">
        <v>55</v>
      </c>
      <c r="J1287" s="2">
        <f t="shared" si="61"/>
        <v>-55</v>
      </c>
      <c r="K1287" s="2" t="str">
        <f t="shared" si="62"/>
        <v>Return</v>
      </c>
      <c r="L1287" t="s">
        <v>5</v>
      </c>
    </row>
    <row r="1288" spans="1:12" x14ac:dyDescent="0.25">
      <c r="A1288">
        <v>6286</v>
      </c>
      <c r="B1288">
        <v>62</v>
      </c>
      <c r="C1288" s="5" t="str">
        <f>IFERROR(_xlfn.XLOOKUP(B1288, Customers_raw!A:A, Customers_raw!B:B), "Unknown Customer")</f>
        <v>Mary Wilson</v>
      </c>
      <c r="D1288" s="1">
        <v>45803</v>
      </c>
      <c r="E1288" s="1" t="str">
        <f t="shared" si="60"/>
        <v>2025-05</v>
      </c>
      <c r="F1288" t="s">
        <v>9</v>
      </c>
      <c r="G1288" t="s">
        <v>6</v>
      </c>
      <c r="H1288">
        <v>2</v>
      </c>
      <c r="I1288" s="2">
        <v>48</v>
      </c>
      <c r="J1288" s="2">
        <f t="shared" si="61"/>
        <v>96</v>
      </c>
      <c r="K1288" s="2" t="str">
        <f t="shared" si="62"/>
        <v>Sale</v>
      </c>
      <c r="L1288" t="s">
        <v>27</v>
      </c>
    </row>
    <row r="1289" spans="1:12" x14ac:dyDescent="0.25">
      <c r="A1289">
        <v>6287</v>
      </c>
      <c r="B1289">
        <v>63</v>
      </c>
      <c r="C1289" s="5" t="str">
        <f>IFERROR(_xlfn.XLOOKUP(B1289, Customers_raw!A:A, Customers_raw!B:B), "Unknown Customer")</f>
        <v>Joseph Robinson</v>
      </c>
      <c r="D1289" s="1">
        <v>45754</v>
      </c>
      <c r="E1289" s="1" t="str">
        <f t="shared" si="60"/>
        <v>2025-04</v>
      </c>
      <c r="F1289" t="s">
        <v>22</v>
      </c>
      <c r="G1289" t="s">
        <v>17</v>
      </c>
      <c r="H1289">
        <v>-3</v>
      </c>
      <c r="I1289" s="2">
        <v>23.742857142857144</v>
      </c>
      <c r="J1289" s="2">
        <f t="shared" si="61"/>
        <v>-71.228571428571428</v>
      </c>
      <c r="K1289" s="2" t="str">
        <f t="shared" si="62"/>
        <v>Return</v>
      </c>
      <c r="L1289" t="s">
        <v>27</v>
      </c>
    </row>
    <row r="1290" spans="1:12" x14ac:dyDescent="0.25">
      <c r="A1290">
        <v>6288</v>
      </c>
      <c r="B1290">
        <v>39</v>
      </c>
      <c r="C1290" s="5" t="str">
        <f>IFERROR(_xlfn.XLOOKUP(B1290, Customers_raw!A:A, Customers_raw!B:B), "Unknown Customer")</f>
        <v>Donald Lee</v>
      </c>
      <c r="D1290" s="1">
        <v>45801</v>
      </c>
      <c r="E1290" s="1" t="str">
        <f t="shared" si="60"/>
        <v>2025-05</v>
      </c>
      <c r="F1290" t="s">
        <v>11</v>
      </c>
      <c r="G1290" t="s">
        <v>6</v>
      </c>
      <c r="H1290">
        <v>2</v>
      </c>
      <c r="I1290" s="2">
        <v>18</v>
      </c>
      <c r="J1290" s="2">
        <f t="shared" si="61"/>
        <v>36</v>
      </c>
      <c r="K1290" s="2" t="str">
        <f t="shared" si="62"/>
        <v>Sale</v>
      </c>
      <c r="L1290" t="s">
        <v>5</v>
      </c>
    </row>
    <row r="1291" spans="1:12" x14ac:dyDescent="0.25">
      <c r="A1291">
        <v>6289</v>
      </c>
      <c r="B1291">
        <v>63</v>
      </c>
      <c r="C1291" s="5" t="str">
        <f>IFERROR(_xlfn.XLOOKUP(B1291, Customers_raw!A:A, Customers_raw!B:B), "Unknown Customer")</f>
        <v>Joseph Robinson</v>
      </c>
      <c r="D1291" s="1">
        <v>45859</v>
      </c>
      <c r="E1291" s="1" t="str">
        <f t="shared" si="60"/>
        <v>2025-07</v>
      </c>
      <c r="F1291" t="s">
        <v>12</v>
      </c>
      <c r="G1291" t="s">
        <v>10</v>
      </c>
      <c r="H1291">
        <v>3</v>
      </c>
      <c r="I1291" s="2">
        <v>22</v>
      </c>
      <c r="J1291" s="2">
        <f t="shared" si="61"/>
        <v>66</v>
      </c>
      <c r="K1291" s="2" t="str">
        <f t="shared" si="62"/>
        <v>Sale</v>
      </c>
      <c r="L1291" t="s">
        <v>27</v>
      </c>
    </row>
    <row r="1292" spans="1:12" x14ac:dyDescent="0.25">
      <c r="A1292">
        <v>6290</v>
      </c>
      <c r="B1292">
        <v>7</v>
      </c>
      <c r="C1292" s="5" t="str">
        <f>IFERROR(_xlfn.XLOOKUP(B1292, Customers_raw!A:A, Customers_raw!B:B), "Unknown Customer")</f>
        <v>Emily Ramirez</v>
      </c>
      <c r="D1292" s="1">
        <v>46011</v>
      </c>
      <c r="E1292" s="1" t="str">
        <f t="shared" si="60"/>
        <v>2025-12</v>
      </c>
      <c r="F1292" t="s">
        <v>9</v>
      </c>
      <c r="G1292" t="s">
        <v>6</v>
      </c>
      <c r="H1292">
        <v>3</v>
      </c>
      <c r="I1292" s="2">
        <v>45</v>
      </c>
      <c r="J1292" s="2">
        <f t="shared" si="61"/>
        <v>135</v>
      </c>
      <c r="K1292" s="2" t="str">
        <f t="shared" si="62"/>
        <v>Sale</v>
      </c>
      <c r="L1292" t="s">
        <v>8</v>
      </c>
    </row>
    <row r="1293" spans="1:12" x14ac:dyDescent="0.25">
      <c r="A1293">
        <v>6291</v>
      </c>
      <c r="B1293">
        <v>33</v>
      </c>
      <c r="C1293" s="5" t="str">
        <f>IFERROR(_xlfn.XLOOKUP(B1293, Customers_raw!A:A, Customers_raw!B:B), "Unknown Customer")</f>
        <v>Jennifer White</v>
      </c>
      <c r="D1293" s="1">
        <v>45964</v>
      </c>
      <c r="E1293" s="1" t="str">
        <f t="shared" si="60"/>
        <v>2025-11</v>
      </c>
      <c r="F1293" t="s">
        <v>18</v>
      </c>
      <c r="G1293" t="s">
        <v>6</v>
      </c>
      <c r="H1293">
        <v>3</v>
      </c>
      <c r="I1293" s="2">
        <v>89</v>
      </c>
      <c r="J1293" s="2">
        <f t="shared" si="61"/>
        <v>267</v>
      </c>
      <c r="K1293" s="2" t="str">
        <f t="shared" si="62"/>
        <v>Sale</v>
      </c>
      <c r="L1293" t="s">
        <v>8</v>
      </c>
    </row>
    <row r="1294" spans="1:12" x14ac:dyDescent="0.25">
      <c r="A1294">
        <v>6292</v>
      </c>
      <c r="B1294">
        <v>71</v>
      </c>
      <c r="C1294" s="5" t="str">
        <f>IFERROR(_xlfn.XLOOKUP(B1294, Customers_raw!A:A, Customers_raw!B:B), "Unknown Customer")</f>
        <v>Barbara Rodriguez</v>
      </c>
      <c r="D1294" s="1">
        <v>45718</v>
      </c>
      <c r="E1294" s="1" t="str">
        <f t="shared" si="60"/>
        <v>2025-03</v>
      </c>
      <c r="F1294" t="s">
        <v>12</v>
      </c>
      <c r="G1294" t="s">
        <v>10</v>
      </c>
      <c r="H1294">
        <v>3</v>
      </c>
      <c r="I1294" s="2">
        <v>22</v>
      </c>
      <c r="J1294" s="2">
        <f t="shared" si="61"/>
        <v>66</v>
      </c>
      <c r="K1294" s="2" t="str">
        <f t="shared" si="62"/>
        <v>Sale</v>
      </c>
      <c r="L1294" t="s">
        <v>8</v>
      </c>
    </row>
    <row r="1295" spans="1:12" x14ac:dyDescent="0.25">
      <c r="A1295">
        <v>6293</v>
      </c>
      <c r="B1295">
        <v>45</v>
      </c>
      <c r="C1295" s="5" t="str">
        <f>IFERROR(_xlfn.XLOOKUP(B1295, Customers_raw!A:A, Customers_raw!B:B), "Unknown Customer")</f>
        <v>Michael Moore</v>
      </c>
      <c r="D1295" s="1">
        <v>45822</v>
      </c>
      <c r="E1295" s="1" t="str">
        <f t="shared" si="60"/>
        <v>2025-06</v>
      </c>
      <c r="F1295" t="s">
        <v>21</v>
      </c>
      <c r="G1295" t="s">
        <v>17</v>
      </c>
      <c r="H1295">
        <v>2</v>
      </c>
      <c r="I1295" s="2">
        <v>63</v>
      </c>
      <c r="J1295" s="2">
        <f t="shared" si="61"/>
        <v>126</v>
      </c>
      <c r="K1295" s="2" t="str">
        <f t="shared" si="62"/>
        <v>Sale</v>
      </c>
      <c r="L1295" t="s">
        <v>5</v>
      </c>
    </row>
    <row r="1296" spans="1:12" x14ac:dyDescent="0.25">
      <c r="A1296">
        <v>6294</v>
      </c>
      <c r="B1296">
        <v>14</v>
      </c>
      <c r="C1296" s="5" t="str">
        <f>IFERROR(_xlfn.XLOOKUP(B1296, Customers_raw!A:A, Customers_raw!B:B), "Unknown Customer")</f>
        <v>Christopher Hernandez</v>
      </c>
      <c r="D1296" s="1">
        <v>45935</v>
      </c>
      <c r="E1296" s="1" t="str">
        <f t="shared" si="60"/>
        <v>2025-10</v>
      </c>
      <c r="F1296" t="s">
        <v>22</v>
      </c>
      <c r="G1296" t="s">
        <v>17</v>
      </c>
      <c r="H1296">
        <v>1</v>
      </c>
      <c r="I1296" s="2">
        <v>21</v>
      </c>
      <c r="J1296" s="2">
        <f t="shared" si="61"/>
        <v>21</v>
      </c>
      <c r="K1296" s="2" t="str">
        <f t="shared" si="62"/>
        <v>Sale</v>
      </c>
      <c r="L1296" t="s">
        <v>27</v>
      </c>
    </row>
    <row r="1297" spans="1:12" x14ac:dyDescent="0.25">
      <c r="A1297">
        <v>6295</v>
      </c>
      <c r="B1297">
        <v>104</v>
      </c>
      <c r="C1297" s="5" t="str">
        <f>IFERROR(_xlfn.XLOOKUP(B1297, Customers_raw!A:A, Customers_raw!B:B), "Unknown Customer")</f>
        <v>Christopher Brown</v>
      </c>
      <c r="D1297" s="1">
        <v>45887</v>
      </c>
      <c r="E1297" s="1" t="str">
        <f t="shared" si="60"/>
        <v>2025-08</v>
      </c>
      <c r="F1297" t="s">
        <v>9</v>
      </c>
      <c r="G1297" t="s">
        <v>6</v>
      </c>
      <c r="H1297">
        <v>1</v>
      </c>
      <c r="I1297" s="2">
        <v>42</v>
      </c>
      <c r="J1297" s="2">
        <f t="shared" si="61"/>
        <v>42</v>
      </c>
      <c r="K1297" s="2" t="str">
        <f t="shared" si="62"/>
        <v>Sale</v>
      </c>
      <c r="L1297" t="s">
        <v>5</v>
      </c>
    </row>
    <row r="1298" spans="1:12" x14ac:dyDescent="0.25">
      <c r="A1298">
        <v>6296</v>
      </c>
      <c r="B1298">
        <v>28</v>
      </c>
      <c r="C1298" s="5" t="str">
        <f>IFERROR(_xlfn.XLOOKUP(B1298, Customers_raw!A:A, Customers_raw!B:B), "Unknown Customer")</f>
        <v>Michael Lopez</v>
      </c>
      <c r="D1298" s="1">
        <v>45961</v>
      </c>
      <c r="E1298" s="1" t="str">
        <f t="shared" si="60"/>
        <v>2025-10</v>
      </c>
      <c r="F1298" t="s">
        <v>21</v>
      </c>
      <c r="G1298" t="s">
        <v>17</v>
      </c>
      <c r="H1298">
        <v>1</v>
      </c>
      <c r="I1298" s="2">
        <v>60</v>
      </c>
      <c r="J1298" s="2">
        <f t="shared" si="61"/>
        <v>60</v>
      </c>
      <c r="K1298" s="2" t="str">
        <f t="shared" si="62"/>
        <v>Sale</v>
      </c>
      <c r="L1298" t="s">
        <v>27</v>
      </c>
    </row>
    <row r="1299" spans="1:12" x14ac:dyDescent="0.25">
      <c r="A1299">
        <v>6297</v>
      </c>
      <c r="B1299">
        <v>97</v>
      </c>
      <c r="C1299" s="5" t="str">
        <f>IFERROR(_xlfn.XLOOKUP(B1299, Customers_raw!A:A, Customers_raw!B:B), "Unknown Customer")</f>
        <v>Charles Thomas</v>
      </c>
      <c r="D1299" s="1">
        <v>45709</v>
      </c>
      <c r="E1299" s="1" t="str">
        <f t="shared" si="60"/>
        <v>2025-02</v>
      </c>
      <c r="F1299" t="s">
        <v>16</v>
      </c>
      <c r="G1299" t="s">
        <v>10</v>
      </c>
      <c r="H1299">
        <v>1</v>
      </c>
      <c r="I1299" s="2">
        <v>31</v>
      </c>
      <c r="J1299" s="2">
        <f t="shared" si="61"/>
        <v>31</v>
      </c>
      <c r="K1299" s="2" t="str">
        <f t="shared" si="62"/>
        <v>Sale</v>
      </c>
      <c r="L1299" t="s">
        <v>5</v>
      </c>
    </row>
    <row r="1300" spans="1:12" x14ac:dyDescent="0.25">
      <c r="A1300">
        <v>6298</v>
      </c>
      <c r="B1300">
        <v>60</v>
      </c>
      <c r="C1300" s="5" t="str">
        <f>IFERROR(_xlfn.XLOOKUP(B1300, Customers_raw!A:A, Customers_raw!B:B), "Unknown Customer")</f>
        <v>Margaret Moore</v>
      </c>
      <c r="D1300" s="1">
        <v>45839</v>
      </c>
      <c r="E1300" s="1" t="str">
        <f t="shared" si="60"/>
        <v>2025-07</v>
      </c>
      <c r="F1300" t="s">
        <v>15</v>
      </c>
      <c r="G1300" t="s">
        <v>7</v>
      </c>
      <c r="H1300">
        <v>1</v>
      </c>
      <c r="I1300" s="2">
        <v>67</v>
      </c>
      <c r="J1300" s="2">
        <f t="shared" si="61"/>
        <v>67</v>
      </c>
      <c r="K1300" s="2" t="str">
        <f t="shared" si="62"/>
        <v>Sale</v>
      </c>
      <c r="L1300" t="s">
        <v>27</v>
      </c>
    </row>
    <row r="1301" spans="1:12" x14ac:dyDescent="0.25">
      <c r="A1301">
        <v>6299</v>
      </c>
      <c r="B1301">
        <v>109</v>
      </c>
      <c r="C1301" s="5" t="str">
        <f>IFERROR(_xlfn.XLOOKUP(B1301, Customers_raw!A:A, Customers_raw!B:B), "Unknown Customer")</f>
        <v>Richard Sanchez</v>
      </c>
      <c r="D1301" s="1">
        <v>45743</v>
      </c>
      <c r="E1301" s="1" t="str">
        <f t="shared" si="60"/>
        <v>2025-03</v>
      </c>
      <c r="F1301" t="s">
        <v>14</v>
      </c>
      <c r="G1301" t="s">
        <v>7</v>
      </c>
      <c r="H1301">
        <v>-1</v>
      </c>
      <c r="I1301" s="2">
        <v>52</v>
      </c>
      <c r="J1301" s="2">
        <f t="shared" si="61"/>
        <v>-52</v>
      </c>
      <c r="K1301" s="2" t="str">
        <f t="shared" si="62"/>
        <v>Return</v>
      </c>
      <c r="L1301" t="s">
        <v>27</v>
      </c>
    </row>
  </sheetData>
  <autoFilter ref="A1:L1301" xr:uid="{A170A0D3-7DC6-4F0A-9831-226820DEFFE2}">
    <sortState xmlns:xlrd2="http://schemas.microsoft.com/office/spreadsheetml/2017/richdata2" ref="A2:L1301">
      <sortCondition ref="A1:A13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D0A5-9705-4F02-B02E-AFD1D9708207}">
  <dimension ref="A1:E111"/>
  <sheetViews>
    <sheetView workbookViewId="0">
      <selection activeCell="C20" sqref="C20"/>
    </sheetView>
  </sheetViews>
  <sheetFormatPr defaultRowHeight="15" x14ac:dyDescent="0.25"/>
  <cols>
    <col min="1" max="1" width="12" bestFit="1" customWidth="1"/>
    <col min="2" max="2" width="21.5703125" bestFit="1" customWidth="1"/>
    <col min="3" max="3" width="36.7109375" bestFit="1" customWidth="1"/>
    <col min="4" max="4" width="9.28515625" bestFit="1" customWidth="1"/>
    <col min="5" max="5" width="11.85546875" style="1" bestFit="1" customWidth="1"/>
  </cols>
  <sheetData>
    <row r="1" spans="1:5" x14ac:dyDescent="0.25">
      <c r="A1" t="s">
        <v>29</v>
      </c>
      <c r="B1" t="s">
        <v>30</v>
      </c>
      <c r="C1" t="s">
        <v>31</v>
      </c>
      <c r="D1" t="s">
        <v>32</v>
      </c>
      <c r="E1" s="1" t="s">
        <v>33</v>
      </c>
    </row>
    <row r="2" spans="1:5" x14ac:dyDescent="0.25">
      <c r="A2">
        <v>1</v>
      </c>
      <c r="B2" t="s">
        <v>34</v>
      </c>
      <c r="C2" t="s">
        <v>35</v>
      </c>
      <c r="D2" t="s">
        <v>36</v>
      </c>
      <c r="E2" s="1">
        <v>45341</v>
      </c>
    </row>
    <row r="3" spans="1:5" x14ac:dyDescent="0.25">
      <c r="A3">
        <v>2</v>
      </c>
      <c r="B3" t="s">
        <v>37</v>
      </c>
      <c r="C3" t="s">
        <v>38</v>
      </c>
      <c r="D3" t="s">
        <v>39</v>
      </c>
      <c r="E3" s="1">
        <v>45511</v>
      </c>
    </row>
    <row r="4" spans="1:5" x14ac:dyDescent="0.25">
      <c r="A4">
        <v>3</v>
      </c>
      <c r="B4" t="s">
        <v>40</v>
      </c>
      <c r="C4" t="s">
        <v>23</v>
      </c>
      <c r="D4" t="s">
        <v>41</v>
      </c>
      <c r="E4" s="1">
        <v>45856</v>
      </c>
    </row>
    <row r="5" spans="1:5" x14ac:dyDescent="0.25">
      <c r="A5">
        <v>4</v>
      </c>
      <c r="B5" t="s">
        <v>42</v>
      </c>
      <c r="C5" t="s">
        <v>43</v>
      </c>
      <c r="D5" t="s">
        <v>41</v>
      </c>
      <c r="E5" s="1">
        <v>45934</v>
      </c>
    </row>
    <row r="6" spans="1:5" x14ac:dyDescent="0.25">
      <c r="A6">
        <v>5</v>
      </c>
      <c r="B6" t="s">
        <v>44</v>
      </c>
      <c r="C6" t="s">
        <v>45</v>
      </c>
      <c r="D6" t="s">
        <v>36</v>
      </c>
      <c r="E6" s="1">
        <v>45518</v>
      </c>
    </row>
    <row r="7" spans="1:5" x14ac:dyDescent="0.25">
      <c r="A7">
        <v>6</v>
      </c>
      <c r="B7" t="s">
        <v>46</v>
      </c>
      <c r="C7" t="s">
        <v>47</v>
      </c>
      <c r="D7" t="s">
        <v>36</v>
      </c>
      <c r="E7" s="1">
        <v>45845</v>
      </c>
    </row>
    <row r="8" spans="1:5" x14ac:dyDescent="0.25">
      <c r="A8">
        <v>7</v>
      </c>
      <c r="B8" t="s">
        <v>48</v>
      </c>
      <c r="C8" t="s">
        <v>49</v>
      </c>
      <c r="D8" t="s">
        <v>50</v>
      </c>
      <c r="E8" s="1">
        <v>45887</v>
      </c>
    </row>
    <row r="9" spans="1:5" x14ac:dyDescent="0.25">
      <c r="A9">
        <v>8</v>
      </c>
      <c r="B9" t="s">
        <v>51</v>
      </c>
      <c r="C9" t="s">
        <v>52</v>
      </c>
      <c r="D9" t="s">
        <v>53</v>
      </c>
      <c r="E9" s="1">
        <v>45353</v>
      </c>
    </row>
    <row r="10" spans="1:5" x14ac:dyDescent="0.25">
      <c r="A10">
        <v>9</v>
      </c>
      <c r="B10" t="s">
        <v>54</v>
      </c>
      <c r="C10" t="s">
        <v>55</v>
      </c>
      <c r="D10" t="s">
        <v>56</v>
      </c>
      <c r="E10" s="1">
        <v>45891</v>
      </c>
    </row>
    <row r="11" spans="1:5" x14ac:dyDescent="0.25">
      <c r="A11">
        <v>10</v>
      </c>
      <c r="B11" t="s">
        <v>57</v>
      </c>
      <c r="C11" t="s">
        <v>58</v>
      </c>
      <c r="D11" t="s">
        <v>50</v>
      </c>
      <c r="E11" s="1">
        <v>45375</v>
      </c>
    </row>
    <row r="12" spans="1:5" x14ac:dyDescent="0.25">
      <c r="A12">
        <v>11</v>
      </c>
      <c r="B12" t="s">
        <v>59</v>
      </c>
      <c r="C12" t="s">
        <v>60</v>
      </c>
      <c r="D12" t="s">
        <v>56</v>
      </c>
      <c r="E12" s="1">
        <v>45586</v>
      </c>
    </row>
    <row r="13" spans="1:5" x14ac:dyDescent="0.25">
      <c r="A13">
        <v>12</v>
      </c>
      <c r="B13" t="s">
        <v>61</v>
      </c>
      <c r="C13" t="s">
        <v>62</v>
      </c>
      <c r="D13" t="s">
        <v>36</v>
      </c>
      <c r="E13" s="1">
        <v>45642</v>
      </c>
    </row>
    <row r="14" spans="1:5" x14ac:dyDescent="0.25">
      <c r="A14">
        <v>13</v>
      </c>
      <c r="B14" t="s">
        <v>63</v>
      </c>
      <c r="C14" t="s">
        <v>64</v>
      </c>
      <c r="D14" t="s">
        <v>53</v>
      </c>
      <c r="E14" s="1">
        <v>45878</v>
      </c>
    </row>
    <row r="15" spans="1:5" x14ac:dyDescent="0.25">
      <c r="A15">
        <v>14</v>
      </c>
      <c r="B15" t="s">
        <v>65</v>
      </c>
      <c r="C15" t="s">
        <v>66</v>
      </c>
      <c r="D15" t="s">
        <v>56</v>
      </c>
      <c r="E15" s="1">
        <v>45885</v>
      </c>
    </row>
    <row r="16" spans="1:5" x14ac:dyDescent="0.25">
      <c r="A16">
        <v>15</v>
      </c>
      <c r="B16" t="s">
        <v>67</v>
      </c>
      <c r="C16" t="s">
        <v>23</v>
      </c>
      <c r="D16" t="s">
        <v>68</v>
      </c>
      <c r="E16" s="1">
        <v>45972</v>
      </c>
    </row>
    <row r="17" spans="1:5" x14ac:dyDescent="0.25">
      <c r="A17">
        <v>16</v>
      </c>
      <c r="B17" t="s">
        <v>69</v>
      </c>
      <c r="C17" t="s">
        <v>70</v>
      </c>
      <c r="D17" t="s">
        <v>68</v>
      </c>
      <c r="E17" s="1">
        <v>45687</v>
      </c>
    </row>
    <row r="18" spans="1:5" x14ac:dyDescent="0.25">
      <c r="A18">
        <v>17</v>
      </c>
      <c r="B18" t="s">
        <v>71</v>
      </c>
      <c r="C18" t="s">
        <v>72</v>
      </c>
      <c r="D18" t="s">
        <v>56</v>
      </c>
      <c r="E18" s="1">
        <v>45917</v>
      </c>
    </row>
    <row r="19" spans="1:5" x14ac:dyDescent="0.25">
      <c r="A19">
        <v>18</v>
      </c>
      <c r="B19" t="s">
        <v>73</v>
      </c>
      <c r="C19" t="s">
        <v>74</v>
      </c>
      <c r="D19" t="s">
        <v>75</v>
      </c>
      <c r="E19" s="1">
        <v>45545</v>
      </c>
    </row>
    <row r="20" spans="1:5" x14ac:dyDescent="0.25">
      <c r="A20">
        <v>19</v>
      </c>
      <c r="B20" t="s">
        <v>76</v>
      </c>
      <c r="C20" t="s">
        <v>77</v>
      </c>
      <c r="D20" t="s">
        <v>50</v>
      </c>
      <c r="E20" s="1">
        <v>45703</v>
      </c>
    </row>
    <row r="21" spans="1:5" x14ac:dyDescent="0.25">
      <c r="A21">
        <v>20</v>
      </c>
      <c r="B21" t="s">
        <v>78</v>
      </c>
      <c r="C21" t="s">
        <v>79</v>
      </c>
      <c r="D21" t="s">
        <v>36</v>
      </c>
      <c r="E21" s="1">
        <v>45577</v>
      </c>
    </row>
    <row r="22" spans="1:5" x14ac:dyDescent="0.25">
      <c r="A22">
        <v>21</v>
      </c>
      <c r="B22" t="s">
        <v>80</v>
      </c>
      <c r="C22" t="s">
        <v>81</v>
      </c>
      <c r="D22" t="s">
        <v>36</v>
      </c>
      <c r="E22" s="1">
        <v>45446</v>
      </c>
    </row>
    <row r="23" spans="1:5" x14ac:dyDescent="0.25">
      <c r="A23">
        <v>22</v>
      </c>
      <c r="B23" t="s">
        <v>82</v>
      </c>
      <c r="C23" t="s">
        <v>83</v>
      </c>
      <c r="D23" t="s">
        <v>41</v>
      </c>
      <c r="E23" s="1">
        <v>45788</v>
      </c>
    </row>
    <row r="24" spans="1:5" x14ac:dyDescent="0.25">
      <c r="A24">
        <v>23</v>
      </c>
      <c r="B24" t="s">
        <v>84</v>
      </c>
      <c r="C24" t="s">
        <v>85</v>
      </c>
      <c r="D24" t="s">
        <v>39</v>
      </c>
      <c r="E24" s="1">
        <v>45721</v>
      </c>
    </row>
    <row r="25" spans="1:5" x14ac:dyDescent="0.25">
      <c r="A25">
        <v>24</v>
      </c>
      <c r="B25" t="s">
        <v>86</v>
      </c>
      <c r="C25" t="s">
        <v>87</v>
      </c>
      <c r="D25" t="s">
        <v>50</v>
      </c>
      <c r="E25" s="1">
        <v>45759</v>
      </c>
    </row>
    <row r="26" spans="1:5" x14ac:dyDescent="0.25">
      <c r="A26">
        <v>25</v>
      </c>
      <c r="B26" t="s">
        <v>88</v>
      </c>
      <c r="C26" t="s">
        <v>89</v>
      </c>
      <c r="D26" t="s">
        <v>36</v>
      </c>
      <c r="E26" s="1">
        <v>45695</v>
      </c>
    </row>
    <row r="27" spans="1:5" x14ac:dyDescent="0.25">
      <c r="A27">
        <v>26</v>
      </c>
      <c r="B27" t="s">
        <v>90</v>
      </c>
      <c r="C27" t="s">
        <v>91</v>
      </c>
      <c r="D27" t="s">
        <v>41</v>
      </c>
      <c r="E27" s="1">
        <v>45505</v>
      </c>
    </row>
    <row r="28" spans="1:5" x14ac:dyDescent="0.25">
      <c r="A28">
        <v>27</v>
      </c>
      <c r="B28" t="s">
        <v>92</v>
      </c>
      <c r="C28" t="s">
        <v>93</v>
      </c>
      <c r="D28" t="s">
        <v>39</v>
      </c>
      <c r="E28" s="1">
        <v>45292</v>
      </c>
    </row>
    <row r="29" spans="1:5" x14ac:dyDescent="0.25">
      <c r="A29">
        <v>28</v>
      </c>
      <c r="B29" t="s">
        <v>37</v>
      </c>
      <c r="C29" t="s">
        <v>94</v>
      </c>
      <c r="D29" t="s">
        <v>39</v>
      </c>
      <c r="E29" s="1">
        <v>45504</v>
      </c>
    </row>
    <row r="30" spans="1:5" x14ac:dyDescent="0.25">
      <c r="A30">
        <v>29</v>
      </c>
      <c r="B30" t="s">
        <v>95</v>
      </c>
      <c r="C30" t="s">
        <v>96</v>
      </c>
      <c r="D30" t="s">
        <v>56</v>
      </c>
      <c r="E30" s="1">
        <v>45417</v>
      </c>
    </row>
    <row r="31" spans="1:5" x14ac:dyDescent="0.25">
      <c r="A31">
        <v>30</v>
      </c>
      <c r="B31" t="s">
        <v>97</v>
      </c>
      <c r="C31" t="s">
        <v>98</v>
      </c>
      <c r="D31" t="s">
        <v>68</v>
      </c>
      <c r="E31" s="1">
        <v>45379</v>
      </c>
    </row>
    <row r="32" spans="1:5" x14ac:dyDescent="0.25">
      <c r="A32">
        <v>31</v>
      </c>
      <c r="B32" t="s">
        <v>99</v>
      </c>
      <c r="C32" t="s">
        <v>23</v>
      </c>
      <c r="D32" t="s">
        <v>75</v>
      </c>
      <c r="E32" s="1">
        <v>45457</v>
      </c>
    </row>
    <row r="33" spans="1:5" x14ac:dyDescent="0.25">
      <c r="A33">
        <v>32</v>
      </c>
      <c r="B33" t="s">
        <v>100</v>
      </c>
      <c r="C33" t="s">
        <v>101</v>
      </c>
      <c r="D33" t="s">
        <v>50</v>
      </c>
      <c r="E33" s="1">
        <v>45832</v>
      </c>
    </row>
    <row r="34" spans="1:5" x14ac:dyDescent="0.25">
      <c r="A34">
        <v>33</v>
      </c>
      <c r="B34" t="s">
        <v>102</v>
      </c>
      <c r="C34" t="s">
        <v>103</v>
      </c>
      <c r="D34" t="s">
        <v>75</v>
      </c>
      <c r="E34" s="1">
        <v>45667</v>
      </c>
    </row>
    <row r="35" spans="1:5" x14ac:dyDescent="0.25">
      <c r="A35">
        <v>34</v>
      </c>
      <c r="B35" t="s">
        <v>104</v>
      </c>
      <c r="C35" t="s">
        <v>105</v>
      </c>
      <c r="D35" t="s">
        <v>56</v>
      </c>
      <c r="E35" s="1">
        <v>45919</v>
      </c>
    </row>
    <row r="36" spans="1:5" x14ac:dyDescent="0.25">
      <c r="A36">
        <v>35</v>
      </c>
      <c r="B36" t="s">
        <v>106</v>
      </c>
      <c r="C36" t="s">
        <v>107</v>
      </c>
      <c r="D36" t="s">
        <v>41</v>
      </c>
      <c r="E36" s="1">
        <v>45524</v>
      </c>
    </row>
    <row r="37" spans="1:5" x14ac:dyDescent="0.25">
      <c r="A37">
        <v>36</v>
      </c>
      <c r="B37" t="s">
        <v>108</v>
      </c>
      <c r="C37" t="s">
        <v>109</v>
      </c>
      <c r="D37" t="s">
        <v>39</v>
      </c>
      <c r="E37" s="1">
        <v>45578</v>
      </c>
    </row>
    <row r="38" spans="1:5" x14ac:dyDescent="0.25">
      <c r="A38">
        <v>37</v>
      </c>
      <c r="B38" t="s">
        <v>110</v>
      </c>
      <c r="C38" t="s">
        <v>111</v>
      </c>
      <c r="D38" t="s">
        <v>68</v>
      </c>
      <c r="E38" s="1">
        <v>45649</v>
      </c>
    </row>
    <row r="39" spans="1:5" x14ac:dyDescent="0.25">
      <c r="A39">
        <v>38</v>
      </c>
      <c r="B39" t="s">
        <v>112</v>
      </c>
      <c r="C39" t="s">
        <v>113</v>
      </c>
      <c r="D39" t="s">
        <v>53</v>
      </c>
      <c r="E39" s="1">
        <v>45773</v>
      </c>
    </row>
    <row r="40" spans="1:5" x14ac:dyDescent="0.25">
      <c r="A40">
        <v>39</v>
      </c>
      <c r="B40" t="s">
        <v>114</v>
      </c>
      <c r="C40" t="s">
        <v>115</v>
      </c>
      <c r="D40" t="s">
        <v>39</v>
      </c>
      <c r="E40" s="1">
        <v>45960</v>
      </c>
    </row>
    <row r="41" spans="1:5" x14ac:dyDescent="0.25">
      <c r="A41">
        <v>40</v>
      </c>
      <c r="B41" t="s">
        <v>116</v>
      </c>
      <c r="C41" t="s">
        <v>117</v>
      </c>
      <c r="D41" t="s">
        <v>53</v>
      </c>
      <c r="E41" s="1">
        <v>45496</v>
      </c>
    </row>
    <row r="42" spans="1:5" x14ac:dyDescent="0.25">
      <c r="A42">
        <v>41</v>
      </c>
      <c r="B42" t="s">
        <v>118</v>
      </c>
      <c r="C42" t="s">
        <v>119</v>
      </c>
      <c r="D42" t="s">
        <v>56</v>
      </c>
      <c r="E42" s="1">
        <v>45697</v>
      </c>
    </row>
    <row r="43" spans="1:5" x14ac:dyDescent="0.25">
      <c r="A43">
        <v>42</v>
      </c>
      <c r="B43" t="s">
        <v>120</v>
      </c>
      <c r="C43" t="s">
        <v>121</v>
      </c>
      <c r="D43" t="s">
        <v>50</v>
      </c>
      <c r="E43" s="1">
        <v>45422</v>
      </c>
    </row>
    <row r="44" spans="1:5" x14ac:dyDescent="0.25">
      <c r="A44">
        <v>43</v>
      </c>
      <c r="B44" t="s">
        <v>122</v>
      </c>
      <c r="C44" t="s">
        <v>123</v>
      </c>
      <c r="D44" t="s">
        <v>50</v>
      </c>
      <c r="E44" s="1">
        <v>45965</v>
      </c>
    </row>
    <row r="45" spans="1:5" x14ac:dyDescent="0.25">
      <c r="A45">
        <v>44</v>
      </c>
      <c r="B45" t="s">
        <v>124</v>
      </c>
      <c r="C45" t="s">
        <v>125</v>
      </c>
      <c r="D45" t="s">
        <v>50</v>
      </c>
      <c r="E45" s="1">
        <v>45306</v>
      </c>
    </row>
    <row r="46" spans="1:5" x14ac:dyDescent="0.25">
      <c r="A46">
        <v>45</v>
      </c>
      <c r="B46" t="s">
        <v>126</v>
      </c>
      <c r="C46" t="s">
        <v>127</v>
      </c>
      <c r="D46" t="s">
        <v>50</v>
      </c>
      <c r="E46" s="1">
        <v>45491</v>
      </c>
    </row>
    <row r="47" spans="1:5" x14ac:dyDescent="0.25">
      <c r="A47">
        <v>46</v>
      </c>
      <c r="B47" t="s">
        <v>128</v>
      </c>
      <c r="C47" t="s">
        <v>129</v>
      </c>
      <c r="D47" t="s">
        <v>41</v>
      </c>
      <c r="E47" s="1">
        <v>45805</v>
      </c>
    </row>
    <row r="48" spans="1:5" x14ac:dyDescent="0.25">
      <c r="A48">
        <v>47</v>
      </c>
      <c r="B48" t="s">
        <v>130</v>
      </c>
      <c r="C48" t="s">
        <v>131</v>
      </c>
      <c r="D48" t="s">
        <v>36</v>
      </c>
      <c r="E48" s="1">
        <v>45354</v>
      </c>
    </row>
    <row r="49" spans="1:5" x14ac:dyDescent="0.25">
      <c r="A49">
        <v>48</v>
      </c>
      <c r="B49" t="s">
        <v>132</v>
      </c>
      <c r="C49" t="s">
        <v>133</v>
      </c>
      <c r="D49" t="s">
        <v>36</v>
      </c>
      <c r="E49" s="1">
        <v>45425</v>
      </c>
    </row>
    <row r="50" spans="1:5" x14ac:dyDescent="0.25">
      <c r="A50">
        <v>49</v>
      </c>
      <c r="B50" t="s">
        <v>134</v>
      </c>
      <c r="C50" t="s">
        <v>135</v>
      </c>
      <c r="D50" t="s">
        <v>68</v>
      </c>
      <c r="E50" s="1">
        <v>45915</v>
      </c>
    </row>
    <row r="51" spans="1:5" x14ac:dyDescent="0.25">
      <c r="A51">
        <v>50</v>
      </c>
      <c r="B51" t="s">
        <v>136</v>
      </c>
      <c r="C51" t="s">
        <v>137</v>
      </c>
      <c r="D51" t="s">
        <v>50</v>
      </c>
      <c r="E51" s="1">
        <v>45925</v>
      </c>
    </row>
    <row r="52" spans="1:5" x14ac:dyDescent="0.25">
      <c r="A52">
        <v>51</v>
      </c>
      <c r="B52" t="s">
        <v>138</v>
      </c>
      <c r="C52" t="s">
        <v>139</v>
      </c>
      <c r="D52" t="s">
        <v>68</v>
      </c>
      <c r="E52" s="1">
        <v>45865</v>
      </c>
    </row>
    <row r="53" spans="1:5" x14ac:dyDescent="0.25">
      <c r="A53">
        <v>52</v>
      </c>
      <c r="B53" t="s">
        <v>140</v>
      </c>
      <c r="C53" t="s">
        <v>23</v>
      </c>
      <c r="D53" t="s">
        <v>53</v>
      </c>
      <c r="E53" s="1">
        <v>45755</v>
      </c>
    </row>
    <row r="54" spans="1:5" x14ac:dyDescent="0.25">
      <c r="A54">
        <v>53</v>
      </c>
      <c r="B54" t="s">
        <v>141</v>
      </c>
      <c r="C54" t="s">
        <v>142</v>
      </c>
      <c r="D54" t="s">
        <v>56</v>
      </c>
      <c r="E54" s="1">
        <v>45575</v>
      </c>
    </row>
    <row r="55" spans="1:5" x14ac:dyDescent="0.25">
      <c r="A55">
        <v>54</v>
      </c>
      <c r="B55" t="s">
        <v>143</v>
      </c>
      <c r="C55" t="s">
        <v>144</v>
      </c>
      <c r="D55" t="s">
        <v>41</v>
      </c>
      <c r="E55" s="1">
        <v>45827</v>
      </c>
    </row>
    <row r="56" spans="1:5" x14ac:dyDescent="0.25">
      <c r="A56">
        <v>55</v>
      </c>
      <c r="B56" t="s">
        <v>145</v>
      </c>
      <c r="C56" t="s">
        <v>146</v>
      </c>
      <c r="D56" t="s">
        <v>41</v>
      </c>
      <c r="E56" s="1">
        <v>45432</v>
      </c>
    </row>
    <row r="57" spans="1:5" x14ac:dyDescent="0.25">
      <c r="A57">
        <v>56</v>
      </c>
      <c r="B57" t="s">
        <v>147</v>
      </c>
      <c r="C57" t="s">
        <v>23</v>
      </c>
      <c r="D57" t="s">
        <v>53</v>
      </c>
      <c r="E57" s="1">
        <v>45538</v>
      </c>
    </row>
    <row r="58" spans="1:5" x14ac:dyDescent="0.25">
      <c r="A58">
        <v>57</v>
      </c>
      <c r="B58" t="s">
        <v>148</v>
      </c>
      <c r="C58" t="s">
        <v>149</v>
      </c>
      <c r="D58" t="s">
        <v>53</v>
      </c>
      <c r="E58" s="1">
        <v>45950</v>
      </c>
    </row>
    <row r="59" spans="1:5" x14ac:dyDescent="0.25">
      <c r="A59">
        <v>58</v>
      </c>
      <c r="B59" t="s">
        <v>150</v>
      </c>
      <c r="C59" t="s">
        <v>151</v>
      </c>
      <c r="D59" t="s">
        <v>50</v>
      </c>
      <c r="E59" s="1">
        <v>45516</v>
      </c>
    </row>
    <row r="60" spans="1:5" x14ac:dyDescent="0.25">
      <c r="A60">
        <v>59</v>
      </c>
      <c r="B60" t="s">
        <v>152</v>
      </c>
      <c r="C60" t="s">
        <v>153</v>
      </c>
      <c r="D60" t="s">
        <v>68</v>
      </c>
      <c r="E60" s="1">
        <v>45975</v>
      </c>
    </row>
    <row r="61" spans="1:5" x14ac:dyDescent="0.25">
      <c r="A61">
        <v>60</v>
      </c>
      <c r="B61" t="s">
        <v>154</v>
      </c>
      <c r="C61" t="s">
        <v>155</v>
      </c>
      <c r="D61" t="s">
        <v>36</v>
      </c>
      <c r="E61" s="1">
        <v>45723</v>
      </c>
    </row>
    <row r="62" spans="1:5" x14ac:dyDescent="0.25">
      <c r="A62">
        <v>61</v>
      </c>
      <c r="B62" t="s">
        <v>120</v>
      </c>
      <c r="C62" t="s">
        <v>156</v>
      </c>
      <c r="D62" t="s">
        <v>56</v>
      </c>
      <c r="E62" s="1">
        <v>45638</v>
      </c>
    </row>
    <row r="63" spans="1:5" x14ac:dyDescent="0.25">
      <c r="A63">
        <v>62</v>
      </c>
      <c r="B63" t="s">
        <v>157</v>
      </c>
      <c r="C63" t="s">
        <v>23</v>
      </c>
      <c r="D63" t="s">
        <v>56</v>
      </c>
      <c r="E63" s="1">
        <v>45816</v>
      </c>
    </row>
    <row r="64" spans="1:5" x14ac:dyDescent="0.25">
      <c r="A64">
        <v>63</v>
      </c>
      <c r="B64" t="s">
        <v>158</v>
      </c>
      <c r="C64" t="s">
        <v>23</v>
      </c>
      <c r="D64" t="s">
        <v>53</v>
      </c>
      <c r="E64" s="1">
        <v>45563</v>
      </c>
    </row>
    <row r="65" spans="1:5" x14ac:dyDescent="0.25">
      <c r="A65">
        <v>64</v>
      </c>
      <c r="B65" t="s">
        <v>159</v>
      </c>
      <c r="C65" t="s">
        <v>160</v>
      </c>
      <c r="D65" t="s">
        <v>50</v>
      </c>
      <c r="E65" s="1">
        <v>45984</v>
      </c>
    </row>
    <row r="66" spans="1:5" x14ac:dyDescent="0.25">
      <c r="A66">
        <v>65</v>
      </c>
      <c r="B66" t="s">
        <v>161</v>
      </c>
      <c r="C66" t="s">
        <v>162</v>
      </c>
      <c r="D66" t="s">
        <v>68</v>
      </c>
      <c r="E66" s="1">
        <v>45626</v>
      </c>
    </row>
    <row r="67" spans="1:5" x14ac:dyDescent="0.25">
      <c r="A67">
        <v>66</v>
      </c>
      <c r="B67" t="s">
        <v>163</v>
      </c>
      <c r="C67" t="s">
        <v>164</v>
      </c>
      <c r="D67" t="s">
        <v>53</v>
      </c>
      <c r="E67" s="1">
        <v>45309</v>
      </c>
    </row>
    <row r="68" spans="1:5" x14ac:dyDescent="0.25">
      <c r="A68">
        <v>67</v>
      </c>
      <c r="B68" t="s">
        <v>165</v>
      </c>
      <c r="C68" t="s">
        <v>166</v>
      </c>
      <c r="D68" t="s">
        <v>41</v>
      </c>
      <c r="E68" s="1">
        <v>45562</v>
      </c>
    </row>
    <row r="69" spans="1:5" x14ac:dyDescent="0.25">
      <c r="A69">
        <v>68</v>
      </c>
      <c r="B69" t="s">
        <v>167</v>
      </c>
      <c r="C69" t="s">
        <v>23</v>
      </c>
      <c r="D69" t="s">
        <v>36</v>
      </c>
      <c r="E69" s="1">
        <v>45928</v>
      </c>
    </row>
    <row r="70" spans="1:5" x14ac:dyDescent="0.25">
      <c r="A70">
        <v>69</v>
      </c>
      <c r="B70" t="s">
        <v>168</v>
      </c>
      <c r="C70" t="s">
        <v>169</v>
      </c>
      <c r="D70" t="s">
        <v>50</v>
      </c>
      <c r="E70" s="1">
        <v>45343</v>
      </c>
    </row>
    <row r="71" spans="1:5" x14ac:dyDescent="0.25">
      <c r="A71">
        <v>70</v>
      </c>
      <c r="B71" t="s">
        <v>69</v>
      </c>
      <c r="C71" t="s">
        <v>170</v>
      </c>
      <c r="D71" t="s">
        <v>75</v>
      </c>
      <c r="E71" s="1">
        <v>45502</v>
      </c>
    </row>
    <row r="72" spans="1:5" x14ac:dyDescent="0.25">
      <c r="A72">
        <v>71</v>
      </c>
      <c r="B72" t="s">
        <v>159</v>
      </c>
      <c r="C72" t="s">
        <v>23</v>
      </c>
      <c r="D72" t="s">
        <v>56</v>
      </c>
      <c r="E72" s="1">
        <v>45548</v>
      </c>
    </row>
    <row r="73" spans="1:5" x14ac:dyDescent="0.25">
      <c r="A73">
        <v>72</v>
      </c>
      <c r="B73" t="s">
        <v>171</v>
      </c>
      <c r="C73" t="s">
        <v>172</v>
      </c>
      <c r="D73" t="s">
        <v>41</v>
      </c>
      <c r="E73" s="1">
        <v>45778</v>
      </c>
    </row>
    <row r="74" spans="1:5" x14ac:dyDescent="0.25">
      <c r="A74">
        <v>73</v>
      </c>
      <c r="B74" t="s">
        <v>173</v>
      </c>
      <c r="C74" t="s">
        <v>174</v>
      </c>
      <c r="D74" t="s">
        <v>36</v>
      </c>
      <c r="E74" s="1">
        <v>45798</v>
      </c>
    </row>
    <row r="75" spans="1:5" x14ac:dyDescent="0.25">
      <c r="A75">
        <v>74</v>
      </c>
      <c r="B75" t="s">
        <v>175</v>
      </c>
      <c r="C75" t="s">
        <v>176</v>
      </c>
      <c r="D75" t="s">
        <v>75</v>
      </c>
      <c r="E75" s="1">
        <v>45512</v>
      </c>
    </row>
    <row r="76" spans="1:5" x14ac:dyDescent="0.25">
      <c r="A76">
        <v>75</v>
      </c>
      <c r="B76" t="s">
        <v>177</v>
      </c>
      <c r="C76" t="s">
        <v>23</v>
      </c>
      <c r="D76" t="s">
        <v>56</v>
      </c>
      <c r="E76" s="1">
        <v>45424</v>
      </c>
    </row>
    <row r="77" spans="1:5" x14ac:dyDescent="0.25">
      <c r="A77">
        <v>76</v>
      </c>
      <c r="B77" t="s">
        <v>178</v>
      </c>
      <c r="C77" t="s">
        <v>179</v>
      </c>
      <c r="D77" t="s">
        <v>50</v>
      </c>
      <c r="E77" s="1">
        <v>45378</v>
      </c>
    </row>
    <row r="78" spans="1:5" x14ac:dyDescent="0.25">
      <c r="A78">
        <v>77</v>
      </c>
      <c r="B78" t="s">
        <v>180</v>
      </c>
      <c r="C78" t="s">
        <v>181</v>
      </c>
      <c r="D78" t="s">
        <v>75</v>
      </c>
      <c r="E78" s="1">
        <v>45540</v>
      </c>
    </row>
    <row r="79" spans="1:5" x14ac:dyDescent="0.25">
      <c r="A79">
        <v>78</v>
      </c>
      <c r="B79" t="s">
        <v>182</v>
      </c>
      <c r="C79" t="s">
        <v>183</v>
      </c>
      <c r="D79" t="s">
        <v>50</v>
      </c>
      <c r="E79" s="1">
        <v>45748</v>
      </c>
    </row>
    <row r="80" spans="1:5" x14ac:dyDescent="0.25">
      <c r="A80">
        <v>79</v>
      </c>
      <c r="B80" t="s">
        <v>184</v>
      </c>
      <c r="C80" t="s">
        <v>185</v>
      </c>
      <c r="D80" t="s">
        <v>56</v>
      </c>
      <c r="E80" s="1">
        <v>45327</v>
      </c>
    </row>
    <row r="81" spans="1:5" x14ac:dyDescent="0.25">
      <c r="A81">
        <v>80</v>
      </c>
      <c r="B81" t="s">
        <v>186</v>
      </c>
      <c r="C81" t="s">
        <v>187</v>
      </c>
      <c r="D81" t="s">
        <v>50</v>
      </c>
      <c r="E81" s="1">
        <v>45635</v>
      </c>
    </row>
    <row r="82" spans="1:5" x14ac:dyDescent="0.25">
      <c r="A82">
        <v>81</v>
      </c>
      <c r="B82" t="s">
        <v>188</v>
      </c>
      <c r="C82" t="s">
        <v>23</v>
      </c>
      <c r="D82" t="s">
        <v>41</v>
      </c>
      <c r="E82" s="1">
        <v>45808</v>
      </c>
    </row>
    <row r="83" spans="1:5" x14ac:dyDescent="0.25">
      <c r="A83">
        <v>82</v>
      </c>
      <c r="B83" t="s">
        <v>189</v>
      </c>
      <c r="C83" t="s">
        <v>23</v>
      </c>
      <c r="D83" t="s">
        <v>53</v>
      </c>
      <c r="E83" s="1">
        <v>45701</v>
      </c>
    </row>
    <row r="84" spans="1:5" x14ac:dyDescent="0.25">
      <c r="A84">
        <v>83</v>
      </c>
      <c r="B84" t="s">
        <v>190</v>
      </c>
      <c r="C84" t="s">
        <v>191</v>
      </c>
      <c r="D84" t="s">
        <v>75</v>
      </c>
      <c r="E84" s="1">
        <v>45530</v>
      </c>
    </row>
    <row r="85" spans="1:5" x14ac:dyDescent="0.25">
      <c r="A85">
        <v>84</v>
      </c>
      <c r="B85" t="s">
        <v>192</v>
      </c>
      <c r="C85" t="s">
        <v>193</v>
      </c>
      <c r="D85" t="s">
        <v>50</v>
      </c>
      <c r="E85" s="1">
        <v>45625</v>
      </c>
    </row>
    <row r="86" spans="1:5" x14ac:dyDescent="0.25">
      <c r="A86">
        <v>85</v>
      </c>
      <c r="B86" t="s">
        <v>194</v>
      </c>
      <c r="C86" t="s">
        <v>195</v>
      </c>
      <c r="D86" t="s">
        <v>50</v>
      </c>
      <c r="E86" s="1">
        <v>45817</v>
      </c>
    </row>
    <row r="87" spans="1:5" x14ac:dyDescent="0.25">
      <c r="A87">
        <v>86</v>
      </c>
      <c r="B87" t="s">
        <v>196</v>
      </c>
      <c r="C87" t="s">
        <v>197</v>
      </c>
      <c r="D87" t="s">
        <v>39</v>
      </c>
      <c r="E87" s="1">
        <v>45991</v>
      </c>
    </row>
    <row r="88" spans="1:5" x14ac:dyDescent="0.25">
      <c r="A88">
        <v>87</v>
      </c>
      <c r="B88" t="s">
        <v>198</v>
      </c>
      <c r="C88" t="s">
        <v>199</v>
      </c>
      <c r="D88" t="s">
        <v>39</v>
      </c>
      <c r="E88" s="1">
        <v>45428</v>
      </c>
    </row>
    <row r="89" spans="1:5" x14ac:dyDescent="0.25">
      <c r="A89">
        <v>88</v>
      </c>
      <c r="B89" t="s">
        <v>200</v>
      </c>
      <c r="C89" t="s">
        <v>23</v>
      </c>
      <c r="D89" t="s">
        <v>68</v>
      </c>
      <c r="E89" s="1">
        <v>45343</v>
      </c>
    </row>
    <row r="90" spans="1:5" x14ac:dyDescent="0.25">
      <c r="A90">
        <v>89</v>
      </c>
      <c r="B90" t="s">
        <v>201</v>
      </c>
      <c r="C90" t="s">
        <v>202</v>
      </c>
      <c r="D90" t="s">
        <v>41</v>
      </c>
      <c r="E90" s="1">
        <v>45562</v>
      </c>
    </row>
    <row r="91" spans="1:5" x14ac:dyDescent="0.25">
      <c r="A91">
        <v>90</v>
      </c>
      <c r="B91" t="s">
        <v>203</v>
      </c>
      <c r="C91" t="s">
        <v>204</v>
      </c>
      <c r="D91" t="s">
        <v>53</v>
      </c>
      <c r="E91" s="1">
        <v>45830</v>
      </c>
    </row>
    <row r="92" spans="1:5" x14ac:dyDescent="0.25">
      <c r="A92">
        <v>91</v>
      </c>
      <c r="B92" t="s">
        <v>205</v>
      </c>
      <c r="C92" t="s">
        <v>206</v>
      </c>
      <c r="D92" t="s">
        <v>53</v>
      </c>
      <c r="E92" s="1">
        <v>45532</v>
      </c>
    </row>
    <row r="93" spans="1:5" x14ac:dyDescent="0.25">
      <c r="A93">
        <v>92</v>
      </c>
      <c r="B93" t="s">
        <v>207</v>
      </c>
      <c r="C93" t="s">
        <v>208</v>
      </c>
      <c r="D93" t="s">
        <v>68</v>
      </c>
      <c r="E93" s="1">
        <v>45683</v>
      </c>
    </row>
    <row r="94" spans="1:5" x14ac:dyDescent="0.25">
      <c r="A94">
        <v>93</v>
      </c>
      <c r="B94" t="s">
        <v>209</v>
      </c>
      <c r="C94" t="s">
        <v>210</v>
      </c>
      <c r="D94" t="s">
        <v>39</v>
      </c>
      <c r="E94" s="1">
        <v>45939</v>
      </c>
    </row>
    <row r="95" spans="1:5" x14ac:dyDescent="0.25">
      <c r="A95">
        <v>94</v>
      </c>
      <c r="B95" t="s">
        <v>211</v>
      </c>
      <c r="C95" t="s">
        <v>212</v>
      </c>
      <c r="D95" t="s">
        <v>56</v>
      </c>
      <c r="E95" s="1">
        <v>45959</v>
      </c>
    </row>
    <row r="96" spans="1:5" x14ac:dyDescent="0.25">
      <c r="A96">
        <v>95</v>
      </c>
      <c r="B96" t="s">
        <v>213</v>
      </c>
      <c r="C96" t="s">
        <v>214</v>
      </c>
      <c r="D96" t="s">
        <v>50</v>
      </c>
      <c r="E96" s="1">
        <v>45785</v>
      </c>
    </row>
    <row r="97" spans="1:5" x14ac:dyDescent="0.25">
      <c r="A97">
        <v>96</v>
      </c>
      <c r="B97" t="s">
        <v>215</v>
      </c>
      <c r="C97" t="s">
        <v>216</v>
      </c>
      <c r="D97" t="s">
        <v>41</v>
      </c>
      <c r="E97" s="1">
        <v>45793</v>
      </c>
    </row>
    <row r="98" spans="1:5" x14ac:dyDescent="0.25">
      <c r="A98">
        <v>97</v>
      </c>
      <c r="B98" t="s">
        <v>217</v>
      </c>
      <c r="C98" t="s">
        <v>218</v>
      </c>
      <c r="D98" t="s">
        <v>68</v>
      </c>
      <c r="E98" s="1">
        <v>45413</v>
      </c>
    </row>
    <row r="99" spans="1:5" x14ac:dyDescent="0.25">
      <c r="A99">
        <v>98</v>
      </c>
      <c r="B99" t="s">
        <v>219</v>
      </c>
      <c r="C99" t="s">
        <v>23</v>
      </c>
      <c r="D99" t="s">
        <v>68</v>
      </c>
      <c r="E99" s="1">
        <v>45588</v>
      </c>
    </row>
    <row r="100" spans="1:5" x14ac:dyDescent="0.25">
      <c r="A100">
        <v>99</v>
      </c>
      <c r="B100" t="s">
        <v>220</v>
      </c>
      <c r="C100" t="s">
        <v>221</v>
      </c>
      <c r="D100" t="s">
        <v>75</v>
      </c>
      <c r="E100" s="1">
        <v>45506</v>
      </c>
    </row>
    <row r="101" spans="1:5" x14ac:dyDescent="0.25">
      <c r="A101">
        <v>100</v>
      </c>
      <c r="B101" t="s">
        <v>222</v>
      </c>
      <c r="C101" t="s">
        <v>223</v>
      </c>
      <c r="D101" t="s">
        <v>53</v>
      </c>
      <c r="E101" s="1">
        <v>45828</v>
      </c>
    </row>
    <row r="102" spans="1:5" x14ac:dyDescent="0.25">
      <c r="A102">
        <v>101</v>
      </c>
      <c r="B102" t="s">
        <v>224</v>
      </c>
      <c r="C102" t="s">
        <v>225</v>
      </c>
      <c r="D102" t="s">
        <v>75</v>
      </c>
      <c r="E102" s="1">
        <v>45665</v>
      </c>
    </row>
    <row r="103" spans="1:5" x14ac:dyDescent="0.25">
      <c r="A103">
        <v>102</v>
      </c>
      <c r="B103" t="s">
        <v>226</v>
      </c>
      <c r="C103" t="s">
        <v>227</v>
      </c>
      <c r="D103" t="s">
        <v>39</v>
      </c>
      <c r="E103" s="1">
        <v>45295</v>
      </c>
    </row>
    <row r="104" spans="1:5" x14ac:dyDescent="0.25">
      <c r="A104">
        <v>103</v>
      </c>
      <c r="B104" t="s">
        <v>228</v>
      </c>
      <c r="C104" t="s">
        <v>229</v>
      </c>
      <c r="D104" t="s">
        <v>75</v>
      </c>
      <c r="E104" s="1">
        <v>45436</v>
      </c>
    </row>
    <row r="105" spans="1:5" x14ac:dyDescent="0.25">
      <c r="A105">
        <v>104</v>
      </c>
      <c r="B105" t="s">
        <v>230</v>
      </c>
      <c r="C105" t="s">
        <v>231</v>
      </c>
      <c r="D105" t="s">
        <v>56</v>
      </c>
      <c r="E105" s="1">
        <v>45624</v>
      </c>
    </row>
    <row r="106" spans="1:5" x14ac:dyDescent="0.25">
      <c r="A106">
        <v>105</v>
      </c>
      <c r="B106" t="s">
        <v>232</v>
      </c>
      <c r="C106" t="s">
        <v>233</v>
      </c>
      <c r="D106" t="s">
        <v>41</v>
      </c>
      <c r="E106" s="1">
        <v>45304</v>
      </c>
    </row>
    <row r="107" spans="1:5" x14ac:dyDescent="0.25">
      <c r="A107">
        <v>106</v>
      </c>
      <c r="B107" t="s">
        <v>95</v>
      </c>
      <c r="C107" t="s">
        <v>234</v>
      </c>
      <c r="D107" t="s">
        <v>53</v>
      </c>
      <c r="E107" s="1">
        <v>45691</v>
      </c>
    </row>
    <row r="108" spans="1:5" x14ac:dyDescent="0.25">
      <c r="A108">
        <v>107</v>
      </c>
      <c r="B108" t="s">
        <v>235</v>
      </c>
      <c r="C108" t="s">
        <v>236</v>
      </c>
      <c r="D108" t="s">
        <v>36</v>
      </c>
      <c r="E108" s="1">
        <v>45341</v>
      </c>
    </row>
    <row r="109" spans="1:5" x14ac:dyDescent="0.25">
      <c r="A109">
        <v>108</v>
      </c>
      <c r="B109" t="s">
        <v>237</v>
      </c>
      <c r="C109" t="s">
        <v>238</v>
      </c>
      <c r="D109" t="s">
        <v>50</v>
      </c>
      <c r="E109" s="1">
        <v>45564</v>
      </c>
    </row>
    <row r="110" spans="1:5" x14ac:dyDescent="0.25">
      <c r="A110">
        <v>109</v>
      </c>
      <c r="B110" t="s">
        <v>239</v>
      </c>
      <c r="C110" t="s">
        <v>240</v>
      </c>
      <c r="D110" t="s">
        <v>56</v>
      </c>
      <c r="E110" s="1">
        <v>45321</v>
      </c>
    </row>
    <row r="111" spans="1:5" x14ac:dyDescent="0.25">
      <c r="A111">
        <v>110</v>
      </c>
      <c r="B111" t="s">
        <v>241</v>
      </c>
      <c r="C111" t="s">
        <v>242</v>
      </c>
      <c r="D111" t="s">
        <v>41</v>
      </c>
      <c r="E111" s="1">
        <v>45374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0658-BC32-4418-919C-E30545C8D7E7}">
  <dimension ref="A1:J54"/>
  <sheetViews>
    <sheetView tabSelected="1" workbookViewId="0">
      <selection activeCell="A3" sqref="A3:XFD3"/>
    </sheetView>
  </sheetViews>
  <sheetFormatPr defaultRowHeight="15" x14ac:dyDescent="0.25"/>
  <cols>
    <col min="1" max="1" width="15.85546875" bestFit="1" customWidth="1"/>
    <col min="2" max="2" width="17.85546875" bestFit="1" customWidth="1"/>
    <col min="3" max="3" width="11.85546875" bestFit="1" customWidth="1"/>
    <col min="4" max="4" width="14.28515625" bestFit="1" customWidth="1"/>
    <col min="5" max="5" width="13.42578125" bestFit="1" customWidth="1"/>
    <col min="6" max="6" width="11.28515625" bestFit="1" customWidth="1"/>
    <col min="7" max="7" width="11.5703125" bestFit="1" customWidth="1"/>
    <col min="8" max="8" width="13.85546875" bestFit="1" customWidth="1"/>
    <col min="9" max="9" width="14.28515625" bestFit="1" customWidth="1"/>
    <col min="10" max="10" width="17.85546875" bestFit="1" customWidth="1"/>
    <col min="11" max="11" width="15.85546875" bestFit="1" customWidth="1"/>
    <col min="12" max="12" width="11.28515625" bestFit="1" customWidth="1"/>
    <col min="13" max="16" width="3" bestFit="1" customWidth="1"/>
    <col min="17" max="17" width="6.5703125" bestFit="1" customWidth="1"/>
    <col min="18" max="26" width="3" bestFit="1" customWidth="1"/>
    <col min="27" max="27" width="6.5703125" bestFit="1" customWidth="1"/>
    <col min="28" max="28" width="3" bestFit="1" customWidth="1"/>
    <col min="29" max="30" width="5" bestFit="1" customWidth="1"/>
    <col min="31" max="33" width="3" bestFit="1" customWidth="1"/>
    <col min="34" max="34" width="6.5703125" bestFit="1" customWidth="1"/>
    <col min="35" max="45" width="3" bestFit="1" customWidth="1"/>
    <col min="46" max="46" width="6.5703125" bestFit="1" customWidth="1"/>
    <col min="47" max="57" width="3" bestFit="1" customWidth="1"/>
    <col min="58" max="58" width="6.5703125" bestFit="1" customWidth="1"/>
    <col min="59" max="70" width="3" bestFit="1" customWidth="1"/>
    <col min="71" max="71" width="5" bestFit="1" customWidth="1"/>
    <col min="72" max="74" width="3" bestFit="1" customWidth="1"/>
    <col min="75" max="75" width="6.5703125" bestFit="1" customWidth="1"/>
    <col min="76" max="82" width="3" bestFit="1" customWidth="1"/>
    <col min="83" max="83" width="6.5703125" bestFit="1" customWidth="1"/>
    <col min="84" max="100" width="3" bestFit="1" customWidth="1"/>
    <col min="101" max="106" width="4" bestFit="1" customWidth="1"/>
    <col min="107" max="107" width="5" bestFit="1" customWidth="1"/>
    <col min="108" max="111" width="4" bestFit="1" customWidth="1"/>
    <col min="112" max="112" width="9.28515625" bestFit="1" customWidth="1"/>
    <col min="113" max="113" width="11.28515625" bestFit="1" customWidth="1"/>
    <col min="114" max="152" width="5" bestFit="1" customWidth="1"/>
    <col min="153" max="153" width="11.28515625" bestFit="1" customWidth="1"/>
  </cols>
  <sheetData>
    <row r="1" spans="1:10" x14ac:dyDescent="0.25">
      <c r="A1" s="8" t="s">
        <v>261</v>
      </c>
      <c r="B1" s="7"/>
      <c r="C1" s="7"/>
      <c r="D1" s="7"/>
      <c r="E1" s="7"/>
      <c r="F1" s="7"/>
    </row>
    <row r="2" spans="1:10" ht="24" x14ac:dyDescent="0.4">
      <c r="A2" s="7"/>
      <c r="B2" s="7"/>
      <c r="C2" s="7"/>
      <c r="D2" s="7"/>
      <c r="E2" s="7"/>
      <c r="F2" s="7"/>
      <c r="I2" s="9" t="s">
        <v>262</v>
      </c>
      <c r="J2" s="9"/>
    </row>
    <row r="3" spans="1:10" ht="14.25" customHeight="1" x14ac:dyDescent="0.4">
      <c r="A3" s="3" t="s">
        <v>260</v>
      </c>
      <c r="B3" s="3" t="s">
        <v>259</v>
      </c>
      <c r="I3" s="11"/>
      <c r="J3" s="11"/>
    </row>
    <row r="4" spans="1:10" x14ac:dyDescent="0.25">
      <c r="A4" s="3" t="s">
        <v>245</v>
      </c>
      <c r="B4" t="s">
        <v>7</v>
      </c>
      <c r="C4" t="s">
        <v>10</v>
      </c>
      <c r="D4" t="s">
        <v>17</v>
      </c>
      <c r="E4" t="s">
        <v>6</v>
      </c>
      <c r="F4" t="s">
        <v>258</v>
      </c>
      <c r="I4" s="3" t="s">
        <v>245</v>
      </c>
      <c r="J4" t="s">
        <v>260</v>
      </c>
    </row>
    <row r="5" spans="1:10" x14ac:dyDescent="0.25">
      <c r="A5" s="4" t="s">
        <v>246</v>
      </c>
      <c r="B5" s="2">
        <v>2575</v>
      </c>
      <c r="C5" s="2">
        <v>1336.1417322834645</v>
      </c>
      <c r="D5" s="2">
        <v>1223.1904761904761</v>
      </c>
      <c r="E5" s="2">
        <v>1539.6428571428573</v>
      </c>
      <c r="F5" s="2">
        <v>6673.975065616798</v>
      </c>
      <c r="I5" s="4" t="s">
        <v>246</v>
      </c>
      <c r="J5" s="2">
        <v>6673.975065616798</v>
      </c>
    </row>
    <row r="6" spans="1:10" x14ac:dyDescent="0.25">
      <c r="A6" s="4" t="s">
        <v>247</v>
      </c>
      <c r="B6" s="2">
        <v>2271.7941176470586</v>
      </c>
      <c r="C6" s="2">
        <v>2149.1472440944881</v>
      </c>
      <c r="D6" s="2">
        <v>1311.7142857142858</v>
      </c>
      <c r="E6" s="2">
        <v>2093</v>
      </c>
      <c r="F6" s="2">
        <v>7825.6556474558329</v>
      </c>
      <c r="I6" s="4" t="s">
        <v>247</v>
      </c>
      <c r="J6" s="2">
        <v>7825.6556474558329</v>
      </c>
    </row>
    <row r="7" spans="1:10" x14ac:dyDescent="0.25">
      <c r="A7" s="4" t="s">
        <v>248</v>
      </c>
      <c r="B7" s="2">
        <v>2264.878787878788</v>
      </c>
      <c r="C7" s="2">
        <v>1949</v>
      </c>
      <c r="D7" s="2">
        <v>1263.4190476190474</v>
      </c>
      <c r="E7" s="2">
        <v>2679.4326923076924</v>
      </c>
      <c r="F7" s="2">
        <v>8156.7305278055273</v>
      </c>
      <c r="I7" s="4" t="s">
        <v>248</v>
      </c>
      <c r="J7" s="2">
        <v>8156.7305278055283</v>
      </c>
    </row>
    <row r="8" spans="1:10" x14ac:dyDescent="0.25">
      <c r="A8" s="4" t="s">
        <v>249</v>
      </c>
      <c r="B8" s="2">
        <v>1460.7941176470588</v>
      </c>
      <c r="C8" s="2">
        <v>1740.3</v>
      </c>
      <c r="D8" s="2">
        <v>832.44761904761901</v>
      </c>
      <c r="E8" s="2">
        <v>1723.2884615384614</v>
      </c>
      <c r="F8" s="2">
        <v>5756.8301982331395</v>
      </c>
      <c r="I8" s="4" t="s">
        <v>249</v>
      </c>
      <c r="J8" s="2">
        <v>5756.8301982331395</v>
      </c>
    </row>
    <row r="9" spans="1:10" x14ac:dyDescent="0.25">
      <c r="A9" s="4" t="s">
        <v>250</v>
      </c>
      <c r="B9" s="2">
        <v>2065.0668541080913</v>
      </c>
      <c r="C9" s="2">
        <v>1495.1</v>
      </c>
      <c r="D9" s="2">
        <v>876.13186813186803</v>
      </c>
      <c r="E9" s="2">
        <v>2480.4326923076919</v>
      </c>
      <c r="F9" s="2">
        <v>6916.7314145476503</v>
      </c>
      <c r="I9" s="4" t="s">
        <v>250</v>
      </c>
      <c r="J9" s="2">
        <v>6916.731414547653</v>
      </c>
    </row>
    <row r="10" spans="1:10" x14ac:dyDescent="0.25">
      <c r="A10" s="4" t="s">
        <v>251</v>
      </c>
      <c r="B10" s="2">
        <v>1866</v>
      </c>
      <c r="C10" s="2">
        <v>1828</v>
      </c>
      <c r="D10" s="2">
        <v>1591.7142857142856</v>
      </c>
      <c r="E10" s="2">
        <v>1934.7015050167224</v>
      </c>
      <c r="F10" s="2">
        <v>7220.4157907310073</v>
      </c>
      <c r="I10" s="4" t="s">
        <v>251</v>
      </c>
      <c r="J10" s="2">
        <v>7220.4157907310082</v>
      </c>
    </row>
    <row r="11" spans="1:10" x14ac:dyDescent="0.25">
      <c r="A11" s="4" t="s">
        <v>252</v>
      </c>
      <c r="B11" s="2">
        <v>3014</v>
      </c>
      <c r="C11" s="2">
        <v>2042.2362204724409</v>
      </c>
      <c r="D11" s="2">
        <v>1536.6761904761904</v>
      </c>
      <c r="E11" s="2">
        <v>1936.9880212954747</v>
      </c>
      <c r="F11" s="2">
        <v>8529.9004322441069</v>
      </c>
      <c r="I11" s="4" t="s">
        <v>252</v>
      </c>
      <c r="J11" s="2">
        <v>8529.9004322441069</v>
      </c>
    </row>
    <row r="12" spans="1:10" x14ac:dyDescent="0.25">
      <c r="A12" s="4" t="s">
        <v>253</v>
      </c>
      <c r="B12" s="2">
        <v>1919</v>
      </c>
      <c r="C12" s="2">
        <v>1980.3889763779528</v>
      </c>
      <c r="D12" s="2">
        <v>1397</v>
      </c>
      <c r="E12" s="2">
        <v>2343.4544314381274</v>
      </c>
      <c r="F12" s="2">
        <v>7639.8434078160799</v>
      </c>
      <c r="I12" s="4" t="s">
        <v>253</v>
      </c>
      <c r="J12" s="2">
        <v>7639.8434078160799</v>
      </c>
    </row>
    <row r="13" spans="1:10" x14ac:dyDescent="0.25">
      <c r="A13" s="4" t="s">
        <v>254</v>
      </c>
      <c r="B13" s="2">
        <v>2247.1546391752577</v>
      </c>
      <c r="C13" s="2">
        <v>1234.0999999999999</v>
      </c>
      <c r="D13" s="2">
        <v>1015.1318681318681</v>
      </c>
      <c r="E13" s="2">
        <v>1383</v>
      </c>
      <c r="F13" s="2">
        <v>5879.3865073071256</v>
      </c>
      <c r="I13" s="4" t="s">
        <v>254</v>
      </c>
      <c r="J13" s="2">
        <v>5879.3865073071256</v>
      </c>
    </row>
    <row r="14" spans="1:10" x14ac:dyDescent="0.25">
      <c r="A14" s="4" t="s">
        <v>255</v>
      </c>
      <c r="B14" s="2">
        <v>2378.4639175257735</v>
      </c>
      <c r="C14" s="2">
        <v>1328.6545454545453</v>
      </c>
      <c r="D14" s="2">
        <v>1660</v>
      </c>
      <c r="E14" s="2">
        <v>1947.5957443177942</v>
      </c>
      <c r="F14" s="2">
        <v>7314.7142072981133</v>
      </c>
      <c r="I14" s="4" t="s">
        <v>255</v>
      </c>
      <c r="J14" s="2">
        <v>7314.7142072981142</v>
      </c>
    </row>
    <row r="15" spans="1:10" x14ac:dyDescent="0.25">
      <c r="A15" s="4" t="s">
        <v>256</v>
      </c>
      <c r="B15" s="2">
        <v>2529.7397596339379</v>
      </c>
      <c r="C15" s="2">
        <v>1406</v>
      </c>
      <c r="D15" s="2">
        <v>1266</v>
      </c>
      <c r="E15" s="2">
        <v>3049</v>
      </c>
      <c r="F15" s="2">
        <v>8250.7397596339379</v>
      </c>
      <c r="I15" s="4" t="s">
        <v>256</v>
      </c>
      <c r="J15" s="2">
        <v>8250.7397596339379</v>
      </c>
    </row>
    <row r="16" spans="1:10" x14ac:dyDescent="0.25">
      <c r="A16" s="4" t="s">
        <v>257</v>
      </c>
      <c r="B16" s="2">
        <v>2368.5704099821751</v>
      </c>
      <c r="C16" s="2">
        <v>1172.6727272727273</v>
      </c>
      <c r="D16" s="2">
        <v>1557.1904761904761</v>
      </c>
      <c r="E16" s="2">
        <v>1593.021739130435</v>
      </c>
      <c r="F16" s="2">
        <v>6691.4553525758138</v>
      </c>
      <c r="I16" s="4" t="s">
        <v>257</v>
      </c>
      <c r="J16" s="2">
        <v>6691.4553525758138</v>
      </c>
    </row>
    <row r="17" spans="1:10" x14ac:dyDescent="0.25">
      <c r="A17" s="4" t="s">
        <v>258</v>
      </c>
      <c r="B17" s="2">
        <v>26960.462603598135</v>
      </c>
      <c r="C17" s="2">
        <v>19661.74144595562</v>
      </c>
      <c r="D17" s="2">
        <v>15530.616117216116</v>
      </c>
      <c r="E17" s="2">
        <v>24703.558144495255</v>
      </c>
      <c r="F17" s="2">
        <v>86856.378311265144</v>
      </c>
      <c r="I17" s="4" t="s">
        <v>258</v>
      </c>
      <c r="J17" s="2">
        <v>86856.378311265144</v>
      </c>
    </row>
    <row r="36" spans="1:2" x14ac:dyDescent="0.25">
      <c r="A36" s="6"/>
      <c r="B36" s="6"/>
    </row>
    <row r="37" spans="1:2" ht="15.75" x14ac:dyDescent="0.25">
      <c r="A37" s="12" t="s">
        <v>263</v>
      </c>
      <c r="B37" s="6"/>
    </row>
    <row r="38" spans="1:2" ht="15.75" x14ac:dyDescent="0.25">
      <c r="A38" s="13"/>
      <c r="B38" s="10"/>
    </row>
    <row r="39" spans="1:2" x14ac:dyDescent="0.25">
      <c r="A39" s="3" t="s">
        <v>245</v>
      </c>
      <c r="B39" t="s">
        <v>260</v>
      </c>
    </row>
    <row r="40" spans="1:2" x14ac:dyDescent="0.25">
      <c r="A40" s="4" t="s">
        <v>90</v>
      </c>
      <c r="B40" s="2">
        <v>1694.4172861452273</v>
      </c>
    </row>
    <row r="41" spans="1:2" x14ac:dyDescent="0.25">
      <c r="A41" s="4" t="s">
        <v>175</v>
      </c>
      <c r="B41" s="2">
        <v>1479</v>
      </c>
    </row>
    <row r="42" spans="1:2" x14ac:dyDescent="0.25">
      <c r="A42" s="4" t="s">
        <v>102</v>
      </c>
      <c r="B42" s="2">
        <v>1649</v>
      </c>
    </row>
    <row r="43" spans="1:2" x14ac:dyDescent="0.25">
      <c r="A43" s="4" t="s">
        <v>44</v>
      </c>
      <c r="B43" s="2">
        <v>1686</v>
      </c>
    </row>
    <row r="44" spans="1:2" x14ac:dyDescent="0.25">
      <c r="A44" s="4" t="s">
        <v>148</v>
      </c>
      <c r="B44" s="2">
        <v>1908.0944881889764</v>
      </c>
    </row>
    <row r="45" spans="1:2" x14ac:dyDescent="0.25">
      <c r="A45" s="4" t="s">
        <v>69</v>
      </c>
      <c r="B45" s="2">
        <v>2000</v>
      </c>
    </row>
    <row r="46" spans="1:2" x14ac:dyDescent="0.25">
      <c r="A46" s="4" t="s">
        <v>37</v>
      </c>
      <c r="B46" s="2">
        <v>1859.1417322834645</v>
      </c>
    </row>
    <row r="47" spans="1:2" x14ac:dyDescent="0.25">
      <c r="A47" s="4" t="s">
        <v>126</v>
      </c>
      <c r="B47" s="2">
        <v>1588</v>
      </c>
    </row>
    <row r="48" spans="1:2" x14ac:dyDescent="0.25">
      <c r="A48" s="4" t="s">
        <v>95</v>
      </c>
      <c r="B48" s="2">
        <v>1559.4591836734694</v>
      </c>
    </row>
    <row r="49" spans="1:2" x14ac:dyDescent="0.25">
      <c r="A49" s="4" t="s">
        <v>189</v>
      </c>
      <c r="B49" s="2">
        <v>1874.7308518253399</v>
      </c>
    </row>
    <row r="52" spans="1:2" x14ac:dyDescent="0.25">
      <c r="A52" s="14" t="s">
        <v>264</v>
      </c>
      <c r="B52" s="6"/>
    </row>
    <row r="53" spans="1:2" x14ac:dyDescent="0.25">
      <c r="A53" s="6"/>
      <c r="B53" s="6"/>
    </row>
    <row r="54" spans="1:2" ht="31.5" x14ac:dyDescent="0.5">
      <c r="A54" s="15">
        <f>COUNTIF(Orders_raw!K:K,"Return") / COUNTA(Orders_raw!K:K)</f>
        <v>3.5357417371252885E-2</v>
      </c>
      <c r="B54" s="15"/>
    </row>
  </sheetData>
  <mergeCells count="7">
    <mergeCell ref="A37:B37"/>
    <mergeCell ref="A36:B36"/>
    <mergeCell ref="A54:B54"/>
    <mergeCell ref="A52:B53"/>
    <mergeCell ref="A1:F2"/>
    <mergeCell ref="I3:J3"/>
    <mergeCell ref="I2:J2"/>
  </mergeCells>
  <phoneticPr fontId="20" type="noConversion"/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Orders_raw</vt:lpstr>
      <vt:lpstr>Customers_raw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Hadi Nasirzafe</cp:lastModifiedBy>
  <dcterms:created xsi:type="dcterms:W3CDTF">2026-09-12T22:18:17Z</dcterms:created>
  <dcterms:modified xsi:type="dcterms:W3CDTF">2026-09-13T21:46:30Z</dcterms:modified>
</cp:coreProperties>
</file>